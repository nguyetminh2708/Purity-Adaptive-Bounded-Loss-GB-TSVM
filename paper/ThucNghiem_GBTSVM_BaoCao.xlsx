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nhNguyen\Documents\Purity-Adaptive-Bounded-Loss-GB-TSVM\docs\"/>
    </mc:Choice>
  </mc:AlternateContent>
  <xr:revisionPtr revIDLastSave="0" documentId="13_ncr:1_{472C64AE-FDB2-4F10-9D26-B6FF4061B0DE}" xr6:coauthVersionLast="47" xr6:coauthVersionMax="47" xr10:uidLastSave="{00000000-0000-0000-0000-000000000000}"/>
  <bookViews>
    <workbookView xWindow="-120" yWindow="-120" windowWidth="29040" windowHeight="17520" tabRatio="500" firstSheet="6" activeTab="8" xr2:uid="{00000000-000D-0000-FFFF-FFFF00000000}"/>
  </bookViews>
  <sheets>
    <sheet name="Mục lục" sheetId="1" r:id="rId1"/>
    <sheet name="Tổng kết" sheetId="2" r:id="rId2"/>
    <sheet name="7. Đa seed - chi tiết" sheetId="3" r:id="rId3"/>
    <sheet name="8. Đa seed RBF" sheetId="4" r:id="rId4"/>
    <sheet name="13. pur=0.7 rescue full" sheetId="5" r:id="rId5"/>
    <sheet name="14. pur=0.6 rescue full" sheetId="6" r:id="rId6"/>
    <sheet name="15. Độ nén (số bóng)" sheetId="7" r:id="rId7"/>
    <sheet name="18. SVM vs nearest-centroid" sheetId="8" r:id="rId8"/>
    <sheet name="17. Nhiễu thật (CIFAR-10N)" sheetId="9" r:id="rId9"/>
    <sheet name="12. Auto-tune (meta vs grid)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3" i="6" l="1"/>
  <c r="H183" i="6" s="1"/>
  <c r="F183" i="6"/>
  <c r="AG174" i="6"/>
  <c r="AI174" i="6" s="1"/>
  <c r="AA174" i="6"/>
  <c r="AH174" i="6" s="1"/>
  <c r="U174" i="6"/>
  <c r="O174" i="6"/>
  <c r="I174" i="6"/>
  <c r="AG173" i="6"/>
  <c r="AA173" i="6"/>
  <c r="U173" i="6"/>
  <c r="O173" i="6"/>
  <c r="I173" i="6"/>
  <c r="AI172" i="6"/>
  <c r="AG172" i="6"/>
  <c r="AH172" i="6" s="1"/>
  <c r="AA172" i="6"/>
  <c r="U172" i="6"/>
  <c r="O172" i="6"/>
  <c r="I172" i="6"/>
  <c r="AH171" i="6"/>
  <c r="AG171" i="6"/>
  <c r="AI171" i="6" s="1"/>
  <c r="AA171" i="6"/>
  <c r="U171" i="6"/>
  <c r="O171" i="6"/>
  <c r="I171" i="6"/>
  <c r="AG170" i="6"/>
  <c r="AI170" i="6" s="1"/>
  <c r="AA170" i="6"/>
  <c r="U170" i="6"/>
  <c r="O170" i="6"/>
  <c r="I170" i="6"/>
  <c r="AI169" i="6"/>
  <c r="AG169" i="6"/>
  <c r="AA169" i="6"/>
  <c r="AH169" i="6" s="1"/>
  <c r="U169" i="6"/>
  <c r="O169" i="6"/>
  <c r="I169" i="6"/>
  <c r="AG168" i="6"/>
  <c r="AA168" i="6"/>
  <c r="U168" i="6"/>
  <c r="O168" i="6"/>
  <c r="I168" i="6"/>
  <c r="AG167" i="6"/>
  <c r="AI167" i="6" s="1"/>
  <c r="AA167" i="6"/>
  <c r="U167" i="6"/>
  <c r="O167" i="6"/>
  <c r="I167" i="6"/>
  <c r="AG166" i="6"/>
  <c r="AI166" i="6" s="1"/>
  <c r="AA166" i="6"/>
  <c r="U166" i="6"/>
  <c r="O166" i="6"/>
  <c r="I166" i="6"/>
  <c r="AG165" i="6"/>
  <c r="AI165" i="6" s="1"/>
  <c r="AA165" i="6"/>
  <c r="U165" i="6"/>
  <c r="O165" i="6"/>
  <c r="I165" i="6"/>
  <c r="AH164" i="6"/>
  <c r="AG164" i="6"/>
  <c r="AA164" i="6"/>
  <c r="U164" i="6"/>
  <c r="O164" i="6"/>
  <c r="AI164" i="6" s="1"/>
  <c r="I164" i="6"/>
  <c r="AI163" i="6"/>
  <c r="AH163" i="6"/>
  <c r="AG163" i="6"/>
  <c r="AA163" i="6"/>
  <c r="U163" i="6"/>
  <c r="O163" i="6"/>
  <c r="I163" i="6"/>
  <c r="AG162" i="6"/>
  <c r="AI162" i="6" s="1"/>
  <c r="AA162" i="6"/>
  <c r="U162" i="6"/>
  <c r="O162" i="6"/>
  <c r="I162" i="6"/>
  <c r="AH161" i="6"/>
  <c r="AG161" i="6"/>
  <c r="AI161" i="6" s="1"/>
  <c r="AA161" i="6"/>
  <c r="U161" i="6"/>
  <c r="O161" i="6"/>
  <c r="I161" i="6"/>
  <c r="AH160" i="6"/>
  <c r="AG160" i="6"/>
  <c r="AI160" i="6" s="1"/>
  <c r="AA160" i="6"/>
  <c r="U160" i="6"/>
  <c r="O160" i="6"/>
  <c r="I160" i="6"/>
  <c r="AG159" i="6"/>
  <c r="AA159" i="6"/>
  <c r="U159" i="6"/>
  <c r="O159" i="6"/>
  <c r="I159" i="6"/>
  <c r="AG158" i="6"/>
  <c r="AI158" i="6" s="1"/>
  <c r="AA158" i="6"/>
  <c r="AH158" i="6" s="1"/>
  <c r="U158" i="6"/>
  <c r="O158" i="6"/>
  <c r="I158" i="6"/>
  <c r="AG157" i="6"/>
  <c r="AH157" i="6" s="1"/>
  <c r="AA157" i="6"/>
  <c r="U157" i="6"/>
  <c r="O157" i="6"/>
  <c r="AI157" i="6" s="1"/>
  <c r="I157" i="6"/>
  <c r="AI156" i="6"/>
  <c r="AG156" i="6"/>
  <c r="AH156" i="6" s="1"/>
  <c r="AA156" i="6"/>
  <c r="U156" i="6"/>
  <c r="O156" i="6"/>
  <c r="I156" i="6"/>
  <c r="AH155" i="6"/>
  <c r="AG155" i="6"/>
  <c r="AI155" i="6" s="1"/>
  <c r="AA155" i="6"/>
  <c r="U155" i="6"/>
  <c r="O155" i="6"/>
  <c r="I155" i="6"/>
  <c r="AI154" i="6"/>
  <c r="AH154" i="6"/>
  <c r="AG154" i="6"/>
  <c r="AA154" i="6"/>
  <c r="U154" i="6"/>
  <c r="O154" i="6"/>
  <c r="I154" i="6"/>
  <c r="AI153" i="6"/>
  <c r="AG153" i="6"/>
  <c r="AA153" i="6"/>
  <c r="AH153" i="6" s="1"/>
  <c r="U153" i="6"/>
  <c r="O153" i="6"/>
  <c r="I153" i="6"/>
  <c r="AG152" i="6"/>
  <c r="AA152" i="6"/>
  <c r="U152" i="6"/>
  <c r="O152" i="6"/>
  <c r="I152" i="6"/>
  <c r="AG151" i="6"/>
  <c r="AI151" i="6" s="1"/>
  <c r="AA151" i="6"/>
  <c r="U151" i="6"/>
  <c r="O151" i="6"/>
  <c r="I151" i="6"/>
  <c r="AG150" i="6"/>
  <c r="AI150" i="6" s="1"/>
  <c r="AA150" i="6"/>
  <c r="U150" i="6"/>
  <c r="O150" i="6"/>
  <c r="I150" i="6"/>
  <c r="AG149" i="6"/>
  <c r="AI149" i="6" s="1"/>
  <c r="AA149" i="6"/>
  <c r="U149" i="6"/>
  <c r="O149" i="6"/>
  <c r="I149" i="6"/>
  <c r="AH148" i="6"/>
  <c r="AG148" i="6"/>
  <c r="AA148" i="6"/>
  <c r="U148" i="6"/>
  <c r="O148" i="6"/>
  <c r="AI148" i="6" s="1"/>
  <c r="I148" i="6"/>
  <c r="AI147" i="6"/>
  <c r="AH147" i="6"/>
  <c r="AG147" i="6"/>
  <c r="AA147" i="6"/>
  <c r="U147" i="6"/>
  <c r="O147" i="6"/>
  <c r="I147" i="6"/>
  <c r="AG146" i="6"/>
  <c r="AI146" i="6" s="1"/>
  <c r="AA146" i="6"/>
  <c r="U146" i="6"/>
  <c r="O146" i="6"/>
  <c r="I146" i="6"/>
  <c r="AG145" i="6"/>
  <c r="AI145" i="6" s="1"/>
  <c r="AA145" i="6"/>
  <c r="U145" i="6"/>
  <c r="O145" i="6"/>
  <c r="I145" i="6"/>
  <c r="AH144" i="6"/>
  <c r="AG144" i="6"/>
  <c r="AI144" i="6" s="1"/>
  <c r="AA144" i="6"/>
  <c r="U144" i="6"/>
  <c r="O144" i="6"/>
  <c r="I144" i="6"/>
  <c r="AG143" i="6"/>
  <c r="AI143" i="6" s="1"/>
  <c r="AA143" i="6"/>
  <c r="U143" i="6"/>
  <c r="O143" i="6"/>
  <c r="I143" i="6"/>
  <c r="AG142" i="6"/>
  <c r="AI142" i="6" s="1"/>
  <c r="AA142" i="6"/>
  <c r="AH142" i="6" s="1"/>
  <c r="U142" i="6"/>
  <c r="O142" i="6"/>
  <c r="I142" i="6"/>
  <c r="AG141" i="6"/>
  <c r="AH141" i="6" s="1"/>
  <c r="AA141" i="6"/>
  <c r="U141" i="6"/>
  <c r="O141" i="6"/>
  <c r="AI141" i="6" s="1"/>
  <c r="I141" i="6"/>
  <c r="AI140" i="6"/>
  <c r="AG140" i="6"/>
  <c r="AH140" i="6" s="1"/>
  <c r="AA140" i="6"/>
  <c r="U140" i="6"/>
  <c r="O140" i="6"/>
  <c r="I140" i="6"/>
  <c r="AH139" i="6"/>
  <c r="AG139" i="6"/>
  <c r="AI139" i="6" s="1"/>
  <c r="AA139" i="6"/>
  <c r="U139" i="6"/>
  <c r="O139" i="6"/>
  <c r="I139" i="6"/>
  <c r="AI138" i="6"/>
  <c r="AH138" i="6"/>
  <c r="AG138" i="6"/>
  <c r="AA138" i="6"/>
  <c r="U138" i="6"/>
  <c r="O138" i="6"/>
  <c r="I138" i="6"/>
  <c r="AI137" i="6"/>
  <c r="AG137" i="6"/>
  <c r="AA137" i="6"/>
  <c r="AH137" i="6" s="1"/>
  <c r="U137" i="6"/>
  <c r="O137" i="6"/>
  <c r="I137" i="6"/>
  <c r="AG136" i="6"/>
  <c r="AA136" i="6"/>
  <c r="U136" i="6"/>
  <c r="O136" i="6"/>
  <c r="I136" i="6"/>
  <c r="AG135" i="6"/>
  <c r="AI135" i="6" s="1"/>
  <c r="AA135" i="6"/>
  <c r="U135" i="6"/>
  <c r="O135" i="6"/>
  <c r="I135" i="6"/>
  <c r="AG134" i="6"/>
  <c r="AI134" i="6" s="1"/>
  <c r="AA134" i="6"/>
  <c r="U134" i="6"/>
  <c r="O134" i="6"/>
  <c r="I134" i="6"/>
  <c r="AG133" i="6"/>
  <c r="AI133" i="6" s="1"/>
  <c r="AA133" i="6"/>
  <c r="U133" i="6"/>
  <c r="O133" i="6"/>
  <c r="I133" i="6"/>
  <c r="AH132" i="6"/>
  <c r="AG132" i="6"/>
  <c r="AA132" i="6"/>
  <c r="U132" i="6"/>
  <c r="O132" i="6"/>
  <c r="AI132" i="6" s="1"/>
  <c r="I132" i="6"/>
  <c r="AI131" i="6"/>
  <c r="AH131" i="6"/>
  <c r="AG131" i="6"/>
  <c r="AA131" i="6"/>
  <c r="U131" i="6"/>
  <c r="O131" i="6"/>
  <c r="I131" i="6"/>
  <c r="AG130" i="6"/>
  <c r="AI130" i="6" s="1"/>
  <c r="AA130" i="6"/>
  <c r="U130" i="6"/>
  <c r="O130" i="6"/>
  <c r="I130" i="6"/>
  <c r="AH129" i="6"/>
  <c r="AG129" i="6"/>
  <c r="AI129" i="6" s="1"/>
  <c r="AA129" i="6"/>
  <c r="U129" i="6"/>
  <c r="O129" i="6"/>
  <c r="I129" i="6"/>
  <c r="AH128" i="6"/>
  <c r="AG128" i="6"/>
  <c r="AI128" i="6" s="1"/>
  <c r="AA128" i="6"/>
  <c r="U128" i="6"/>
  <c r="O128" i="6"/>
  <c r="I128" i="6"/>
  <c r="AG127" i="6"/>
  <c r="AI127" i="6" s="1"/>
  <c r="AA127" i="6"/>
  <c r="U127" i="6"/>
  <c r="O127" i="6"/>
  <c r="I127" i="6"/>
  <c r="AG126" i="6"/>
  <c r="AI126" i="6" s="1"/>
  <c r="AA126" i="6"/>
  <c r="AH126" i="6" s="1"/>
  <c r="U126" i="6"/>
  <c r="O126" i="6"/>
  <c r="I126" i="6"/>
  <c r="AG125" i="6"/>
  <c r="AH125" i="6" s="1"/>
  <c r="AA125" i="6"/>
  <c r="U125" i="6"/>
  <c r="O125" i="6"/>
  <c r="AI125" i="6" s="1"/>
  <c r="I125" i="6"/>
  <c r="AI124" i="6"/>
  <c r="AG124" i="6"/>
  <c r="AH124" i="6" s="1"/>
  <c r="AA124" i="6"/>
  <c r="U124" i="6"/>
  <c r="O124" i="6"/>
  <c r="I124" i="6"/>
  <c r="AH123" i="6"/>
  <c r="AG123" i="6"/>
  <c r="AI123" i="6" s="1"/>
  <c r="AA123" i="6"/>
  <c r="U123" i="6"/>
  <c r="O123" i="6"/>
  <c r="I123" i="6"/>
  <c r="AG122" i="6"/>
  <c r="AI122" i="6" s="1"/>
  <c r="AA122" i="6"/>
  <c r="U122" i="6"/>
  <c r="O122" i="6"/>
  <c r="I122" i="6"/>
  <c r="AI121" i="6"/>
  <c r="AG121" i="6"/>
  <c r="AA121" i="6"/>
  <c r="AH121" i="6" s="1"/>
  <c r="U121" i="6"/>
  <c r="O121" i="6"/>
  <c r="I121" i="6"/>
  <c r="AG120" i="6"/>
  <c r="AA120" i="6"/>
  <c r="F191" i="6" s="1"/>
  <c r="U120" i="6"/>
  <c r="O120" i="6"/>
  <c r="I120" i="6"/>
  <c r="AG119" i="6"/>
  <c r="AI119" i="6" s="1"/>
  <c r="AA119" i="6"/>
  <c r="U119" i="6"/>
  <c r="O119" i="6"/>
  <c r="I119" i="6"/>
  <c r="AG118" i="6"/>
  <c r="AI118" i="6" s="1"/>
  <c r="AA118" i="6"/>
  <c r="U118" i="6"/>
  <c r="O118" i="6"/>
  <c r="D189" i="6" s="1"/>
  <c r="I118" i="6"/>
  <c r="AG117" i="6"/>
  <c r="AI117" i="6" s="1"/>
  <c r="AA117" i="6"/>
  <c r="U117" i="6"/>
  <c r="O117" i="6"/>
  <c r="I117" i="6"/>
  <c r="AH116" i="6"/>
  <c r="AG116" i="6"/>
  <c r="AA116" i="6"/>
  <c r="U116" i="6"/>
  <c r="O116" i="6"/>
  <c r="AI116" i="6" s="1"/>
  <c r="I116" i="6"/>
  <c r="AI115" i="6"/>
  <c r="AH115" i="6"/>
  <c r="AG115" i="6"/>
  <c r="AA115" i="6"/>
  <c r="U115" i="6"/>
  <c r="O115" i="6"/>
  <c r="I115" i="6"/>
  <c r="AG114" i="6"/>
  <c r="AI114" i="6" s="1"/>
  <c r="AA114" i="6"/>
  <c r="U114" i="6"/>
  <c r="O114" i="6"/>
  <c r="I114" i="6"/>
  <c r="AG113" i="6"/>
  <c r="AI113" i="6" s="1"/>
  <c r="AA113" i="6"/>
  <c r="U113" i="6"/>
  <c r="O113" i="6"/>
  <c r="I113" i="6"/>
  <c r="AH112" i="6"/>
  <c r="AG112" i="6"/>
  <c r="AI112" i="6" s="1"/>
  <c r="AA112" i="6"/>
  <c r="U112" i="6"/>
  <c r="O112" i="6"/>
  <c r="I112" i="6"/>
  <c r="AG111" i="6"/>
  <c r="AA111" i="6"/>
  <c r="U111" i="6"/>
  <c r="O111" i="6"/>
  <c r="I111" i="6"/>
  <c r="AG110" i="6"/>
  <c r="AI110" i="6" s="1"/>
  <c r="AA110" i="6"/>
  <c r="AH110" i="6" s="1"/>
  <c r="U110" i="6"/>
  <c r="O110" i="6"/>
  <c r="I110" i="6"/>
  <c r="AG109" i="6"/>
  <c r="AA109" i="6"/>
  <c r="AH109" i="6" s="1"/>
  <c r="U109" i="6"/>
  <c r="O109" i="6"/>
  <c r="AI109" i="6" s="1"/>
  <c r="I109" i="6"/>
  <c r="AI108" i="6"/>
  <c r="AG108" i="6"/>
  <c r="AA108" i="6"/>
  <c r="AH108" i="6" s="1"/>
  <c r="U108" i="6"/>
  <c r="O108" i="6"/>
  <c r="I108" i="6"/>
  <c r="AH107" i="6"/>
  <c r="AG107" i="6"/>
  <c r="AI107" i="6" s="1"/>
  <c r="AA107" i="6"/>
  <c r="U107" i="6"/>
  <c r="O107" i="6"/>
  <c r="I107" i="6"/>
  <c r="AG106" i="6"/>
  <c r="AI106" i="6" s="1"/>
  <c r="AA106" i="6"/>
  <c r="U106" i="6"/>
  <c r="O106" i="6"/>
  <c r="I106" i="6"/>
  <c r="AI105" i="6"/>
  <c r="AG105" i="6"/>
  <c r="AA105" i="6"/>
  <c r="AH105" i="6" s="1"/>
  <c r="U105" i="6"/>
  <c r="O105" i="6"/>
  <c r="I105" i="6"/>
  <c r="AG104" i="6"/>
  <c r="AA104" i="6"/>
  <c r="U104" i="6"/>
  <c r="O104" i="6"/>
  <c r="I104" i="6"/>
  <c r="AG103" i="6"/>
  <c r="AI103" i="6" s="1"/>
  <c r="AA103" i="6"/>
  <c r="U103" i="6"/>
  <c r="O103" i="6"/>
  <c r="I103" i="6"/>
  <c r="AG102" i="6"/>
  <c r="AA102" i="6"/>
  <c r="U102" i="6"/>
  <c r="O102" i="6"/>
  <c r="I102" i="6"/>
  <c r="AG101" i="6"/>
  <c r="AI101" i="6" s="1"/>
  <c r="AA101" i="6"/>
  <c r="U101" i="6"/>
  <c r="O101" i="6"/>
  <c r="I101" i="6"/>
  <c r="AH100" i="6"/>
  <c r="AG100" i="6"/>
  <c r="AA100" i="6"/>
  <c r="U100" i="6"/>
  <c r="O100" i="6"/>
  <c r="AI100" i="6" s="1"/>
  <c r="I100" i="6"/>
  <c r="AI99" i="6"/>
  <c r="AH99" i="6"/>
  <c r="AG99" i="6"/>
  <c r="AA99" i="6"/>
  <c r="U99" i="6"/>
  <c r="O99" i="6"/>
  <c r="I99" i="6"/>
  <c r="AG98" i="6"/>
  <c r="AI98" i="6" s="1"/>
  <c r="AA98" i="6"/>
  <c r="U98" i="6"/>
  <c r="O98" i="6"/>
  <c r="I98" i="6"/>
  <c r="AH97" i="6"/>
  <c r="AG97" i="6"/>
  <c r="AI97" i="6" s="1"/>
  <c r="AA97" i="6"/>
  <c r="U97" i="6"/>
  <c r="O97" i="6"/>
  <c r="I97" i="6"/>
  <c r="AH96" i="6"/>
  <c r="AG96" i="6"/>
  <c r="AI96" i="6" s="1"/>
  <c r="AA96" i="6"/>
  <c r="U96" i="6"/>
  <c r="O96" i="6"/>
  <c r="I96" i="6"/>
  <c r="AG95" i="6"/>
  <c r="AI95" i="6" s="1"/>
  <c r="AA95" i="6"/>
  <c r="U95" i="6"/>
  <c r="O95" i="6"/>
  <c r="I95" i="6"/>
  <c r="AG94" i="6"/>
  <c r="AA94" i="6"/>
  <c r="AH94" i="6" s="1"/>
  <c r="U94" i="6"/>
  <c r="O94" i="6"/>
  <c r="AI94" i="6" s="1"/>
  <c r="I94" i="6"/>
  <c r="AG93" i="6"/>
  <c r="AA93" i="6"/>
  <c r="AH93" i="6" s="1"/>
  <c r="U93" i="6"/>
  <c r="O93" i="6"/>
  <c r="AI93" i="6" s="1"/>
  <c r="I93" i="6"/>
  <c r="C181" i="6" s="1"/>
  <c r="AI92" i="6"/>
  <c r="AG92" i="6"/>
  <c r="AH92" i="6" s="1"/>
  <c r="AA92" i="6"/>
  <c r="U92" i="6"/>
  <c r="O92" i="6"/>
  <c r="I92" i="6"/>
  <c r="AH91" i="6"/>
  <c r="AG91" i="6"/>
  <c r="AI91" i="6" s="1"/>
  <c r="AA91" i="6"/>
  <c r="U91" i="6"/>
  <c r="O91" i="6"/>
  <c r="I91" i="6"/>
  <c r="AI90" i="6"/>
  <c r="AH90" i="6"/>
  <c r="AG90" i="6"/>
  <c r="AA90" i="6"/>
  <c r="U90" i="6"/>
  <c r="O90" i="6"/>
  <c r="I90" i="6"/>
  <c r="AI89" i="6"/>
  <c r="AG89" i="6"/>
  <c r="AA89" i="6"/>
  <c r="AH89" i="6" s="1"/>
  <c r="U89" i="6"/>
  <c r="O89" i="6"/>
  <c r="I89" i="6"/>
  <c r="AG88" i="6"/>
  <c r="AA88" i="6"/>
  <c r="U88" i="6"/>
  <c r="O88" i="6"/>
  <c r="I88" i="6"/>
  <c r="AG87" i="6"/>
  <c r="AI87" i="6" s="1"/>
  <c r="AA87" i="6"/>
  <c r="U87" i="6"/>
  <c r="O87" i="6"/>
  <c r="I87" i="6"/>
  <c r="AG86" i="6"/>
  <c r="AI86" i="6" s="1"/>
  <c r="AA86" i="6"/>
  <c r="U86" i="6"/>
  <c r="O86" i="6"/>
  <c r="I86" i="6"/>
  <c r="AG85" i="6"/>
  <c r="AI85" i="6" s="1"/>
  <c r="AA85" i="6"/>
  <c r="U85" i="6"/>
  <c r="O85" i="6"/>
  <c r="I85" i="6"/>
  <c r="AH84" i="6"/>
  <c r="AG84" i="6"/>
  <c r="AA84" i="6"/>
  <c r="U84" i="6"/>
  <c r="O84" i="6"/>
  <c r="AI84" i="6" s="1"/>
  <c r="I84" i="6"/>
  <c r="C189" i="6" s="1"/>
  <c r="AI83" i="6"/>
  <c r="AH83" i="6"/>
  <c r="AG83" i="6"/>
  <c r="AA83" i="6"/>
  <c r="U83" i="6"/>
  <c r="O83" i="6"/>
  <c r="I83" i="6"/>
  <c r="AG82" i="6"/>
  <c r="AI82" i="6" s="1"/>
  <c r="AA82" i="6"/>
  <c r="U82" i="6"/>
  <c r="O82" i="6"/>
  <c r="I82" i="6"/>
  <c r="AH81" i="6"/>
  <c r="AG81" i="6"/>
  <c r="AI81" i="6" s="1"/>
  <c r="AA81" i="6"/>
  <c r="U81" i="6"/>
  <c r="O81" i="6"/>
  <c r="I81" i="6"/>
  <c r="AH80" i="6"/>
  <c r="AG80" i="6"/>
  <c r="AI80" i="6" s="1"/>
  <c r="AA80" i="6"/>
  <c r="U80" i="6"/>
  <c r="O80" i="6"/>
  <c r="I80" i="6"/>
  <c r="AG79" i="6"/>
  <c r="AI79" i="6" s="1"/>
  <c r="AA79" i="6"/>
  <c r="U79" i="6"/>
  <c r="O79" i="6"/>
  <c r="I79" i="6"/>
  <c r="AG78" i="6"/>
  <c r="AA78" i="6"/>
  <c r="AH78" i="6" s="1"/>
  <c r="U78" i="6"/>
  <c r="O78" i="6"/>
  <c r="AI78" i="6" s="1"/>
  <c r="I78" i="6"/>
  <c r="AG77" i="6"/>
  <c r="AA77" i="6"/>
  <c r="AH77" i="6" s="1"/>
  <c r="U77" i="6"/>
  <c r="O77" i="6"/>
  <c r="AI77" i="6" s="1"/>
  <c r="I77" i="6"/>
  <c r="AI76" i="6"/>
  <c r="AG76" i="6"/>
  <c r="AH76" i="6" s="1"/>
  <c r="AA76" i="6"/>
  <c r="U76" i="6"/>
  <c r="O76" i="6"/>
  <c r="I76" i="6"/>
  <c r="AH75" i="6"/>
  <c r="AG75" i="6"/>
  <c r="AI75" i="6" s="1"/>
  <c r="AA75" i="6"/>
  <c r="U75" i="6"/>
  <c r="O75" i="6"/>
  <c r="I75" i="6"/>
  <c r="C180" i="6" s="1"/>
  <c r="AG74" i="6"/>
  <c r="AI74" i="6" s="1"/>
  <c r="AA74" i="6"/>
  <c r="U74" i="6"/>
  <c r="O74" i="6"/>
  <c r="I74" i="6"/>
  <c r="AI73" i="6"/>
  <c r="AG73" i="6"/>
  <c r="AA73" i="6"/>
  <c r="AH73" i="6" s="1"/>
  <c r="U73" i="6"/>
  <c r="O73" i="6"/>
  <c r="I73" i="6"/>
  <c r="AG72" i="6"/>
  <c r="AA72" i="6"/>
  <c r="F194" i="6" s="1"/>
  <c r="U72" i="6"/>
  <c r="O72" i="6"/>
  <c r="I72" i="6"/>
  <c r="AG71" i="6"/>
  <c r="AI71" i="6" s="1"/>
  <c r="AA71" i="6"/>
  <c r="U71" i="6"/>
  <c r="O71" i="6"/>
  <c r="I71" i="6"/>
  <c r="AG70" i="6"/>
  <c r="AI70" i="6" s="1"/>
  <c r="AA70" i="6"/>
  <c r="U70" i="6"/>
  <c r="O70" i="6"/>
  <c r="I70" i="6"/>
  <c r="AG69" i="6"/>
  <c r="AI69" i="6" s="1"/>
  <c r="AA69" i="6"/>
  <c r="U69" i="6"/>
  <c r="O69" i="6"/>
  <c r="I69" i="6"/>
  <c r="AH68" i="6"/>
  <c r="AG68" i="6"/>
  <c r="AA68" i="6"/>
  <c r="U68" i="6"/>
  <c r="O68" i="6"/>
  <c r="AI68" i="6" s="1"/>
  <c r="I68" i="6"/>
  <c r="AI67" i="6"/>
  <c r="AH67" i="6"/>
  <c r="AG67" i="6"/>
  <c r="AA67" i="6"/>
  <c r="U67" i="6"/>
  <c r="E189" i="6" s="1"/>
  <c r="O67" i="6"/>
  <c r="I67" i="6"/>
  <c r="AG66" i="6"/>
  <c r="AI66" i="6" s="1"/>
  <c r="AA66" i="6"/>
  <c r="U66" i="6"/>
  <c r="O66" i="6"/>
  <c r="I66" i="6"/>
  <c r="AG65" i="6"/>
  <c r="AI65" i="6" s="1"/>
  <c r="AA65" i="6"/>
  <c r="U65" i="6"/>
  <c r="O65" i="6"/>
  <c r="I65" i="6"/>
  <c r="AH64" i="6"/>
  <c r="AG64" i="6"/>
  <c r="AI64" i="6" s="1"/>
  <c r="AA64" i="6"/>
  <c r="U64" i="6"/>
  <c r="O64" i="6"/>
  <c r="I64" i="6"/>
  <c r="AG63" i="6"/>
  <c r="AI63" i="6" s="1"/>
  <c r="AA63" i="6"/>
  <c r="U63" i="6"/>
  <c r="O63" i="6"/>
  <c r="I63" i="6"/>
  <c r="AG62" i="6"/>
  <c r="AA62" i="6"/>
  <c r="AH62" i="6" s="1"/>
  <c r="U62" i="6"/>
  <c r="O62" i="6"/>
  <c r="AI62" i="6" s="1"/>
  <c r="I62" i="6"/>
  <c r="AG61" i="6"/>
  <c r="AA61" i="6"/>
  <c r="AH61" i="6" s="1"/>
  <c r="U61" i="6"/>
  <c r="O61" i="6"/>
  <c r="AI61" i="6" s="1"/>
  <c r="I61" i="6"/>
  <c r="AI60" i="6"/>
  <c r="AG60" i="6"/>
  <c r="AH60" i="6" s="1"/>
  <c r="AA60" i="6"/>
  <c r="U60" i="6"/>
  <c r="O60" i="6"/>
  <c r="I60" i="6"/>
  <c r="AH59" i="6"/>
  <c r="AG59" i="6"/>
  <c r="AI59" i="6" s="1"/>
  <c r="AA59" i="6"/>
  <c r="U59" i="6"/>
  <c r="O59" i="6"/>
  <c r="I59" i="6"/>
  <c r="AI58" i="6"/>
  <c r="AH58" i="6"/>
  <c r="AG58" i="6"/>
  <c r="AA58" i="6"/>
  <c r="U58" i="6"/>
  <c r="O58" i="6"/>
  <c r="I58" i="6"/>
  <c r="AI57" i="6"/>
  <c r="AG57" i="6"/>
  <c r="AA57" i="6"/>
  <c r="AH57" i="6" s="1"/>
  <c r="U57" i="6"/>
  <c r="O57" i="6"/>
  <c r="I57" i="6"/>
  <c r="AG56" i="6"/>
  <c r="AA56" i="6"/>
  <c r="F178" i="6" s="1"/>
  <c r="U56" i="6"/>
  <c r="O56" i="6"/>
  <c r="I56" i="6"/>
  <c r="AG55" i="6"/>
  <c r="AI55" i="6" s="1"/>
  <c r="AA55" i="6"/>
  <c r="U55" i="6"/>
  <c r="O55" i="6"/>
  <c r="I55" i="6"/>
  <c r="AG54" i="6"/>
  <c r="AA54" i="6"/>
  <c r="U54" i="6"/>
  <c r="O54" i="6"/>
  <c r="I54" i="6"/>
  <c r="AG53" i="6"/>
  <c r="AI53" i="6" s="1"/>
  <c r="AA53" i="6"/>
  <c r="U53" i="6"/>
  <c r="O53" i="6"/>
  <c r="I53" i="6"/>
  <c r="AH52" i="6"/>
  <c r="AG52" i="6"/>
  <c r="AA52" i="6"/>
  <c r="U52" i="6"/>
  <c r="O52" i="6"/>
  <c r="AI52" i="6" s="1"/>
  <c r="I52" i="6"/>
  <c r="AI51" i="6"/>
  <c r="AH51" i="6"/>
  <c r="AG51" i="6"/>
  <c r="AA51" i="6"/>
  <c r="U51" i="6"/>
  <c r="O51" i="6"/>
  <c r="I51" i="6"/>
  <c r="AG50" i="6"/>
  <c r="AI50" i="6" s="1"/>
  <c r="AA50" i="6"/>
  <c r="U50" i="6"/>
  <c r="O50" i="6"/>
  <c r="I50" i="6"/>
  <c r="AG49" i="6"/>
  <c r="AI49" i="6" s="1"/>
  <c r="AA49" i="6"/>
  <c r="U49" i="6"/>
  <c r="O49" i="6"/>
  <c r="I49" i="6"/>
  <c r="C188" i="6" s="1"/>
  <c r="AH48" i="6"/>
  <c r="AG48" i="6"/>
  <c r="AI48" i="6" s="1"/>
  <c r="AA48" i="6"/>
  <c r="U48" i="6"/>
  <c r="O48" i="6"/>
  <c r="I48" i="6"/>
  <c r="AG47" i="6"/>
  <c r="AI47" i="6" s="1"/>
  <c r="AA47" i="6"/>
  <c r="F186" i="6" s="1"/>
  <c r="U47" i="6"/>
  <c r="E186" i="6" s="1"/>
  <c r="O47" i="6"/>
  <c r="I47" i="6"/>
  <c r="AG46" i="6"/>
  <c r="AA46" i="6"/>
  <c r="AH46" i="6" s="1"/>
  <c r="U46" i="6"/>
  <c r="O46" i="6"/>
  <c r="AI46" i="6" s="1"/>
  <c r="I46" i="6"/>
  <c r="AG45" i="6"/>
  <c r="AA45" i="6"/>
  <c r="AH45" i="6" s="1"/>
  <c r="U45" i="6"/>
  <c r="O45" i="6"/>
  <c r="AI45" i="6" s="1"/>
  <c r="I45" i="6"/>
  <c r="AI44" i="6"/>
  <c r="AG44" i="6"/>
  <c r="AH44" i="6" s="1"/>
  <c r="AA44" i="6"/>
  <c r="U44" i="6"/>
  <c r="O44" i="6"/>
  <c r="I44" i="6"/>
  <c r="AH43" i="6"/>
  <c r="AG43" i="6"/>
  <c r="AI43" i="6" s="1"/>
  <c r="AA43" i="6"/>
  <c r="U43" i="6"/>
  <c r="O43" i="6"/>
  <c r="I43" i="6"/>
  <c r="AG42" i="6"/>
  <c r="AI42" i="6" s="1"/>
  <c r="AA42" i="6"/>
  <c r="U42" i="6"/>
  <c r="O42" i="6"/>
  <c r="I42" i="6"/>
  <c r="AI41" i="6"/>
  <c r="AG41" i="6"/>
  <c r="AH41" i="6" s="1"/>
  <c r="AA41" i="6"/>
  <c r="U41" i="6"/>
  <c r="O41" i="6"/>
  <c r="I41" i="6"/>
  <c r="AG40" i="6"/>
  <c r="AA40" i="6"/>
  <c r="U40" i="6"/>
  <c r="O40" i="6"/>
  <c r="I40" i="6"/>
  <c r="AG39" i="6"/>
  <c r="AI39" i="6" s="1"/>
  <c r="AA39" i="6"/>
  <c r="U39" i="6"/>
  <c r="O39" i="6"/>
  <c r="I39" i="6"/>
  <c r="AG38" i="6"/>
  <c r="AI38" i="6" s="1"/>
  <c r="AA38" i="6"/>
  <c r="U38" i="6"/>
  <c r="O38" i="6"/>
  <c r="D194" i="6" s="1"/>
  <c r="I38" i="6"/>
  <c r="AG37" i="6"/>
  <c r="AI37" i="6" s="1"/>
  <c r="AA37" i="6"/>
  <c r="U37" i="6"/>
  <c r="O37" i="6"/>
  <c r="I37" i="6"/>
  <c r="AH36" i="6"/>
  <c r="AG36" i="6"/>
  <c r="AA36" i="6"/>
  <c r="U36" i="6"/>
  <c r="O36" i="6"/>
  <c r="AI36" i="6" s="1"/>
  <c r="I36" i="6"/>
  <c r="AI35" i="6"/>
  <c r="AH35" i="6"/>
  <c r="AG35" i="6"/>
  <c r="AA35" i="6"/>
  <c r="U35" i="6"/>
  <c r="O35" i="6"/>
  <c r="I35" i="6"/>
  <c r="AG34" i="6"/>
  <c r="AI34" i="6" s="1"/>
  <c r="AA34" i="6"/>
  <c r="U34" i="6"/>
  <c r="O34" i="6"/>
  <c r="I34" i="6"/>
  <c r="AH33" i="6"/>
  <c r="AG33" i="6"/>
  <c r="AI33" i="6" s="1"/>
  <c r="AA33" i="6"/>
  <c r="F189" i="6" s="1"/>
  <c r="U33" i="6"/>
  <c r="O33" i="6"/>
  <c r="I33" i="6"/>
  <c r="AH32" i="6"/>
  <c r="AG32" i="6"/>
  <c r="AI32" i="6" s="1"/>
  <c r="AA32" i="6"/>
  <c r="U32" i="6"/>
  <c r="O32" i="6"/>
  <c r="I32" i="6"/>
  <c r="AG31" i="6"/>
  <c r="AA31" i="6"/>
  <c r="U31" i="6"/>
  <c r="O31" i="6"/>
  <c r="I31" i="6"/>
  <c r="AG30" i="6"/>
  <c r="AA30" i="6"/>
  <c r="AH30" i="6" s="1"/>
  <c r="U30" i="6"/>
  <c r="O30" i="6"/>
  <c r="AI30" i="6" s="1"/>
  <c r="I30" i="6"/>
  <c r="AG29" i="6"/>
  <c r="AH29" i="6" s="1"/>
  <c r="AA29" i="6"/>
  <c r="U29" i="6"/>
  <c r="E185" i="6" s="1"/>
  <c r="O29" i="6"/>
  <c r="AI29" i="6" s="1"/>
  <c r="I29" i="6"/>
  <c r="AI28" i="6"/>
  <c r="AG28" i="6"/>
  <c r="AH28" i="6" s="1"/>
  <c r="AA28" i="6"/>
  <c r="U28" i="6"/>
  <c r="O28" i="6"/>
  <c r="I28" i="6"/>
  <c r="AH27" i="6"/>
  <c r="AG27" i="6"/>
  <c r="AI27" i="6" s="1"/>
  <c r="AA27" i="6"/>
  <c r="U27" i="6"/>
  <c r="O27" i="6"/>
  <c r="I27" i="6"/>
  <c r="C183" i="6" s="1"/>
  <c r="AI26" i="6"/>
  <c r="AH26" i="6"/>
  <c r="AG26" i="6"/>
  <c r="G182" i="6" s="1"/>
  <c r="AA26" i="6"/>
  <c r="U26" i="6"/>
  <c r="O26" i="6"/>
  <c r="I26" i="6"/>
  <c r="AI25" i="6"/>
  <c r="AG25" i="6"/>
  <c r="AH25" i="6" s="1"/>
  <c r="AA25" i="6"/>
  <c r="U25" i="6"/>
  <c r="O25" i="6"/>
  <c r="I25" i="6"/>
  <c r="AG24" i="6"/>
  <c r="AA24" i="6"/>
  <c r="U24" i="6"/>
  <c r="E180" i="6" s="1"/>
  <c r="O24" i="6"/>
  <c r="I24" i="6"/>
  <c r="AG23" i="6"/>
  <c r="AI23" i="6" s="1"/>
  <c r="AA23" i="6"/>
  <c r="U23" i="6"/>
  <c r="O23" i="6"/>
  <c r="I23" i="6"/>
  <c r="AG22" i="6"/>
  <c r="AI22" i="6" s="1"/>
  <c r="AA22" i="6"/>
  <c r="U22" i="6"/>
  <c r="E178" i="6" s="1"/>
  <c r="O22" i="6"/>
  <c r="D178" i="6" s="1"/>
  <c r="I22" i="6"/>
  <c r="AG21" i="6"/>
  <c r="G194" i="6" s="1"/>
  <c r="H194" i="6" s="1"/>
  <c r="AA21" i="6"/>
  <c r="U21" i="6"/>
  <c r="O21" i="6"/>
  <c r="I21" i="6"/>
  <c r="C194" i="6" s="1"/>
  <c r="AH20" i="6"/>
  <c r="AG20" i="6"/>
  <c r="G193" i="6" s="1"/>
  <c r="AA20" i="6"/>
  <c r="U20" i="6"/>
  <c r="E193" i="6" s="1"/>
  <c r="O20" i="6"/>
  <c r="I20" i="6"/>
  <c r="AI19" i="6"/>
  <c r="AH19" i="6"/>
  <c r="AG19" i="6"/>
  <c r="G192" i="6" s="1"/>
  <c r="H192" i="6" s="1"/>
  <c r="AA19" i="6"/>
  <c r="F192" i="6" s="1"/>
  <c r="U19" i="6"/>
  <c r="E192" i="6" s="1"/>
  <c r="O19" i="6"/>
  <c r="I19" i="6"/>
  <c r="C192" i="6" s="1"/>
  <c r="AG18" i="6"/>
  <c r="AI18" i="6" s="1"/>
  <c r="AA18" i="6"/>
  <c r="U18" i="6"/>
  <c r="E191" i="6" s="1"/>
  <c r="O18" i="6"/>
  <c r="D191" i="6" s="1"/>
  <c r="I18" i="6"/>
  <c r="C191" i="6" s="1"/>
  <c r="AG17" i="6"/>
  <c r="AA17" i="6"/>
  <c r="U17" i="6"/>
  <c r="O17" i="6"/>
  <c r="I17" i="6"/>
  <c r="C190" i="6" s="1"/>
  <c r="AH16" i="6"/>
  <c r="AG16" i="6"/>
  <c r="G189" i="6" s="1"/>
  <c r="AA16" i="6"/>
  <c r="U16" i="6"/>
  <c r="O16" i="6"/>
  <c r="I16" i="6"/>
  <c r="AG15" i="6"/>
  <c r="AA15" i="6"/>
  <c r="F188" i="6" s="1"/>
  <c r="U15" i="6"/>
  <c r="E188" i="6" s="1"/>
  <c r="O15" i="6"/>
  <c r="D188" i="6" s="1"/>
  <c r="I15" i="6"/>
  <c r="AG14" i="6"/>
  <c r="G187" i="6" s="1"/>
  <c r="AA14" i="6"/>
  <c r="U14" i="6"/>
  <c r="E187" i="6" s="1"/>
  <c r="O14" i="6"/>
  <c r="I14" i="6"/>
  <c r="C187" i="6" s="1"/>
  <c r="AG13" i="6"/>
  <c r="AH13" i="6" s="1"/>
  <c r="AA13" i="6"/>
  <c r="U13" i="6"/>
  <c r="O13" i="6"/>
  <c r="AI13" i="6" s="1"/>
  <c r="I13" i="6"/>
  <c r="C186" i="6" s="1"/>
  <c r="AI12" i="6"/>
  <c r="AG12" i="6"/>
  <c r="AA12" i="6"/>
  <c r="AH12" i="6" s="1"/>
  <c r="U12" i="6"/>
  <c r="O12" i="6"/>
  <c r="D185" i="6" s="1"/>
  <c r="I12" i="6"/>
  <c r="C185" i="6" s="1"/>
  <c r="AH11" i="6"/>
  <c r="AG11" i="6"/>
  <c r="AI11" i="6" s="1"/>
  <c r="AA11" i="6"/>
  <c r="U11" i="6"/>
  <c r="E184" i="6" s="1"/>
  <c r="O11" i="6"/>
  <c r="D184" i="6" s="1"/>
  <c r="I11" i="6"/>
  <c r="C184" i="6" s="1"/>
  <c r="AI10" i="6"/>
  <c r="AH10" i="6"/>
  <c r="AG10" i="6"/>
  <c r="AA10" i="6"/>
  <c r="U10" i="6"/>
  <c r="E183" i="6" s="1"/>
  <c r="O10" i="6"/>
  <c r="D183" i="6" s="1"/>
  <c r="I10" i="6"/>
  <c r="AI9" i="6"/>
  <c r="AG9" i="6"/>
  <c r="AH9" i="6" s="1"/>
  <c r="AA9" i="6"/>
  <c r="F182" i="6" s="1"/>
  <c r="U9" i="6"/>
  <c r="E182" i="6" s="1"/>
  <c r="O9" i="6"/>
  <c r="D182" i="6" s="1"/>
  <c r="I9" i="6"/>
  <c r="C182" i="6" s="1"/>
  <c r="AG8" i="6"/>
  <c r="AA8" i="6"/>
  <c r="F181" i="6" s="1"/>
  <c r="U8" i="6"/>
  <c r="E181" i="6" s="1"/>
  <c r="O8" i="6"/>
  <c r="I8" i="6"/>
  <c r="AG7" i="6"/>
  <c r="AA7" i="6"/>
  <c r="F180" i="6" s="1"/>
  <c r="U7" i="6"/>
  <c r="O7" i="6"/>
  <c r="D180" i="6" s="1"/>
  <c r="I7" i="6"/>
  <c r="AG6" i="6"/>
  <c r="G179" i="6" s="1"/>
  <c r="AA6" i="6"/>
  <c r="F179" i="6" s="1"/>
  <c r="U6" i="6"/>
  <c r="E179" i="6" s="1"/>
  <c r="O6" i="6"/>
  <c r="I6" i="6"/>
  <c r="C179" i="6" s="1"/>
  <c r="AG5" i="6"/>
  <c r="G178" i="6" s="1"/>
  <c r="AA5" i="6"/>
  <c r="U5" i="6"/>
  <c r="O5" i="6"/>
  <c r="I5" i="6"/>
  <c r="F189" i="5"/>
  <c r="E184" i="5"/>
  <c r="C179" i="5"/>
  <c r="AH174" i="5"/>
  <c r="AG174" i="5"/>
  <c r="AI174" i="5" s="1"/>
  <c r="AA174" i="5"/>
  <c r="U174" i="5"/>
  <c r="O174" i="5"/>
  <c r="I174" i="5"/>
  <c r="AG173" i="5"/>
  <c r="AA173" i="5"/>
  <c r="U173" i="5"/>
  <c r="O173" i="5"/>
  <c r="I173" i="5"/>
  <c r="AG172" i="5"/>
  <c r="AA172" i="5"/>
  <c r="AH172" i="5" s="1"/>
  <c r="U172" i="5"/>
  <c r="O172" i="5"/>
  <c r="AI172" i="5" s="1"/>
  <c r="I172" i="5"/>
  <c r="AG171" i="5"/>
  <c r="AA171" i="5"/>
  <c r="AH171" i="5" s="1"/>
  <c r="U171" i="5"/>
  <c r="O171" i="5"/>
  <c r="AI171" i="5" s="1"/>
  <c r="I171" i="5"/>
  <c r="AI170" i="5"/>
  <c r="AG170" i="5"/>
  <c r="AA170" i="5"/>
  <c r="AH170" i="5" s="1"/>
  <c r="U170" i="5"/>
  <c r="O170" i="5"/>
  <c r="I170" i="5"/>
  <c r="AH169" i="5"/>
  <c r="AG169" i="5"/>
  <c r="AI169" i="5" s="1"/>
  <c r="AA169" i="5"/>
  <c r="U169" i="5"/>
  <c r="O169" i="5"/>
  <c r="I169" i="5"/>
  <c r="AH168" i="5"/>
  <c r="AG168" i="5"/>
  <c r="AI168" i="5" s="1"/>
  <c r="AA168" i="5"/>
  <c r="U168" i="5"/>
  <c r="O168" i="5"/>
  <c r="I168" i="5"/>
  <c r="AI167" i="5"/>
  <c r="AG167" i="5"/>
  <c r="AH167" i="5" s="1"/>
  <c r="AA167" i="5"/>
  <c r="U167" i="5"/>
  <c r="O167" i="5"/>
  <c r="I167" i="5"/>
  <c r="AH166" i="5"/>
  <c r="AG166" i="5"/>
  <c r="AI166" i="5" s="1"/>
  <c r="AA166" i="5"/>
  <c r="U166" i="5"/>
  <c r="O166" i="5"/>
  <c r="I166" i="5"/>
  <c r="AG165" i="5"/>
  <c r="AI165" i="5" s="1"/>
  <c r="AA165" i="5"/>
  <c r="U165" i="5"/>
  <c r="O165" i="5"/>
  <c r="I165" i="5"/>
  <c r="AG164" i="5"/>
  <c r="AA164" i="5"/>
  <c r="U164" i="5"/>
  <c r="O164" i="5"/>
  <c r="I164" i="5"/>
  <c r="AG163" i="5"/>
  <c r="AI163" i="5" s="1"/>
  <c r="AA163" i="5"/>
  <c r="U163" i="5"/>
  <c r="O163" i="5"/>
  <c r="I163" i="5"/>
  <c r="AG162" i="5"/>
  <c r="AH162" i="5" s="1"/>
  <c r="AA162" i="5"/>
  <c r="U162" i="5"/>
  <c r="O162" i="5"/>
  <c r="AI162" i="5" s="1"/>
  <c r="I162" i="5"/>
  <c r="AI161" i="5"/>
  <c r="AH161" i="5"/>
  <c r="AG161" i="5"/>
  <c r="AA161" i="5"/>
  <c r="U161" i="5"/>
  <c r="O161" i="5"/>
  <c r="I161" i="5"/>
  <c r="AG160" i="5"/>
  <c r="AI160" i="5" s="1"/>
  <c r="AA160" i="5"/>
  <c r="U160" i="5"/>
  <c r="O160" i="5"/>
  <c r="I160" i="5"/>
  <c r="AI159" i="5"/>
  <c r="AH159" i="5"/>
  <c r="AG159" i="5"/>
  <c r="AA159" i="5"/>
  <c r="U159" i="5"/>
  <c r="O159" i="5"/>
  <c r="I159" i="5"/>
  <c r="AH158" i="5"/>
  <c r="AG158" i="5"/>
  <c r="AI158" i="5" s="1"/>
  <c r="AA158" i="5"/>
  <c r="U158" i="5"/>
  <c r="O158" i="5"/>
  <c r="I158" i="5"/>
  <c r="AG157" i="5"/>
  <c r="AI157" i="5" s="1"/>
  <c r="AA157" i="5"/>
  <c r="U157" i="5"/>
  <c r="O157" i="5"/>
  <c r="I157" i="5"/>
  <c r="AG156" i="5"/>
  <c r="AA156" i="5"/>
  <c r="AH156" i="5" s="1"/>
  <c r="U156" i="5"/>
  <c r="O156" i="5"/>
  <c r="AI156" i="5" s="1"/>
  <c r="I156" i="5"/>
  <c r="AG155" i="5"/>
  <c r="AA155" i="5"/>
  <c r="AH155" i="5" s="1"/>
  <c r="U155" i="5"/>
  <c r="O155" i="5"/>
  <c r="AI155" i="5" s="1"/>
  <c r="I155" i="5"/>
  <c r="AG154" i="5"/>
  <c r="AA154" i="5"/>
  <c r="AH154" i="5" s="1"/>
  <c r="U154" i="5"/>
  <c r="O154" i="5"/>
  <c r="AI154" i="5" s="1"/>
  <c r="I154" i="5"/>
  <c r="AH153" i="5"/>
  <c r="AG153" i="5"/>
  <c r="AI153" i="5" s="1"/>
  <c r="AA153" i="5"/>
  <c r="U153" i="5"/>
  <c r="O153" i="5"/>
  <c r="I153" i="5"/>
  <c r="AI152" i="5"/>
  <c r="AH152" i="5"/>
  <c r="AG152" i="5"/>
  <c r="AA152" i="5"/>
  <c r="U152" i="5"/>
  <c r="O152" i="5"/>
  <c r="I152" i="5"/>
  <c r="AI151" i="5"/>
  <c r="AG151" i="5"/>
  <c r="AH151" i="5" s="1"/>
  <c r="AA151" i="5"/>
  <c r="U151" i="5"/>
  <c r="O151" i="5"/>
  <c r="I151" i="5"/>
  <c r="AG150" i="5"/>
  <c r="AI150" i="5" s="1"/>
  <c r="AA150" i="5"/>
  <c r="U150" i="5"/>
  <c r="O150" i="5"/>
  <c r="I150" i="5"/>
  <c r="AG149" i="5"/>
  <c r="AA149" i="5"/>
  <c r="U149" i="5"/>
  <c r="O149" i="5"/>
  <c r="I149" i="5"/>
  <c r="AG148" i="5"/>
  <c r="AI148" i="5" s="1"/>
  <c r="AA148" i="5"/>
  <c r="U148" i="5"/>
  <c r="O148" i="5"/>
  <c r="I148" i="5"/>
  <c r="AG147" i="5"/>
  <c r="AI147" i="5" s="1"/>
  <c r="AA147" i="5"/>
  <c r="U147" i="5"/>
  <c r="O147" i="5"/>
  <c r="I147" i="5"/>
  <c r="AG146" i="5"/>
  <c r="AH146" i="5" s="1"/>
  <c r="AA146" i="5"/>
  <c r="U146" i="5"/>
  <c r="O146" i="5"/>
  <c r="AI146" i="5" s="1"/>
  <c r="I146" i="5"/>
  <c r="AI145" i="5"/>
  <c r="AH145" i="5"/>
  <c r="AG145" i="5"/>
  <c r="AA145" i="5"/>
  <c r="U145" i="5"/>
  <c r="O145" i="5"/>
  <c r="I145" i="5"/>
  <c r="AG144" i="5"/>
  <c r="AI144" i="5" s="1"/>
  <c r="AA144" i="5"/>
  <c r="U144" i="5"/>
  <c r="O144" i="5"/>
  <c r="I144" i="5"/>
  <c r="AG143" i="5"/>
  <c r="AI143" i="5" s="1"/>
  <c r="AA143" i="5"/>
  <c r="U143" i="5"/>
  <c r="O143" i="5"/>
  <c r="I143" i="5"/>
  <c r="AH142" i="5"/>
  <c r="AG142" i="5"/>
  <c r="AI142" i="5" s="1"/>
  <c r="AA142" i="5"/>
  <c r="U142" i="5"/>
  <c r="O142" i="5"/>
  <c r="I142" i="5"/>
  <c r="AG141" i="5"/>
  <c r="AI141" i="5" s="1"/>
  <c r="AA141" i="5"/>
  <c r="U141" i="5"/>
  <c r="O141" i="5"/>
  <c r="I141" i="5"/>
  <c r="AG140" i="5"/>
  <c r="AA140" i="5"/>
  <c r="AH140" i="5" s="1"/>
  <c r="U140" i="5"/>
  <c r="O140" i="5"/>
  <c r="AI140" i="5" s="1"/>
  <c r="I140" i="5"/>
  <c r="AG139" i="5"/>
  <c r="AA139" i="5"/>
  <c r="AH139" i="5" s="1"/>
  <c r="U139" i="5"/>
  <c r="O139" i="5"/>
  <c r="AI139" i="5" s="1"/>
  <c r="I139" i="5"/>
  <c r="AI138" i="5"/>
  <c r="AG138" i="5"/>
  <c r="AA138" i="5"/>
  <c r="AH138" i="5" s="1"/>
  <c r="U138" i="5"/>
  <c r="O138" i="5"/>
  <c r="I138" i="5"/>
  <c r="AH137" i="5"/>
  <c r="AG137" i="5"/>
  <c r="AI137" i="5" s="1"/>
  <c r="AA137" i="5"/>
  <c r="U137" i="5"/>
  <c r="O137" i="5"/>
  <c r="I137" i="5"/>
  <c r="AI136" i="5"/>
  <c r="AG136" i="5"/>
  <c r="AH136" i="5" s="1"/>
  <c r="AA136" i="5"/>
  <c r="U136" i="5"/>
  <c r="O136" i="5"/>
  <c r="I136" i="5"/>
  <c r="AI135" i="5"/>
  <c r="AG135" i="5"/>
  <c r="AH135" i="5" s="1"/>
  <c r="AA135" i="5"/>
  <c r="U135" i="5"/>
  <c r="O135" i="5"/>
  <c r="I135" i="5"/>
  <c r="AI134" i="5"/>
  <c r="AG134" i="5"/>
  <c r="AA134" i="5"/>
  <c r="AH134" i="5" s="1"/>
  <c r="U134" i="5"/>
  <c r="O134" i="5"/>
  <c r="I134" i="5"/>
  <c r="AG133" i="5"/>
  <c r="AA133" i="5"/>
  <c r="U133" i="5"/>
  <c r="O133" i="5"/>
  <c r="I133" i="5"/>
  <c r="AG132" i="5"/>
  <c r="AA132" i="5"/>
  <c r="U132" i="5"/>
  <c r="O132" i="5"/>
  <c r="I132" i="5"/>
  <c r="AG131" i="5"/>
  <c r="AI131" i="5" s="1"/>
  <c r="AA131" i="5"/>
  <c r="U131" i="5"/>
  <c r="O131" i="5"/>
  <c r="I131" i="5"/>
  <c r="AG130" i="5"/>
  <c r="AH130" i="5" s="1"/>
  <c r="AA130" i="5"/>
  <c r="U130" i="5"/>
  <c r="O130" i="5"/>
  <c r="AI130" i="5" s="1"/>
  <c r="I130" i="5"/>
  <c r="AI129" i="5"/>
  <c r="AH129" i="5"/>
  <c r="AG129" i="5"/>
  <c r="AA129" i="5"/>
  <c r="U129" i="5"/>
  <c r="O129" i="5"/>
  <c r="I129" i="5"/>
  <c r="AG128" i="5"/>
  <c r="AI128" i="5" s="1"/>
  <c r="AA128" i="5"/>
  <c r="U128" i="5"/>
  <c r="O128" i="5"/>
  <c r="I128" i="5"/>
  <c r="AI127" i="5"/>
  <c r="AH127" i="5"/>
  <c r="AG127" i="5"/>
  <c r="AA127" i="5"/>
  <c r="F181" i="5" s="1"/>
  <c r="U127" i="5"/>
  <c r="O127" i="5"/>
  <c r="I127" i="5"/>
  <c r="AH126" i="5"/>
  <c r="AG126" i="5"/>
  <c r="AI126" i="5" s="1"/>
  <c r="AA126" i="5"/>
  <c r="U126" i="5"/>
  <c r="O126" i="5"/>
  <c r="I126" i="5"/>
  <c r="AG125" i="5"/>
  <c r="AA125" i="5"/>
  <c r="U125" i="5"/>
  <c r="O125" i="5"/>
  <c r="I125" i="5"/>
  <c r="AG124" i="5"/>
  <c r="AA124" i="5"/>
  <c r="AH124" i="5" s="1"/>
  <c r="U124" i="5"/>
  <c r="O124" i="5"/>
  <c r="AI124" i="5" s="1"/>
  <c r="I124" i="5"/>
  <c r="AG123" i="5"/>
  <c r="AA123" i="5"/>
  <c r="AH123" i="5" s="1"/>
  <c r="U123" i="5"/>
  <c r="O123" i="5"/>
  <c r="AI123" i="5" s="1"/>
  <c r="I123" i="5"/>
  <c r="AG122" i="5"/>
  <c r="AA122" i="5"/>
  <c r="AH122" i="5" s="1"/>
  <c r="U122" i="5"/>
  <c r="O122" i="5"/>
  <c r="AI122" i="5" s="1"/>
  <c r="I122" i="5"/>
  <c r="AH121" i="5"/>
  <c r="AG121" i="5"/>
  <c r="AA121" i="5"/>
  <c r="U121" i="5"/>
  <c r="O121" i="5"/>
  <c r="I121" i="5"/>
  <c r="AI120" i="5"/>
  <c r="AH120" i="5"/>
  <c r="AG120" i="5"/>
  <c r="AA120" i="5"/>
  <c r="U120" i="5"/>
  <c r="O120" i="5"/>
  <c r="I120" i="5"/>
  <c r="AI119" i="5"/>
  <c r="AG119" i="5"/>
  <c r="AH119" i="5" s="1"/>
  <c r="AA119" i="5"/>
  <c r="U119" i="5"/>
  <c r="O119" i="5"/>
  <c r="I119" i="5"/>
  <c r="AH118" i="5"/>
  <c r="AG118" i="5"/>
  <c r="AI118" i="5" s="1"/>
  <c r="AA118" i="5"/>
  <c r="U118" i="5"/>
  <c r="O118" i="5"/>
  <c r="I118" i="5"/>
  <c r="AG117" i="5"/>
  <c r="AA117" i="5"/>
  <c r="U117" i="5"/>
  <c r="O117" i="5"/>
  <c r="I117" i="5"/>
  <c r="AG116" i="5"/>
  <c r="AA116" i="5"/>
  <c r="U116" i="5"/>
  <c r="O116" i="5"/>
  <c r="I116" i="5"/>
  <c r="AG115" i="5"/>
  <c r="AI115" i="5" s="1"/>
  <c r="AA115" i="5"/>
  <c r="U115" i="5"/>
  <c r="O115" i="5"/>
  <c r="I115" i="5"/>
  <c r="AG114" i="5"/>
  <c r="AH114" i="5" s="1"/>
  <c r="AA114" i="5"/>
  <c r="U114" i="5"/>
  <c r="O114" i="5"/>
  <c r="AI114" i="5" s="1"/>
  <c r="I114" i="5"/>
  <c r="AI113" i="5"/>
  <c r="AH113" i="5"/>
  <c r="AG113" i="5"/>
  <c r="AA113" i="5"/>
  <c r="U113" i="5"/>
  <c r="O113" i="5"/>
  <c r="I113" i="5"/>
  <c r="AG112" i="5"/>
  <c r="AI112" i="5" s="1"/>
  <c r="AA112" i="5"/>
  <c r="U112" i="5"/>
  <c r="O112" i="5"/>
  <c r="I112" i="5"/>
  <c r="AG111" i="5"/>
  <c r="AI111" i="5" s="1"/>
  <c r="AA111" i="5"/>
  <c r="U111" i="5"/>
  <c r="O111" i="5"/>
  <c r="I111" i="5"/>
  <c r="AH110" i="5"/>
  <c r="AG110" i="5"/>
  <c r="AI110" i="5" s="1"/>
  <c r="AA110" i="5"/>
  <c r="U110" i="5"/>
  <c r="O110" i="5"/>
  <c r="I110" i="5"/>
  <c r="AG109" i="5"/>
  <c r="AA109" i="5"/>
  <c r="AH109" i="5" s="1"/>
  <c r="U109" i="5"/>
  <c r="O109" i="5"/>
  <c r="I109" i="5"/>
  <c r="AG108" i="5"/>
  <c r="AA108" i="5"/>
  <c r="AH108" i="5" s="1"/>
  <c r="U108" i="5"/>
  <c r="O108" i="5"/>
  <c r="AI108" i="5" s="1"/>
  <c r="I108" i="5"/>
  <c r="AG107" i="5"/>
  <c r="AA107" i="5"/>
  <c r="AH107" i="5" s="1"/>
  <c r="U107" i="5"/>
  <c r="O107" i="5"/>
  <c r="AI107" i="5" s="1"/>
  <c r="I107" i="5"/>
  <c r="AG106" i="5"/>
  <c r="AA106" i="5"/>
  <c r="AH106" i="5" s="1"/>
  <c r="U106" i="5"/>
  <c r="O106" i="5"/>
  <c r="AI106" i="5" s="1"/>
  <c r="I106" i="5"/>
  <c r="AH105" i="5"/>
  <c r="AG105" i="5"/>
  <c r="AI105" i="5" s="1"/>
  <c r="AA105" i="5"/>
  <c r="U105" i="5"/>
  <c r="O105" i="5"/>
  <c r="I105" i="5"/>
  <c r="AH104" i="5"/>
  <c r="AG104" i="5"/>
  <c r="AI104" i="5" s="1"/>
  <c r="AA104" i="5"/>
  <c r="U104" i="5"/>
  <c r="O104" i="5"/>
  <c r="I104" i="5"/>
  <c r="AI103" i="5"/>
  <c r="AG103" i="5"/>
  <c r="AH103" i="5" s="1"/>
  <c r="AA103" i="5"/>
  <c r="U103" i="5"/>
  <c r="O103" i="5"/>
  <c r="I103" i="5"/>
  <c r="AG102" i="5"/>
  <c r="AI102" i="5" s="1"/>
  <c r="AA102" i="5"/>
  <c r="U102" i="5"/>
  <c r="O102" i="5"/>
  <c r="I102" i="5"/>
  <c r="AG101" i="5"/>
  <c r="AA101" i="5"/>
  <c r="U101" i="5"/>
  <c r="O101" i="5"/>
  <c r="I101" i="5"/>
  <c r="AG100" i="5"/>
  <c r="AA100" i="5"/>
  <c r="U100" i="5"/>
  <c r="O100" i="5"/>
  <c r="I100" i="5"/>
  <c r="AG99" i="5"/>
  <c r="AI99" i="5" s="1"/>
  <c r="AA99" i="5"/>
  <c r="U99" i="5"/>
  <c r="O99" i="5"/>
  <c r="I99" i="5"/>
  <c r="AG98" i="5"/>
  <c r="AH98" i="5" s="1"/>
  <c r="AA98" i="5"/>
  <c r="U98" i="5"/>
  <c r="O98" i="5"/>
  <c r="AI98" i="5" s="1"/>
  <c r="I98" i="5"/>
  <c r="AI97" i="5"/>
  <c r="AH97" i="5"/>
  <c r="AG97" i="5"/>
  <c r="AA97" i="5"/>
  <c r="U97" i="5"/>
  <c r="O97" i="5"/>
  <c r="I97" i="5"/>
  <c r="AG96" i="5"/>
  <c r="AI96" i="5" s="1"/>
  <c r="AA96" i="5"/>
  <c r="U96" i="5"/>
  <c r="O96" i="5"/>
  <c r="I96" i="5"/>
  <c r="AG95" i="5"/>
  <c r="AI95" i="5" s="1"/>
  <c r="AA95" i="5"/>
  <c r="U95" i="5"/>
  <c r="O95" i="5"/>
  <c r="I95" i="5"/>
  <c r="AH94" i="5"/>
  <c r="AG94" i="5"/>
  <c r="AI94" i="5" s="1"/>
  <c r="AA94" i="5"/>
  <c r="U94" i="5"/>
  <c r="O94" i="5"/>
  <c r="I94" i="5"/>
  <c r="AH93" i="5"/>
  <c r="AG93" i="5"/>
  <c r="AI93" i="5" s="1"/>
  <c r="AA93" i="5"/>
  <c r="U93" i="5"/>
  <c r="O93" i="5"/>
  <c r="I93" i="5"/>
  <c r="AG92" i="5"/>
  <c r="AA92" i="5"/>
  <c r="AH92" i="5" s="1"/>
  <c r="U92" i="5"/>
  <c r="O92" i="5"/>
  <c r="AI92" i="5" s="1"/>
  <c r="I92" i="5"/>
  <c r="AG91" i="5"/>
  <c r="AA91" i="5"/>
  <c r="AH91" i="5" s="1"/>
  <c r="U91" i="5"/>
  <c r="O91" i="5"/>
  <c r="AI91" i="5" s="1"/>
  <c r="I91" i="5"/>
  <c r="AI90" i="5"/>
  <c r="AG90" i="5"/>
  <c r="AA90" i="5"/>
  <c r="AH90" i="5" s="1"/>
  <c r="U90" i="5"/>
  <c r="O90" i="5"/>
  <c r="I90" i="5"/>
  <c r="AH89" i="5"/>
  <c r="AG89" i="5"/>
  <c r="AA89" i="5"/>
  <c r="U89" i="5"/>
  <c r="O89" i="5"/>
  <c r="I89" i="5"/>
  <c r="AG88" i="5"/>
  <c r="AI88" i="5" s="1"/>
  <c r="AA88" i="5"/>
  <c r="U88" i="5"/>
  <c r="O88" i="5"/>
  <c r="I88" i="5"/>
  <c r="AI87" i="5"/>
  <c r="AG87" i="5"/>
  <c r="AH87" i="5" s="1"/>
  <c r="AA87" i="5"/>
  <c r="U87" i="5"/>
  <c r="O87" i="5"/>
  <c r="I87" i="5"/>
  <c r="AI86" i="5"/>
  <c r="AH86" i="5"/>
  <c r="AG86" i="5"/>
  <c r="AA86" i="5"/>
  <c r="U86" i="5"/>
  <c r="O86" i="5"/>
  <c r="I86" i="5"/>
  <c r="AG85" i="5"/>
  <c r="AA85" i="5"/>
  <c r="U85" i="5"/>
  <c r="O85" i="5"/>
  <c r="I85" i="5"/>
  <c r="AG84" i="5"/>
  <c r="AA84" i="5"/>
  <c r="U84" i="5"/>
  <c r="O84" i="5"/>
  <c r="I84" i="5"/>
  <c r="AG83" i="5"/>
  <c r="AI83" i="5" s="1"/>
  <c r="AA83" i="5"/>
  <c r="U83" i="5"/>
  <c r="O83" i="5"/>
  <c r="I83" i="5"/>
  <c r="AG82" i="5"/>
  <c r="AH82" i="5" s="1"/>
  <c r="AA82" i="5"/>
  <c r="U82" i="5"/>
  <c r="O82" i="5"/>
  <c r="I82" i="5"/>
  <c r="AI81" i="5"/>
  <c r="AH81" i="5"/>
  <c r="AG81" i="5"/>
  <c r="AA81" i="5"/>
  <c r="U81" i="5"/>
  <c r="O81" i="5"/>
  <c r="I81" i="5"/>
  <c r="AG80" i="5"/>
  <c r="AI80" i="5" s="1"/>
  <c r="AA80" i="5"/>
  <c r="U80" i="5"/>
  <c r="O80" i="5"/>
  <c r="I80" i="5"/>
  <c r="AI79" i="5"/>
  <c r="AH79" i="5"/>
  <c r="AG79" i="5"/>
  <c r="AA79" i="5"/>
  <c r="U79" i="5"/>
  <c r="O79" i="5"/>
  <c r="I79" i="5"/>
  <c r="AH78" i="5"/>
  <c r="AG78" i="5"/>
  <c r="AI78" i="5" s="1"/>
  <c r="AA78" i="5"/>
  <c r="U78" i="5"/>
  <c r="O78" i="5"/>
  <c r="I78" i="5"/>
  <c r="AG77" i="5"/>
  <c r="AI77" i="5" s="1"/>
  <c r="AA77" i="5"/>
  <c r="U77" i="5"/>
  <c r="O77" i="5"/>
  <c r="I77" i="5"/>
  <c r="AG76" i="5"/>
  <c r="AA76" i="5"/>
  <c r="AH76" i="5" s="1"/>
  <c r="U76" i="5"/>
  <c r="O76" i="5"/>
  <c r="AI76" i="5" s="1"/>
  <c r="I76" i="5"/>
  <c r="AG75" i="5"/>
  <c r="AA75" i="5"/>
  <c r="AH75" i="5" s="1"/>
  <c r="U75" i="5"/>
  <c r="E180" i="5" s="1"/>
  <c r="O75" i="5"/>
  <c r="AI75" i="5" s="1"/>
  <c r="I75" i="5"/>
  <c r="AG74" i="5"/>
  <c r="AA74" i="5"/>
  <c r="AH74" i="5" s="1"/>
  <c r="U74" i="5"/>
  <c r="O74" i="5"/>
  <c r="AI74" i="5" s="1"/>
  <c r="I74" i="5"/>
  <c r="AH73" i="5"/>
  <c r="AG73" i="5"/>
  <c r="AA73" i="5"/>
  <c r="U73" i="5"/>
  <c r="O73" i="5"/>
  <c r="I73" i="5"/>
  <c r="AI72" i="5"/>
  <c r="AH72" i="5"/>
  <c r="AG72" i="5"/>
  <c r="AA72" i="5"/>
  <c r="U72" i="5"/>
  <c r="O72" i="5"/>
  <c r="I72" i="5"/>
  <c r="AI71" i="5"/>
  <c r="AG71" i="5"/>
  <c r="AH71" i="5" s="1"/>
  <c r="AA71" i="5"/>
  <c r="U71" i="5"/>
  <c r="O71" i="5"/>
  <c r="I71" i="5"/>
  <c r="AG70" i="5"/>
  <c r="AI70" i="5" s="1"/>
  <c r="AA70" i="5"/>
  <c r="U70" i="5"/>
  <c r="O70" i="5"/>
  <c r="I70" i="5"/>
  <c r="AG69" i="5"/>
  <c r="AA69" i="5"/>
  <c r="U69" i="5"/>
  <c r="O69" i="5"/>
  <c r="I69" i="5"/>
  <c r="AG68" i="5"/>
  <c r="AA68" i="5"/>
  <c r="U68" i="5"/>
  <c r="O68" i="5"/>
  <c r="I68" i="5"/>
  <c r="AG67" i="5"/>
  <c r="AI67" i="5" s="1"/>
  <c r="AA67" i="5"/>
  <c r="U67" i="5"/>
  <c r="O67" i="5"/>
  <c r="I67" i="5"/>
  <c r="AG66" i="5"/>
  <c r="AH66" i="5" s="1"/>
  <c r="AA66" i="5"/>
  <c r="U66" i="5"/>
  <c r="E188" i="5" s="1"/>
  <c r="O66" i="5"/>
  <c r="AI66" i="5" s="1"/>
  <c r="I66" i="5"/>
  <c r="AI65" i="5"/>
  <c r="AH65" i="5"/>
  <c r="AG65" i="5"/>
  <c r="AA65" i="5"/>
  <c r="U65" i="5"/>
  <c r="O65" i="5"/>
  <c r="I65" i="5"/>
  <c r="AG64" i="5"/>
  <c r="AI64" i="5" s="1"/>
  <c r="AA64" i="5"/>
  <c r="U64" i="5"/>
  <c r="O64" i="5"/>
  <c r="I64" i="5"/>
  <c r="AI63" i="5"/>
  <c r="AG63" i="5"/>
  <c r="AA63" i="5"/>
  <c r="AH63" i="5" s="1"/>
  <c r="U63" i="5"/>
  <c r="O63" i="5"/>
  <c r="I63" i="5"/>
  <c r="AH62" i="5"/>
  <c r="AG62" i="5"/>
  <c r="AI62" i="5" s="1"/>
  <c r="AA62" i="5"/>
  <c r="U62" i="5"/>
  <c r="O62" i="5"/>
  <c r="I62" i="5"/>
  <c r="AH61" i="5"/>
  <c r="AG61" i="5"/>
  <c r="AA61" i="5"/>
  <c r="U61" i="5"/>
  <c r="O61" i="5"/>
  <c r="I61" i="5"/>
  <c r="AG60" i="5"/>
  <c r="AA60" i="5"/>
  <c r="AH60" i="5" s="1"/>
  <c r="U60" i="5"/>
  <c r="O60" i="5"/>
  <c r="AI60" i="5" s="1"/>
  <c r="I60" i="5"/>
  <c r="AG59" i="5"/>
  <c r="AA59" i="5"/>
  <c r="AH59" i="5" s="1"/>
  <c r="U59" i="5"/>
  <c r="E181" i="5" s="1"/>
  <c r="O59" i="5"/>
  <c r="AI59" i="5" s="1"/>
  <c r="I59" i="5"/>
  <c r="AG58" i="5"/>
  <c r="AA58" i="5"/>
  <c r="AH58" i="5" s="1"/>
  <c r="U58" i="5"/>
  <c r="O58" i="5"/>
  <c r="AI58" i="5" s="1"/>
  <c r="I58" i="5"/>
  <c r="AG57" i="5"/>
  <c r="AI57" i="5" s="1"/>
  <c r="AA57" i="5"/>
  <c r="AH57" i="5" s="1"/>
  <c r="U57" i="5"/>
  <c r="O57" i="5"/>
  <c r="I57" i="5"/>
  <c r="AI56" i="5"/>
  <c r="AG56" i="5"/>
  <c r="AH56" i="5" s="1"/>
  <c r="AA56" i="5"/>
  <c r="U56" i="5"/>
  <c r="O56" i="5"/>
  <c r="I56" i="5"/>
  <c r="AI55" i="5"/>
  <c r="AG55" i="5"/>
  <c r="AH55" i="5" s="1"/>
  <c r="AA55" i="5"/>
  <c r="U55" i="5"/>
  <c r="O55" i="5"/>
  <c r="I55" i="5"/>
  <c r="AI54" i="5"/>
  <c r="AG54" i="5"/>
  <c r="AA54" i="5"/>
  <c r="AH54" i="5" s="1"/>
  <c r="U54" i="5"/>
  <c r="O54" i="5"/>
  <c r="I54" i="5"/>
  <c r="AG53" i="5"/>
  <c r="AA53" i="5"/>
  <c r="U53" i="5"/>
  <c r="O53" i="5"/>
  <c r="I53" i="5"/>
  <c r="AG52" i="5"/>
  <c r="AA52" i="5"/>
  <c r="U52" i="5"/>
  <c r="O52" i="5"/>
  <c r="I52" i="5"/>
  <c r="AG51" i="5"/>
  <c r="AI51" i="5" s="1"/>
  <c r="AA51" i="5"/>
  <c r="U51" i="5"/>
  <c r="O51" i="5"/>
  <c r="I51" i="5"/>
  <c r="AG50" i="5"/>
  <c r="AI50" i="5" s="1"/>
  <c r="AA50" i="5"/>
  <c r="U50" i="5"/>
  <c r="E189" i="5" s="1"/>
  <c r="O50" i="5"/>
  <c r="D189" i="5" s="1"/>
  <c r="I50" i="5"/>
  <c r="AI49" i="5"/>
  <c r="AH49" i="5"/>
  <c r="AG49" i="5"/>
  <c r="AA49" i="5"/>
  <c r="U49" i="5"/>
  <c r="O49" i="5"/>
  <c r="I49" i="5"/>
  <c r="AG48" i="5"/>
  <c r="AI48" i="5" s="1"/>
  <c r="AA48" i="5"/>
  <c r="U48" i="5"/>
  <c r="O48" i="5"/>
  <c r="I48" i="5"/>
  <c r="C187" i="5" s="1"/>
  <c r="AI47" i="5"/>
  <c r="AH47" i="5"/>
  <c r="AG47" i="5"/>
  <c r="AA47" i="5"/>
  <c r="U47" i="5"/>
  <c r="O47" i="5"/>
  <c r="I47" i="5"/>
  <c r="AH46" i="5"/>
  <c r="AG46" i="5"/>
  <c r="AI46" i="5" s="1"/>
  <c r="AA46" i="5"/>
  <c r="U46" i="5"/>
  <c r="O46" i="5"/>
  <c r="I46" i="5"/>
  <c r="AG45" i="5"/>
  <c r="AA45" i="5"/>
  <c r="U45" i="5"/>
  <c r="O45" i="5"/>
  <c r="I45" i="5"/>
  <c r="AG44" i="5"/>
  <c r="AA44" i="5"/>
  <c r="AH44" i="5" s="1"/>
  <c r="U44" i="5"/>
  <c r="O44" i="5"/>
  <c r="AI44" i="5" s="1"/>
  <c r="I44" i="5"/>
  <c r="AG43" i="5"/>
  <c r="AA43" i="5"/>
  <c r="AH43" i="5" s="1"/>
  <c r="U43" i="5"/>
  <c r="O43" i="5"/>
  <c r="AI43" i="5" s="1"/>
  <c r="I43" i="5"/>
  <c r="AG42" i="5"/>
  <c r="AA42" i="5"/>
  <c r="AH42" i="5" s="1"/>
  <c r="U42" i="5"/>
  <c r="O42" i="5"/>
  <c r="AI42" i="5" s="1"/>
  <c r="I42" i="5"/>
  <c r="AG41" i="5"/>
  <c r="AI41" i="5" s="1"/>
  <c r="AA41" i="5"/>
  <c r="AH41" i="5" s="1"/>
  <c r="U41" i="5"/>
  <c r="O41" i="5"/>
  <c r="I41" i="5"/>
  <c r="AI40" i="5"/>
  <c r="AG40" i="5"/>
  <c r="AH40" i="5" s="1"/>
  <c r="AA40" i="5"/>
  <c r="U40" i="5"/>
  <c r="O40" i="5"/>
  <c r="I40" i="5"/>
  <c r="AI39" i="5"/>
  <c r="AG39" i="5"/>
  <c r="AH39" i="5" s="1"/>
  <c r="AA39" i="5"/>
  <c r="U39" i="5"/>
  <c r="O39" i="5"/>
  <c r="I39" i="5"/>
  <c r="AG38" i="5"/>
  <c r="AI38" i="5" s="1"/>
  <c r="AA38" i="5"/>
  <c r="F194" i="5" s="1"/>
  <c r="U38" i="5"/>
  <c r="O38" i="5"/>
  <c r="I38" i="5"/>
  <c r="AG37" i="5"/>
  <c r="AA37" i="5"/>
  <c r="U37" i="5"/>
  <c r="O37" i="5"/>
  <c r="I37" i="5"/>
  <c r="AG36" i="5"/>
  <c r="AA36" i="5"/>
  <c r="U36" i="5"/>
  <c r="O36" i="5"/>
  <c r="D192" i="5" s="1"/>
  <c r="I36" i="5"/>
  <c r="C192" i="5" s="1"/>
  <c r="AG35" i="5"/>
  <c r="AI35" i="5" s="1"/>
  <c r="AA35" i="5"/>
  <c r="U35" i="5"/>
  <c r="O35" i="5"/>
  <c r="I35" i="5"/>
  <c r="AG34" i="5"/>
  <c r="AA34" i="5"/>
  <c r="U34" i="5"/>
  <c r="O34" i="5"/>
  <c r="I34" i="5"/>
  <c r="AI33" i="5"/>
  <c r="AH33" i="5"/>
  <c r="AG33" i="5"/>
  <c r="AA33" i="5"/>
  <c r="U33" i="5"/>
  <c r="O33" i="5"/>
  <c r="I33" i="5"/>
  <c r="AG32" i="5"/>
  <c r="AI32" i="5" s="1"/>
  <c r="AA32" i="5"/>
  <c r="U32" i="5"/>
  <c r="O32" i="5"/>
  <c r="I32" i="5"/>
  <c r="AI31" i="5"/>
  <c r="AG31" i="5"/>
  <c r="AH31" i="5" s="1"/>
  <c r="AA31" i="5"/>
  <c r="U31" i="5"/>
  <c r="O31" i="5"/>
  <c r="I31" i="5"/>
  <c r="AH30" i="5"/>
  <c r="AG30" i="5"/>
  <c r="AI30" i="5" s="1"/>
  <c r="AA30" i="5"/>
  <c r="U30" i="5"/>
  <c r="O30" i="5"/>
  <c r="I30" i="5"/>
  <c r="AG29" i="5"/>
  <c r="AA29" i="5"/>
  <c r="U29" i="5"/>
  <c r="O29" i="5"/>
  <c r="I29" i="5"/>
  <c r="AG28" i="5"/>
  <c r="AA28" i="5"/>
  <c r="AH28" i="5" s="1"/>
  <c r="U28" i="5"/>
  <c r="O28" i="5"/>
  <c r="AI28" i="5" s="1"/>
  <c r="I28" i="5"/>
  <c r="AG27" i="5"/>
  <c r="AA27" i="5"/>
  <c r="AH27" i="5" s="1"/>
  <c r="U27" i="5"/>
  <c r="E183" i="5" s="1"/>
  <c r="O27" i="5"/>
  <c r="AI27" i="5" s="1"/>
  <c r="I27" i="5"/>
  <c r="C183" i="5" s="1"/>
  <c r="AI26" i="5"/>
  <c r="AG26" i="5"/>
  <c r="AA26" i="5"/>
  <c r="AH26" i="5" s="1"/>
  <c r="U26" i="5"/>
  <c r="O26" i="5"/>
  <c r="I26" i="5"/>
  <c r="AG25" i="5"/>
  <c r="AI25" i="5" s="1"/>
  <c r="AA25" i="5"/>
  <c r="AH25" i="5" s="1"/>
  <c r="U25" i="5"/>
  <c r="O25" i="5"/>
  <c r="D181" i="5" s="1"/>
  <c r="I25" i="5"/>
  <c r="AH24" i="5"/>
  <c r="AG24" i="5"/>
  <c r="AI24" i="5" s="1"/>
  <c r="AA24" i="5"/>
  <c r="U24" i="5"/>
  <c r="O24" i="5"/>
  <c r="I24" i="5"/>
  <c r="AI23" i="5"/>
  <c r="AG23" i="5"/>
  <c r="AH23" i="5" s="1"/>
  <c r="AA23" i="5"/>
  <c r="U23" i="5"/>
  <c r="O23" i="5"/>
  <c r="I23" i="5"/>
  <c r="AI22" i="5"/>
  <c r="AG22" i="5"/>
  <c r="G178" i="5" s="1"/>
  <c r="AA22" i="5"/>
  <c r="F178" i="5" s="1"/>
  <c r="U22" i="5"/>
  <c r="O22" i="5"/>
  <c r="I22" i="5"/>
  <c r="AG21" i="5"/>
  <c r="G194" i="5" s="1"/>
  <c r="H194" i="5" s="1"/>
  <c r="AA21" i="5"/>
  <c r="U21" i="5"/>
  <c r="O21" i="5"/>
  <c r="I21" i="5"/>
  <c r="C194" i="5" s="1"/>
  <c r="AG20" i="5"/>
  <c r="AA20" i="5"/>
  <c r="F193" i="5" s="1"/>
  <c r="U20" i="5"/>
  <c r="E193" i="5" s="1"/>
  <c r="O20" i="5"/>
  <c r="D193" i="5" s="1"/>
  <c r="I20" i="5"/>
  <c r="C193" i="5" s="1"/>
  <c r="AG19" i="5"/>
  <c r="AA19" i="5"/>
  <c r="U19" i="5"/>
  <c r="O19" i="5"/>
  <c r="I19" i="5"/>
  <c r="AG18" i="5"/>
  <c r="AI18" i="5" s="1"/>
  <c r="AA18" i="5"/>
  <c r="F191" i="5" s="1"/>
  <c r="U18" i="5"/>
  <c r="O18" i="5"/>
  <c r="D191" i="5" s="1"/>
  <c r="I18" i="5"/>
  <c r="AI17" i="5"/>
  <c r="AH17" i="5"/>
  <c r="AG17" i="5"/>
  <c r="AA17" i="5"/>
  <c r="F190" i="5" s="1"/>
  <c r="U17" i="5"/>
  <c r="O17" i="5"/>
  <c r="D190" i="5" s="1"/>
  <c r="I17" i="5"/>
  <c r="AG16" i="5"/>
  <c r="AI16" i="5" s="1"/>
  <c r="AA16" i="5"/>
  <c r="U16" i="5"/>
  <c r="O16" i="5"/>
  <c r="I16" i="5"/>
  <c r="C189" i="5" s="1"/>
  <c r="AI15" i="5"/>
  <c r="AG15" i="5"/>
  <c r="G188" i="5" s="1"/>
  <c r="AA15" i="5"/>
  <c r="U15" i="5"/>
  <c r="O15" i="5"/>
  <c r="I15" i="5"/>
  <c r="AH14" i="5"/>
  <c r="AG14" i="5"/>
  <c r="G187" i="5" s="1"/>
  <c r="AA14" i="5"/>
  <c r="F187" i="5" s="1"/>
  <c r="U14" i="5"/>
  <c r="O14" i="5"/>
  <c r="I14" i="5"/>
  <c r="AG13" i="5"/>
  <c r="AI13" i="5" s="1"/>
  <c r="AA13" i="5"/>
  <c r="AH13" i="5" s="1"/>
  <c r="U13" i="5"/>
  <c r="O13" i="5"/>
  <c r="I13" i="5"/>
  <c r="C186" i="5" s="1"/>
  <c r="AG12" i="5"/>
  <c r="AA12" i="5"/>
  <c r="U12" i="5"/>
  <c r="O12" i="5"/>
  <c r="D185" i="5" s="1"/>
  <c r="I12" i="5"/>
  <c r="C185" i="5" s="1"/>
  <c r="AG11" i="5"/>
  <c r="G184" i="5" s="1"/>
  <c r="AA11" i="5"/>
  <c r="U11" i="5"/>
  <c r="O11" i="5"/>
  <c r="AI11" i="5" s="1"/>
  <c r="I11" i="5"/>
  <c r="C184" i="5" s="1"/>
  <c r="AI10" i="5"/>
  <c r="AG10" i="5"/>
  <c r="G183" i="5" s="1"/>
  <c r="AA10" i="5"/>
  <c r="AH10" i="5" s="1"/>
  <c r="U10" i="5"/>
  <c r="O10" i="5"/>
  <c r="I10" i="5"/>
  <c r="AG9" i="5"/>
  <c r="AA9" i="5"/>
  <c r="F182" i="5" s="1"/>
  <c r="U9" i="5"/>
  <c r="O9" i="5"/>
  <c r="D182" i="5" s="1"/>
  <c r="I9" i="5"/>
  <c r="C182" i="5" s="1"/>
  <c r="AI8" i="5"/>
  <c r="AH8" i="5"/>
  <c r="AG8" i="5"/>
  <c r="G181" i="5" s="1"/>
  <c r="AA8" i="5"/>
  <c r="U8" i="5"/>
  <c r="O8" i="5"/>
  <c r="I8" i="5"/>
  <c r="C181" i="5" s="1"/>
  <c r="AI7" i="5"/>
  <c r="AG7" i="5"/>
  <c r="AH7" i="5" s="1"/>
  <c r="AA7" i="5"/>
  <c r="U7" i="5"/>
  <c r="O7" i="5"/>
  <c r="I7" i="5"/>
  <c r="AG6" i="5"/>
  <c r="G179" i="5" s="1"/>
  <c r="H179" i="5" s="1"/>
  <c r="AA6" i="5"/>
  <c r="F179" i="5" s="1"/>
  <c r="U6" i="5"/>
  <c r="E179" i="5" s="1"/>
  <c r="O6" i="5"/>
  <c r="I6" i="5"/>
  <c r="AG5" i="5"/>
  <c r="AA5" i="5"/>
  <c r="U5" i="5"/>
  <c r="O5" i="5"/>
  <c r="D178" i="5" s="1"/>
  <c r="I5" i="5"/>
  <c r="C178" i="5" s="1"/>
  <c r="C194" i="4"/>
  <c r="C189" i="4"/>
  <c r="D183" i="4"/>
  <c r="P174" i="4"/>
  <c r="O174" i="4"/>
  <c r="I174" i="4"/>
  <c r="O173" i="4"/>
  <c r="I173" i="4"/>
  <c r="P173" i="4" s="1"/>
  <c r="O172" i="4"/>
  <c r="P172" i="4" s="1"/>
  <c r="I172" i="4"/>
  <c r="O171" i="4"/>
  <c r="P171" i="4" s="1"/>
  <c r="I171" i="4"/>
  <c r="P170" i="4"/>
  <c r="O170" i="4"/>
  <c r="I170" i="4"/>
  <c r="O169" i="4"/>
  <c r="P169" i="4" s="1"/>
  <c r="I169" i="4"/>
  <c r="O168" i="4"/>
  <c r="P168" i="4" s="1"/>
  <c r="I168" i="4"/>
  <c r="P167" i="4"/>
  <c r="O167" i="4"/>
  <c r="I167" i="4"/>
  <c r="O166" i="4"/>
  <c r="I166" i="4"/>
  <c r="P166" i="4" s="1"/>
  <c r="O165" i="4"/>
  <c r="P165" i="4" s="1"/>
  <c r="I165" i="4"/>
  <c r="P164" i="4"/>
  <c r="O164" i="4"/>
  <c r="I164" i="4"/>
  <c r="O163" i="4"/>
  <c r="I163" i="4"/>
  <c r="P163" i="4" s="1"/>
  <c r="O162" i="4"/>
  <c r="P162" i="4" s="1"/>
  <c r="I162" i="4"/>
  <c r="O161" i="4"/>
  <c r="P161" i="4" s="1"/>
  <c r="I161" i="4"/>
  <c r="O160" i="4"/>
  <c r="I160" i="4"/>
  <c r="P160" i="4" s="1"/>
  <c r="O159" i="4"/>
  <c r="P159" i="4" s="1"/>
  <c r="I159" i="4"/>
  <c r="P158" i="4"/>
  <c r="O158" i="4"/>
  <c r="I158" i="4"/>
  <c r="O157" i="4"/>
  <c r="I157" i="4"/>
  <c r="P157" i="4" s="1"/>
  <c r="O156" i="4"/>
  <c r="P156" i="4" s="1"/>
  <c r="I156" i="4"/>
  <c r="O155" i="4"/>
  <c r="P155" i="4" s="1"/>
  <c r="I155" i="4"/>
  <c r="O154" i="4"/>
  <c r="P154" i="4" s="1"/>
  <c r="I154" i="4"/>
  <c r="P153" i="4"/>
  <c r="O153" i="4"/>
  <c r="I153" i="4"/>
  <c r="O152" i="4"/>
  <c r="P152" i="4" s="1"/>
  <c r="I152" i="4"/>
  <c r="P151" i="4"/>
  <c r="O151" i="4"/>
  <c r="I151" i="4"/>
  <c r="O150" i="4"/>
  <c r="I150" i="4"/>
  <c r="P150" i="4" s="1"/>
  <c r="O149" i="4"/>
  <c r="I149" i="4"/>
  <c r="O148" i="4"/>
  <c r="P148" i="4" s="1"/>
  <c r="I148" i="4"/>
  <c r="O147" i="4"/>
  <c r="I147" i="4"/>
  <c r="P147" i="4" s="1"/>
  <c r="O146" i="4"/>
  <c r="P146" i="4" s="1"/>
  <c r="I146" i="4"/>
  <c r="O145" i="4"/>
  <c r="P145" i="4" s="1"/>
  <c r="I145" i="4"/>
  <c r="O144" i="4"/>
  <c r="I144" i="4"/>
  <c r="P144" i="4" s="1"/>
  <c r="P143" i="4"/>
  <c r="O143" i="4"/>
  <c r="I143" i="4"/>
  <c r="P142" i="4"/>
  <c r="O142" i="4"/>
  <c r="I142" i="4"/>
  <c r="O141" i="4"/>
  <c r="I141" i="4"/>
  <c r="P141" i="4" s="1"/>
  <c r="O140" i="4"/>
  <c r="P140" i="4" s="1"/>
  <c r="I140" i="4"/>
  <c r="O139" i="4"/>
  <c r="P139" i="4" s="1"/>
  <c r="I139" i="4"/>
  <c r="O138" i="4"/>
  <c r="P138" i="4" s="1"/>
  <c r="I138" i="4"/>
  <c r="P137" i="4"/>
  <c r="O137" i="4"/>
  <c r="I137" i="4"/>
  <c r="O136" i="4"/>
  <c r="P136" i="4" s="1"/>
  <c r="I136" i="4"/>
  <c r="P135" i="4"/>
  <c r="O135" i="4"/>
  <c r="I135" i="4"/>
  <c r="O134" i="4"/>
  <c r="I134" i="4"/>
  <c r="P134" i="4" s="1"/>
  <c r="O133" i="4"/>
  <c r="P133" i="4" s="1"/>
  <c r="I133" i="4"/>
  <c r="O132" i="4"/>
  <c r="I132" i="4"/>
  <c r="P132" i="4" s="1"/>
  <c r="O131" i="4"/>
  <c r="I131" i="4"/>
  <c r="P131" i="4" s="1"/>
  <c r="O130" i="4"/>
  <c r="P130" i="4" s="1"/>
  <c r="I130" i="4"/>
  <c r="O129" i="4"/>
  <c r="P129" i="4" s="1"/>
  <c r="I129" i="4"/>
  <c r="O128" i="4"/>
  <c r="I128" i="4"/>
  <c r="P128" i="4" s="1"/>
  <c r="O127" i="4"/>
  <c r="P127" i="4" s="1"/>
  <c r="I127" i="4"/>
  <c r="P126" i="4"/>
  <c r="O126" i="4"/>
  <c r="I126" i="4"/>
  <c r="O125" i="4"/>
  <c r="I125" i="4"/>
  <c r="P125" i="4" s="1"/>
  <c r="O124" i="4"/>
  <c r="P124" i="4" s="1"/>
  <c r="I124" i="4"/>
  <c r="O123" i="4"/>
  <c r="P123" i="4" s="1"/>
  <c r="I123" i="4"/>
  <c r="O122" i="4"/>
  <c r="I122" i="4"/>
  <c r="P122" i="4" s="1"/>
  <c r="O121" i="4"/>
  <c r="P121" i="4" s="1"/>
  <c r="I121" i="4"/>
  <c r="O120" i="4"/>
  <c r="P120" i="4" s="1"/>
  <c r="I120" i="4"/>
  <c r="P119" i="4"/>
  <c r="O119" i="4"/>
  <c r="I119" i="4"/>
  <c r="O118" i="4"/>
  <c r="I118" i="4"/>
  <c r="P118" i="4" s="1"/>
  <c r="O117" i="4"/>
  <c r="P117" i="4" s="1"/>
  <c r="I117" i="4"/>
  <c r="O116" i="4"/>
  <c r="P116" i="4" s="1"/>
  <c r="I116" i="4"/>
  <c r="O115" i="4"/>
  <c r="I115" i="4"/>
  <c r="P115" i="4" s="1"/>
  <c r="O114" i="4"/>
  <c r="P114" i="4" s="1"/>
  <c r="I114" i="4"/>
  <c r="O113" i="4"/>
  <c r="P113" i="4" s="1"/>
  <c r="I113" i="4"/>
  <c r="O112" i="4"/>
  <c r="I112" i="4"/>
  <c r="P112" i="4" s="1"/>
  <c r="O111" i="4"/>
  <c r="P111" i="4" s="1"/>
  <c r="I111" i="4"/>
  <c r="P110" i="4"/>
  <c r="O110" i="4"/>
  <c r="I110" i="4"/>
  <c r="O109" i="4"/>
  <c r="I109" i="4"/>
  <c r="P109" i="4" s="1"/>
  <c r="O108" i="4"/>
  <c r="P108" i="4" s="1"/>
  <c r="I108" i="4"/>
  <c r="O107" i="4"/>
  <c r="P107" i="4" s="1"/>
  <c r="I107" i="4"/>
  <c r="P106" i="4"/>
  <c r="O106" i="4"/>
  <c r="I106" i="4"/>
  <c r="O105" i="4"/>
  <c r="P105" i="4" s="1"/>
  <c r="I105" i="4"/>
  <c r="O104" i="4"/>
  <c r="P104" i="4" s="1"/>
  <c r="I104" i="4"/>
  <c r="P103" i="4"/>
  <c r="O103" i="4"/>
  <c r="I103" i="4"/>
  <c r="O102" i="4"/>
  <c r="I102" i="4"/>
  <c r="P102" i="4" s="1"/>
  <c r="O101" i="4"/>
  <c r="I101" i="4"/>
  <c r="O100" i="4"/>
  <c r="P100" i="4" s="1"/>
  <c r="I100" i="4"/>
  <c r="O99" i="4"/>
  <c r="I99" i="4"/>
  <c r="P99" i="4" s="1"/>
  <c r="O98" i="4"/>
  <c r="P98" i="4" s="1"/>
  <c r="I98" i="4"/>
  <c r="O97" i="4"/>
  <c r="P97" i="4" s="1"/>
  <c r="I97" i="4"/>
  <c r="O96" i="4"/>
  <c r="I96" i="4"/>
  <c r="P96" i="4" s="1"/>
  <c r="O95" i="4"/>
  <c r="P95" i="4" s="1"/>
  <c r="I95" i="4"/>
  <c r="P94" i="4"/>
  <c r="O94" i="4"/>
  <c r="I94" i="4"/>
  <c r="P93" i="4"/>
  <c r="O93" i="4"/>
  <c r="I93" i="4"/>
  <c r="O92" i="4"/>
  <c r="P92" i="4" s="1"/>
  <c r="I92" i="4"/>
  <c r="O91" i="4"/>
  <c r="P91" i="4" s="1"/>
  <c r="I91" i="4"/>
  <c r="P90" i="4"/>
  <c r="O90" i="4"/>
  <c r="I90" i="4"/>
  <c r="O89" i="4"/>
  <c r="P89" i="4" s="1"/>
  <c r="I89" i="4"/>
  <c r="O88" i="4"/>
  <c r="P88" i="4" s="1"/>
  <c r="I88" i="4"/>
  <c r="P87" i="4"/>
  <c r="O87" i="4"/>
  <c r="I87" i="4"/>
  <c r="O86" i="4"/>
  <c r="I86" i="4"/>
  <c r="P86" i="4" s="1"/>
  <c r="O85" i="4"/>
  <c r="P85" i="4" s="1"/>
  <c r="I85" i="4"/>
  <c r="P84" i="4"/>
  <c r="O84" i="4"/>
  <c r="D189" i="4" s="1"/>
  <c r="E189" i="4" s="1"/>
  <c r="I84" i="4"/>
  <c r="O83" i="4"/>
  <c r="I83" i="4"/>
  <c r="P83" i="4" s="1"/>
  <c r="O82" i="4"/>
  <c r="P82" i="4" s="1"/>
  <c r="I82" i="4"/>
  <c r="O81" i="4"/>
  <c r="P81" i="4" s="1"/>
  <c r="I81" i="4"/>
  <c r="O80" i="4"/>
  <c r="I80" i="4"/>
  <c r="P80" i="4" s="1"/>
  <c r="O79" i="4"/>
  <c r="P79" i="4" s="1"/>
  <c r="I79" i="4"/>
  <c r="P78" i="4"/>
  <c r="O78" i="4"/>
  <c r="I78" i="4"/>
  <c r="P77" i="4"/>
  <c r="O77" i="4"/>
  <c r="I77" i="4"/>
  <c r="O76" i="4"/>
  <c r="P76" i="4" s="1"/>
  <c r="I76" i="4"/>
  <c r="O75" i="4"/>
  <c r="P75" i="4" s="1"/>
  <c r="I75" i="4"/>
  <c r="O74" i="4"/>
  <c r="P74" i="4" s="1"/>
  <c r="I74" i="4"/>
  <c r="C179" i="4" s="1"/>
  <c r="O73" i="4"/>
  <c r="P73" i="4" s="1"/>
  <c r="I73" i="4"/>
  <c r="O72" i="4"/>
  <c r="P72" i="4" s="1"/>
  <c r="I72" i="4"/>
  <c r="P71" i="4"/>
  <c r="O71" i="4"/>
  <c r="I71" i="4"/>
  <c r="O70" i="4"/>
  <c r="I70" i="4"/>
  <c r="P70" i="4" s="1"/>
  <c r="O69" i="4"/>
  <c r="P69" i="4" s="1"/>
  <c r="I69" i="4"/>
  <c r="O68" i="4"/>
  <c r="P68" i="4" s="1"/>
  <c r="I68" i="4"/>
  <c r="O67" i="4"/>
  <c r="I67" i="4"/>
  <c r="P67" i="4" s="1"/>
  <c r="O66" i="4"/>
  <c r="P66" i="4" s="1"/>
  <c r="I66" i="4"/>
  <c r="O65" i="4"/>
  <c r="P65" i="4" s="1"/>
  <c r="I65" i="4"/>
  <c r="O64" i="4"/>
  <c r="I64" i="4"/>
  <c r="P64" i="4" s="1"/>
  <c r="O63" i="4"/>
  <c r="P63" i="4" s="1"/>
  <c r="I63" i="4"/>
  <c r="P62" i="4"/>
  <c r="O62" i="4"/>
  <c r="I62" i="4"/>
  <c r="O61" i="4"/>
  <c r="I61" i="4"/>
  <c r="P61" i="4" s="1"/>
  <c r="O60" i="4"/>
  <c r="P60" i="4" s="1"/>
  <c r="I60" i="4"/>
  <c r="O59" i="4"/>
  <c r="P59" i="4" s="1"/>
  <c r="I59" i="4"/>
  <c r="O58" i="4"/>
  <c r="P58" i="4" s="1"/>
  <c r="I58" i="4"/>
  <c r="O57" i="4"/>
  <c r="P57" i="4" s="1"/>
  <c r="I57" i="4"/>
  <c r="O56" i="4"/>
  <c r="P56" i="4" s="1"/>
  <c r="I56" i="4"/>
  <c r="P55" i="4"/>
  <c r="O55" i="4"/>
  <c r="I55" i="4"/>
  <c r="O54" i="4"/>
  <c r="I54" i="4"/>
  <c r="P54" i="4" s="1"/>
  <c r="O53" i="4"/>
  <c r="P53" i="4" s="1"/>
  <c r="I53" i="4"/>
  <c r="O52" i="4"/>
  <c r="I52" i="4"/>
  <c r="P52" i="4" s="1"/>
  <c r="O51" i="4"/>
  <c r="I51" i="4"/>
  <c r="P51" i="4" s="1"/>
  <c r="O50" i="4"/>
  <c r="P50" i="4" s="1"/>
  <c r="I50" i="4"/>
  <c r="O49" i="4"/>
  <c r="P49" i="4" s="1"/>
  <c r="I49" i="4"/>
  <c r="O48" i="4"/>
  <c r="I48" i="4"/>
  <c r="P48" i="4" s="1"/>
  <c r="O47" i="4"/>
  <c r="P47" i="4" s="1"/>
  <c r="I47" i="4"/>
  <c r="P46" i="4"/>
  <c r="O46" i="4"/>
  <c r="I46" i="4"/>
  <c r="O45" i="4"/>
  <c r="I45" i="4"/>
  <c r="C184" i="4" s="1"/>
  <c r="O44" i="4"/>
  <c r="P44" i="4" s="1"/>
  <c r="I44" i="4"/>
  <c r="O43" i="4"/>
  <c r="P43" i="4" s="1"/>
  <c r="I43" i="4"/>
  <c r="O42" i="4"/>
  <c r="P42" i="4" s="1"/>
  <c r="I42" i="4"/>
  <c r="O41" i="4"/>
  <c r="P41" i="4" s="1"/>
  <c r="I41" i="4"/>
  <c r="O40" i="4"/>
  <c r="P40" i="4" s="1"/>
  <c r="I40" i="4"/>
  <c r="P39" i="4"/>
  <c r="O39" i="4"/>
  <c r="I39" i="4"/>
  <c r="O38" i="4"/>
  <c r="I38" i="4"/>
  <c r="P38" i="4" s="1"/>
  <c r="O37" i="4"/>
  <c r="P37" i="4" s="1"/>
  <c r="I37" i="4"/>
  <c r="P36" i="4"/>
  <c r="O36" i="4"/>
  <c r="I36" i="4"/>
  <c r="O35" i="4"/>
  <c r="I35" i="4"/>
  <c r="P35" i="4" s="1"/>
  <c r="O34" i="4"/>
  <c r="P34" i="4" s="1"/>
  <c r="I34" i="4"/>
  <c r="O33" i="4"/>
  <c r="P33" i="4" s="1"/>
  <c r="I33" i="4"/>
  <c r="O32" i="4"/>
  <c r="I32" i="4"/>
  <c r="P32" i="4" s="1"/>
  <c r="P31" i="4"/>
  <c r="O31" i="4"/>
  <c r="D187" i="4" s="1"/>
  <c r="I31" i="4"/>
  <c r="P30" i="4"/>
  <c r="O30" i="4"/>
  <c r="I30" i="4"/>
  <c r="O29" i="4"/>
  <c r="I29" i="4"/>
  <c r="P29" i="4" s="1"/>
  <c r="O28" i="4"/>
  <c r="P28" i="4" s="1"/>
  <c r="I28" i="4"/>
  <c r="O27" i="4"/>
  <c r="P27" i="4" s="1"/>
  <c r="I27" i="4"/>
  <c r="O26" i="4"/>
  <c r="P26" i="4" s="1"/>
  <c r="I26" i="4"/>
  <c r="C182" i="4" s="1"/>
  <c r="P25" i="4"/>
  <c r="O25" i="4"/>
  <c r="I25" i="4"/>
  <c r="O24" i="4"/>
  <c r="P24" i="4" s="1"/>
  <c r="I24" i="4"/>
  <c r="P23" i="4"/>
  <c r="O23" i="4"/>
  <c r="I23" i="4"/>
  <c r="O22" i="4"/>
  <c r="I22" i="4"/>
  <c r="P22" i="4" s="1"/>
  <c r="O21" i="4"/>
  <c r="P21" i="4" s="1"/>
  <c r="I21" i="4"/>
  <c r="O20" i="4"/>
  <c r="I20" i="4"/>
  <c r="C193" i="4" s="1"/>
  <c r="O19" i="4"/>
  <c r="I19" i="4"/>
  <c r="P19" i="4" s="1"/>
  <c r="O18" i="4"/>
  <c r="I18" i="4"/>
  <c r="O17" i="4"/>
  <c r="P17" i="4" s="1"/>
  <c r="I17" i="4"/>
  <c r="O16" i="4"/>
  <c r="I16" i="4"/>
  <c r="P16" i="4" s="1"/>
  <c r="O15" i="4"/>
  <c r="P15" i="4" s="1"/>
  <c r="I15" i="4"/>
  <c r="C188" i="4" s="1"/>
  <c r="P14" i="4"/>
  <c r="O14" i="4"/>
  <c r="I14" i="4"/>
  <c r="O13" i="4"/>
  <c r="I13" i="4"/>
  <c r="O12" i="4"/>
  <c r="P12" i="4" s="1"/>
  <c r="I12" i="4"/>
  <c r="C185" i="4" s="1"/>
  <c r="O11" i="4"/>
  <c r="P11" i="4" s="1"/>
  <c r="I11" i="4"/>
  <c r="O10" i="4"/>
  <c r="P10" i="4" s="1"/>
  <c r="I10" i="4"/>
  <c r="C183" i="4" s="1"/>
  <c r="E183" i="4" s="1"/>
  <c r="O9" i="4"/>
  <c r="D182" i="4" s="1"/>
  <c r="E182" i="4" s="1"/>
  <c r="I9" i="4"/>
  <c r="O8" i="4"/>
  <c r="P8" i="4" s="1"/>
  <c r="I8" i="4"/>
  <c r="P7" i="4"/>
  <c r="O7" i="4"/>
  <c r="I7" i="4"/>
  <c r="O6" i="4"/>
  <c r="I6" i="4"/>
  <c r="P6" i="4" s="1"/>
  <c r="O5" i="4"/>
  <c r="P5" i="4" s="1"/>
  <c r="I5" i="4"/>
  <c r="D185" i="3"/>
  <c r="E185" i="3" s="1"/>
  <c r="C185" i="3"/>
  <c r="D179" i="3"/>
  <c r="E179" i="3" s="1"/>
  <c r="O174" i="3"/>
  <c r="P174" i="3" s="1"/>
  <c r="I174" i="3"/>
  <c r="O173" i="3"/>
  <c r="P173" i="3" s="1"/>
  <c r="I173" i="3"/>
  <c r="O172" i="3"/>
  <c r="I172" i="3"/>
  <c r="P172" i="3" s="1"/>
  <c r="O171" i="3"/>
  <c r="P171" i="3" s="1"/>
  <c r="I171" i="3"/>
  <c r="P170" i="3"/>
  <c r="O170" i="3"/>
  <c r="I170" i="3"/>
  <c r="O169" i="3"/>
  <c r="I169" i="3"/>
  <c r="P169" i="3" s="1"/>
  <c r="O168" i="3"/>
  <c r="P168" i="3" s="1"/>
  <c r="I168" i="3"/>
  <c r="O167" i="3"/>
  <c r="P167" i="3" s="1"/>
  <c r="I167" i="3"/>
  <c r="O166" i="3"/>
  <c r="P166" i="3" s="1"/>
  <c r="I166" i="3"/>
  <c r="O165" i="3"/>
  <c r="P165" i="3" s="1"/>
  <c r="I165" i="3"/>
  <c r="O164" i="3"/>
  <c r="P164" i="3" s="1"/>
  <c r="I164" i="3"/>
  <c r="P163" i="3"/>
  <c r="O163" i="3"/>
  <c r="I163" i="3"/>
  <c r="O162" i="3"/>
  <c r="I162" i="3"/>
  <c r="P162" i="3" s="1"/>
  <c r="O161" i="3"/>
  <c r="P161" i="3" s="1"/>
  <c r="I161" i="3"/>
  <c r="O160" i="3"/>
  <c r="P160" i="3" s="1"/>
  <c r="I160" i="3"/>
  <c r="O159" i="3"/>
  <c r="I159" i="3"/>
  <c r="P159" i="3" s="1"/>
  <c r="O158" i="3"/>
  <c r="P158" i="3" s="1"/>
  <c r="I158" i="3"/>
  <c r="O157" i="3"/>
  <c r="P157" i="3" s="1"/>
  <c r="I157" i="3"/>
  <c r="O156" i="3"/>
  <c r="I156" i="3"/>
  <c r="P156" i="3" s="1"/>
  <c r="O155" i="3"/>
  <c r="P155" i="3" s="1"/>
  <c r="I155" i="3"/>
  <c r="P154" i="3"/>
  <c r="O154" i="3"/>
  <c r="I154" i="3"/>
  <c r="O153" i="3"/>
  <c r="I153" i="3"/>
  <c r="P153" i="3" s="1"/>
  <c r="O152" i="3"/>
  <c r="P152" i="3" s="1"/>
  <c r="I152" i="3"/>
  <c r="O151" i="3"/>
  <c r="P151" i="3" s="1"/>
  <c r="I151" i="3"/>
  <c r="O150" i="3"/>
  <c r="P150" i="3" s="1"/>
  <c r="I150" i="3"/>
  <c r="O149" i="3"/>
  <c r="P149" i="3" s="1"/>
  <c r="I149" i="3"/>
  <c r="O148" i="3"/>
  <c r="P148" i="3" s="1"/>
  <c r="I148" i="3"/>
  <c r="P147" i="3"/>
  <c r="O147" i="3"/>
  <c r="I147" i="3"/>
  <c r="O146" i="3"/>
  <c r="I146" i="3"/>
  <c r="P146" i="3" s="1"/>
  <c r="O145" i="3"/>
  <c r="P145" i="3" s="1"/>
  <c r="I145" i="3"/>
  <c r="O144" i="3"/>
  <c r="I144" i="3"/>
  <c r="P144" i="3" s="1"/>
  <c r="O143" i="3"/>
  <c r="I143" i="3"/>
  <c r="P143" i="3" s="1"/>
  <c r="O142" i="3"/>
  <c r="P142" i="3" s="1"/>
  <c r="I142" i="3"/>
  <c r="O141" i="3"/>
  <c r="P141" i="3" s="1"/>
  <c r="I141" i="3"/>
  <c r="O140" i="3"/>
  <c r="I140" i="3"/>
  <c r="P140" i="3" s="1"/>
  <c r="P139" i="3"/>
  <c r="O139" i="3"/>
  <c r="I139" i="3"/>
  <c r="P138" i="3"/>
  <c r="O138" i="3"/>
  <c r="I138" i="3"/>
  <c r="O137" i="3"/>
  <c r="I137" i="3"/>
  <c r="P137" i="3" s="1"/>
  <c r="O136" i="3"/>
  <c r="P136" i="3" s="1"/>
  <c r="I136" i="3"/>
  <c r="O135" i="3"/>
  <c r="P135" i="3" s="1"/>
  <c r="I135" i="3"/>
  <c r="O134" i="3"/>
  <c r="P134" i="3" s="1"/>
  <c r="I134" i="3"/>
  <c r="P133" i="3"/>
  <c r="O133" i="3"/>
  <c r="I133" i="3"/>
  <c r="O132" i="3"/>
  <c r="P132" i="3" s="1"/>
  <c r="I132" i="3"/>
  <c r="P131" i="3"/>
  <c r="O131" i="3"/>
  <c r="I131" i="3"/>
  <c r="O130" i="3"/>
  <c r="I130" i="3"/>
  <c r="P130" i="3" s="1"/>
  <c r="O129" i="3"/>
  <c r="I129" i="3"/>
  <c r="O128" i="3"/>
  <c r="P128" i="3" s="1"/>
  <c r="I128" i="3"/>
  <c r="P127" i="3"/>
  <c r="O127" i="3"/>
  <c r="I127" i="3"/>
  <c r="O126" i="3"/>
  <c r="P126" i="3" s="1"/>
  <c r="I126" i="3"/>
  <c r="O125" i="3"/>
  <c r="P125" i="3" s="1"/>
  <c r="I125" i="3"/>
  <c r="O124" i="3"/>
  <c r="I124" i="3"/>
  <c r="P124" i="3" s="1"/>
  <c r="P123" i="3"/>
  <c r="O123" i="3"/>
  <c r="I123" i="3"/>
  <c r="O122" i="3"/>
  <c r="P122" i="3" s="1"/>
  <c r="I122" i="3"/>
  <c r="P121" i="3"/>
  <c r="O121" i="3"/>
  <c r="I121" i="3"/>
  <c r="O120" i="3"/>
  <c r="P120" i="3" s="1"/>
  <c r="I120" i="3"/>
  <c r="O119" i="3"/>
  <c r="P119" i="3" s="1"/>
  <c r="I119" i="3"/>
  <c r="O118" i="3"/>
  <c r="P118" i="3" s="1"/>
  <c r="I118" i="3"/>
  <c r="P117" i="3"/>
  <c r="O117" i="3"/>
  <c r="I117" i="3"/>
  <c r="O116" i="3"/>
  <c r="P116" i="3" s="1"/>
  <c r="I116" i="3"/>
  <c r="P115" i="3"/>
  <c r="O115" i="3"/>
  <c r="I115" i="3"/>
  <c r="O114" i="3"/>
  <c r="I114" i="3"/>
  <c r="P114" i="3" s="1"/>
  <c r="O113" i="3"/>
  <c r="I113" i="3"/>
  <c r="O112" i="3"/>
  <c r="P112" i="3" s="1"/>
  <c r="I112" i="3"/>
  <c r="P111" i="3"/>
  <c r="O111" i="3"/>
  <c r="I111" i="3"/>
  <c r="O110" i="3"/>
  <c r="P110" i="3" s="1"/>
  <c r="I110" i="3"/>
  <c r="O109" i="3"/>
  <c r="P109" i="3" s="1"/>
  <c r="I109" i="3"/>
  <c r="P108" i="3"/>
  <c r="O108" i="3"/>
  <c r="I108" i="3"/>
  <c r="O107" i="3"/>
  <c r="I107" i="3"/>
  <c r="P107" i="3" s="1"/>
  <c r="O106" i="3"/>
  <c r="P106" i="3" s="1"/>
  <c r="I106" i="3"/>
  <c r="P105" i="3"/>
  <c r="O105" i="3"/>
  <c r="I105" i="3"/>
  <c r="O104" i="3"/>
  <c r="P104" i="3" s="1"/>
  <c r="I104" i="3"/>
  <c r="O103" i="3"/>
  <c r="P103" i="3" s="1"/>
  <c r="I103" i="3"/>
  <c r="O102" i="3"/>
  <c r="D190" i="3" s="1"/>
  <c r="E190" i="3" s="1"/>
  <c r="I102" i="3"/>
  <c r="O101" i="3"/>
  <c r="I101" i="3"/>
  <c r="P101" i="3" s="1"/>
  <c r="O100" i="3"/>
  <c r="P100" i="3" s="1"/>
  <c r="I100" i="3"/>
  <c r="P99" i="3"/>
  <c r="O99" i="3"/>
  <c r="I99" i="3"/>
  <c r="O98" i="3"/>
  <c r="I98" i="3"/>
  <c r="P98" i="3" s="1"/>
  <c r="O97" i="3"/>
  <c r="I97" i="3"/>
  <c r="O96" i="3"/>
  <c r="P96" i="3" s="1"/>
  <c r="I96" i="3"/>
  <c r="O95" i="3"/>
  <c r="I95" i="3"/>
  <c r="P95" i="3" s="1"/>
  <c r="O94" i="3"/>
  <c r="P94" i="3" s="1"/>
  <c r="I94" i="3"/>
  <c r="O93" i="3"/>
  <c r="P93" i="3" s="1"/>
  <c r="I93" i="3"/>
  <c r="P92" i="3"/>
  <c r="O92" i="3"/>
  <c r="I92" i="3"/>
  <c r="O91" i="3"/>
  <c r="I91" i="3"/>
  <c r="P91" i="3" s="1"/>
  <c r="O90" i="3"/>
  <c r="P90" i="3" s="1"/>
  <c r="I90" i="3"/>
  <c r="O89" i="3"/>
  <c r="I89" i="3"/>
  <c r="P89" i="3" s="1"/>
  <c r="O88" i="3"/>
  <c r="P88" i="3" s="1"/>
  <c r="I88" i="3"/>
  <c r="O87" i="3"/>
  <c r="P87" i="3" s="1"/>
  <c r="I87" i="3"/>
  <c r="O86" i="3"/>
  <c r="P86" i="3" s="1"/>
  <c r="I86" i="3"/>
  <c r="O85" i="3"/>
  <c r="I85" i="3"/>
  <c r="P85" i="3" s="1"/>
  <c r="O84" i="3"/>
  <c r="P84" i="3" s="1"/>
  <c r="I84" i="3"/>
  <c r="P83" i="3"/>
  <c r="O83" i="3"/>
  <c r="I83" i="3"/>
  <c r="O82" i="3"/>
  <c r="I82" i="3"/>
  <c r="P82" i="3" s="1"/>
  <c r="O81" i="3"/>
  <c r="I81" i="3"/>
  <c r="O80" i="3"/>
  <c r="P80" i="3" s="1"/>
  <c r="I80" i="3"/>
  <c r="P79" i="3"/>
  <c r="O79" i="3"/>
  <c r="I79" i="3"/>
  <c r="O78" i="3"/>
  <c r="P78" i="3" s="1"/>
  <c r="I78" i="3"/>
  <c r="O77" i="3"/>
  <c r="P77" i="3" s="1"/>
  <c r="I77" i="3"/>
  <c r="O76" i="3"/>
  <c r="I76" i="3"/>
  <c r="P76" i="3" s="1"/>
  <c r="O75" i="3"/>
  <c r="I75" i="3"/>
  <c r="P75" i="3" s="1"/>
  <c r="O74" i="3"/>
  <c r="P74" i="3" s="1"/>
  <c r="I74" i="3"/>
  <c r="P73" i="3"/>
  <c r="O73" i="3"/>
  <c r="I73" i="3"/>
  <c r="O72" i="3"/>
  <c r="P72" i="3" s="1"/>
  <c r="I72" i="3"/>
  <c r="O71" i="3"/>
  <c r="P71" i="3" s="1"/>
  <c r="I71" i="3"/>
  <c r="O70" i="3"/>
  <c r="P70" i="3" s="1"/>
  <c r="I70" i="3"/>
  <c r="O69" i="3"/>
  <c r="I69" i="3"/>
  <c r="P69" i="3" s="1"/>
  <c r="O68" i="3"/>
  <c r="P68" i="3" s="1"/>
  <c r="I68" i="3"/>
  <c r="P67" i="3"/>
  <c r="O67" i="3"/>
  <c r="I67" i="3"/>
  <c r="O66" i="3"/>
  <c r="I66" i="3"/>
  <c r="P66" i="3" s="1"/>
  <c r="O65" i="3"/>
  <c r="I65" i="3"/>
  <c r="P64" i="3"/>
  <c r="O64" i="3"/>
  <c r="I64" i="3"/>
  <c r="P63" i="3"/>
  <c r="O63" i="3"/>
  <c r="I63" i="3"/>
  <c r="O62" i="3"/>
  <c r="P62" i="3" s="1"/>
  <c r="I62" i="3"/>
  <c r="O61" i="3"/>
  <c r="P61" i="3" s="1"/>
  <c r="I61" i="3"/>
  <c r="P60" i="3"/>
  <c r="O60" i="3"/>
  <c r="I60" i="3"/>
  <c r="O59" i="3"/>
  <c r="P59" i="3" s="1"/>
  <c r="I59" i="3"/>
  <c r="P58" i="3"/>
  <c r="O58" i="3"/>
  <c r="I58" i="3"/>
  <c r="P57" i="3"/>
  <c r="O57" i="3"/>
  <c r="I57" i="3"/>
  <c r="O56" i="3"/>
  <c r="P56" i="3" s="1"/>
  <c r="I56" i="3"/>
  <c r="O55" i="3"/>
  <c r="P55" i="3" s="1"/>
  <c r="I55" i="3"/>
  <c r="O54" i="3"/>
  <c r="P54" i="3" s="1"/>
  <c r="I54" i="3"/>
  <c r="O53" i="3"/>
  <c r="P53" i="3" s="1"/>
  <c r="I53" i="3"/>
  <c r="O52" i="3"/>
  <c r="P52" i="3" s="1"/>
  <c r="I52" i="3"/>
  <c r="P51" i="3"/>
  <c r="O51" i="3"/>
  <c r="I51" i="3"/>
  <c r="O50" i="3"/>
  <c r="I50" i="3"/>
  <c r="P50" i="3" s="1"/>
  <c r="O49" i="3"/>
  <c r="I49" i="3"/>
  <c r="P48" i="3"/>
  <c r="O48" i="3"/>
  <c r="I48" i="3"/>
  <c r="O47" i="3"/>
  <c r="I47" i="3"/>
  <c r="P47" i="3" s="1"/>
  <c r="O46" i="3"/>
  <c r="P46" i="3" s="1"/>
  <c r="I46" i="3"/>
  <c r="O45" i="3"/>
  <c r="P45" i="3" s="1"/>
  <c r="I45" i="3"/>
  <c r="P44" i="3"/>
  <c r="O44" i="3"/>
  <c r="I44" i="3"/>
  <c r="O43" i="3"/>
  <c r="P43" i="3" s="1"/>
  <c r="I43" i="3"/>
  <c r="P42" i="3"/>
  <c r="O42" i="3"/>
  <c r="I42" i="3"/>
  <c r="O41" i="3"/>
  <c r="I41" i="3"/>
  <c r="C180" i="3" s="1"/>
  <c r="O40" i="3"/>
  <c r="I40" i="3"/>
  <c r="C179" i="3" s="1"/>
  <c r="O39" i="3"/>
  <c r="P39" i="3" s="1"/>
  <c r="I39" i="3"/>
  <c r="O38" i="3"/>
  <c r="P38" i="3" s="1"/>
  <c r="I38" i="3"/>
  <c r="O37" i="3"/>
  <c r="P37" i="3" s="1"/>
  <c r="I37" i="3"/>
  <c r="P36" i="3"/>
  <c r="O36" i="3"/>
  <c r="I36" i="3"/>
  <c r="P35" i="3"/>
  <c r="O35" i="3"/>
  <c r="I35" i="3"/>
  <c r="P34" i="3"/>
  <c r="O34" i="3"/>
  <c r="I34" i="3"/>
  <c r="O33" i="3"/>
  <c r="P33" i="3" s="1"/>
  <c r="I33" i="3"/>
  <c r="O32" i="3"/>
  <c r="I32" i="3"/>
  <c r="C188" i="3" s="1"/>
  <c r="O31" i="3"/>
  <c r="P31" i="3" s="1"/>
  <c r="I31" i="3"/>
  <c r="O30" i="3"/>
  <c r="P30" i="3" s="1"/>
  <c r="I30" i="3"/>
  <c r="O29" i="3"/>
  <c r="P29" i="3" s="1"/>
  <c r="I29" i="3"/>
  <c r="O28" i="3"/>
  <c r="I28" i="3"/>
  <c r="P28" i="3" s="1"/>
  <c r="O27" i="3"/>
  <c r="P27" i="3" s="1"/>
  <c r="I27" i="3"/>
  <c r="O26" i="3"/>
  <c r="I26" i="3"/>
  <c r="P26" i="3" s="1"/>
  <c r="O25" i="3"/>
  <c r="I25" i="3"/>
  <c r="P25" i="3" s="1"/>
  <c r="O24" i="3"/>
  <c r="I24" i="3"/>
  <c r="O23" i="3"/>
  <c r="P23" i="3" s="1"/>
  <c r="I23" i="3"/>
  <c r="O22" i="3"/>
  <c r="P22" i="3" s="1"/>
  <c r="I22" i="3"/>
  <c r="O21" i="3"/>
  <c r="I21" i="3"/>
  <c r="C194" i="3" s="1"/>
  <c r="O20" i="3"/>
  <c r="P20" i="3" s="1"/>
  <c r="I20" i="3"/>
  <c r="P19" i="3"/>
  <c r="O19" i="3"/>
  <c r="D192" i="3" s="1"/>
  <c r="I19" i="3"/>
  <c r="O18" i="3"/>
  <c r="I18" i="3"/>
  <c r="P18" i="3" s="1"/>
  <c r="O17" i="3"/>
  <c r="I17" i="3"/>
  <c r="C190" i="3" s="1"/>
  <c r="P16" i="3"/>
  <c r="O16" i="3"/>
  <c r="I16" i="3"/>
  <c r="O15" i="3"/>
  <c r="I15" i="3"/>
  <c r="O14" i="3"/>
  <c r="I14" i="3"/>
  <c r="O13" i="3"/>
  <c r="I13" i="3"/>
  <c r="O12" i="3"/>
  <c r="I12" i="3"/>
  <c r="P12" i="3" s="1"/>
  <c r="O11" i="3"/>
  <c r="P11" i="3" s="1"/>
  <c r="I11" i="3"/>
  <c r="C184" i="3" s="1"/>
  <c r="O10" i="3"/>
  <c r="P10" i="3" s="1"/>
  <c r="I10" i="3"/>
  <c r="O9" i="3"/>
  <c r="I9" i="3"/>
  <c r="P9" i="3" s="1"/>
  <c r="O8" i="3"/>
  <c r="I8" i="3"/>
  <c r="P7" i="3"/>
  <c r="O7" i="3"/>
  <c r="D180" i="3" s="1"/>
  <c r="E180" i="3" s="1"/>
  <c r="I7" i="3"/>
  <c r="O6" i="3"/>
  <c r="P6" i="3" s="1"/>
  <c r="I6" i="3"/>
  <c r="O5" i="3"/>
  <c r="D178" i="3" s="1"/>
  <c r="I5" i="3"/>
  <c r="C178" i="3" s="1"/>
  <c r="H178" i="5" l="1"/>
  <c r="H181" i="5"/>
  <c r="P102" i="3"/>
  <c r="C181" i="3"/>
  <c r="C195" i="3" s="1"/>
  <c r="D188" i="3"/>
  <c r="E188" i="3" s="1"/>
  <c r="C180" i="5"/>
  <c r="C195" i="5" s="1"/>
  <c r="F185" i="5"/>
  <c r="AH12" i="5"/>
  <c r="AI37" i="5"/>
  <c r="AH37" i="5"/>
  <c r="AI84" i="5"/>
  <c r="AH84" i="5"/>
  <c r="G189" i="5"/>
  <c r="H189" i="5" s="1"/>
  <c r="AI164" i="5"/>
  <c r="AI24" i="6"/>
  <c r="AH24" i="6"/>
  <c r="AI152" i="6"/>
  <c r="AH152" i="6"/>
  <c r="E178" i="3"/>
  <c r="D186" i="3"/>
  <c r="E186" i="3" s="1"/>
  <c r="P32" i="3"/>
  <c r="C183" i="3"/>
  <c r="P15" i="3"/>
  <c r="D194" i="3"/>
  <c r="E194" i="3" s="1"/>
  <c r="P113" i="3"/>
  <c r="D183" i="3"/>
  <c r="C190" i="4"/>
  <c r="P149" i="4"/>
  <c r="D194" i="4"/>
  <c r="E194" i="4" s="1"/>
  <c r="D180" i="5"/>
  <c r="G182" i="5"/>
  <c r="H182" i="5" s="1"/>
  <c r="F188" i="5"/>
  <c r="H188" i="5" s="1"/>
  <c r="C191" i="5"/>
  <c r="D194" i="5"/>
  <c r="AI34" i="5"/>
  <c r="AI73" i="5"/>
  <c r="AH95" i="5"/>
  <c r="AI109" i="5"/>
  <c r="G180" i="6"/>
  <c r="H180" i="6" s="1"/>
  <c r="P13" i="3"/>
  <c r="P8" i="3"/>
  <c r="D181" i="3"/>
  <c r="C189" i="3"/>
  <c r="D184" i="3"/>
  <c r="E184" i="3" s="1"/>
  <c r="D181" i="4"/>
  <c r="E194" i="5"/>
  <c r="AI29" i="5"/>
  <c r="G185" i="5"/>
  <c r="H185" i="5" s="1"/>
  <c r="D179" i="5"/>
  <c r="D195" i="5" s="1"/>
  <c r="AI101" i="5"/>
  <c r="AH101" i="5"/>
  <c r="AI104" i="6"/>
  <c r="AH104" i="6"/>
  <c r="D187" i="3"/>
  <c r="P14" i="3"/>
  <c r="P21" i="3"/>
  <c r="D189" i="3"/>
  <c r="E189" i="3" s="1"/>
  <c r="C191" i="4"/>
  <c r="F180" i="5"/>
  <c r="F195" i="5" s="1"/>
  <c r="D183" i="5"/>
  <c r="D186" i="5"/>
  <c r="AH15" i="5"/>
  <c r="E191" i="5"/>
  <c r="AH29" i="5"/>
  <c r="AI68" i="5"/>
  <c r="AH68" i="5"/>
  <c r="AI82" i="5"/>
  <c r="D187" i="5"/>
  <c r="AI173" i="5"/>
  <c r="AH173" i="5"/>
  <c r="C178" i="6"/>
  <c r="H189" i="6"/>
  <c r="D181" i="6"/>
  <c r="D191" i="4"/>
  <c r="E191" i="4" s="1"/>
  <c r="P18" i="4"/>
  <c r="E186" i="5"/>
  <c r="AI21" i="5"/>
  <c r="AH21" i="5"/>
  <c r="D184" i="5"/>
  <c r="AI56" i="6"/>
  <c r="AH56" i="6"/>
  <c r="AI85" i="5"/>
  <c r="AH85" i="5"/>
  <c r="C186" i="4"/>
  <c r="D192" i="4"/>
  <c r="P45" i="4"/>
  <c r="E178" i="5"/>
  <c r="AH38" i="5"/>
  <c r="F186" i="5"/>
  <c r="G181" i="6"/>
  <c r="H181" i="6" s="1"/>
  <c r="AI8" i="6"/>
  <c r="AH8" i="6"/>
  <c r="D187" i="6"/>
  <c r="D190" i="6"/>
  <c r="AH42" i="6"/>
  <c r="AH113" i="6"/>
  <c r="AI136" i="6"/>
  <c r="AH136" i="6"/>
  <c r="AH170" i="6"/>
  <c r="P40" i="3"/>
  <c r="D186" i="4"/>
  <c r="E186" i="4" s="1"/>
  <c r="AI132" i="5"/>
  <c r="AH132" i="5"/>
  <c r="G186" i="5"/>
  <c r="H186" i="5" s="1"/>
  <c r="H178" i="6"/>
  <c r="F184" i="6"/>
  <c r="F195" i="6" s="1"/>
  <c r="E190" i="6"/>
  <c r="E195" i="6" s="1"/>
  <c r="C193" i="6"/>
  <c r="D186" i="6"/>
  <c r="D179" i="4"/>
  <c r="E179" i="4" s="1"/>
  <c r="D184" i="4"/>
  <c r="E184" i="4" s="1"/>
  <c r="AI52" i="5"/>
  <c r="AH52" i="5"/>
  <c r="D191" i="3"/>
  <c r="P41" i="3"/>
  <c r="P97" i="3"/>
  <c r="D180" i="4"/>
  <c r="P13" i="4"/>
  <c r="D193" i="4"/>
  <c r="E193" i="4" s="1"/>
  <c r="AI5" i="5"/>
  <c r="AH5" i="5"/>
  <c r="E192" i="5"/>
  <c r="AI69" i="5"/>
  <c r="AH69" i="5"/>
  <c r="AH77" i="5"/>
  <c r="AH88" i="5"/>
  <c r="AH102" i="5"/>
  <c r="AI121" i="5"/>
  <c r="AH143" i="5"/>
  <c r="AH157" i="5"/>
  <c r="F187" i="6"/>
  <c r="H187" i="6" s="1"/>
  <c r="F190" i="6"/>
  <c r="D193" i="6"/>
  <c r="AI31" i="6"/>
  <c r="AH65" i="6"/>
  <c r="AI88" i="6"/>
  <c r="AH88" i="6"/>
  <c r="AI102" i="6"/>
  <c r="AH122" i="6"/>
  <c r="AI159" i="6"/>
  <c r="AI173" i="6"/>
  <c r="P17" i="3"/>
  <c r="C187" i="4"/>
  <c r="E187" i="4" s="1"/>
  <c r="P20" i="4"/>
  <c r="D188" i="4"/>
  <c r="E188" i="4" s="1"/>
  <c r="AI149" i="5"/>
  <c r="AH149" i="5"/>
  <c r="D179" i="6"/>
  <c r="D195" i="6" s="1"/>
  <c r="AI17" i="6"/>
  <c r="G190" i="6"/>
  <c r="H190" i="6" s="1"/>
  <c r="P65" i="3"/>
  <c r="C180" i="4"/>
  <c r="C186" i="3"/>
  <c r="C192" i="3"/>
  <c r="P24" i="3"/>
  <c r="P129" i="3"/>
  <c r="C181" i="4"/>
  <c r="E187" i="5"/>
  <c r="C190" i="5"/>
  <c r="G192" i="5"/>
  <c r="H192" i="5" s="1"/>
  <c r="AH22" i="5"/>
  <c r="F192" i="5"/>
  <c r="AI61" i="5"/>
  <c r="AI116" i="5"/>
  <c r="AH116" i="5"/>
  <c r="AH17" i="6"/>
  <c r="F193" i="6"/>
  <c r="H193" i="6" s="1"/>
  <c r="AI40" i="6"/>
  <c r="AH40" i="6"/>
  <c r="AI54" i="6"/>
  <c r="AH74" i="6"/>
  <c r="AI111" i="6"/>
  <c r="AH145" i="6"/>
  <c r="AI168" i="6"/>
  <c r="AH168" i="6"/>
  <c r="P5" i="3"/>
  <c r="AH11" i="5"/>
  <c r="F184" i="5"/>
  <c r="H184" i="5" s="1"/>
  <c r="AI36" i="5"/>
  <c r="AH36" i="5"/>
  <c r="H182" i="6"/>
  <c r="E192" i="3"/>
  <c r="H187" i="5"/>
  <c r="E190" i="5"/>
  <c r="AI53" i="5"/>
  <c r="AH53" i="5"/>
  <c r="AI133" i="5"/>
  <c r="AH133" i="5"/>
  <c r="AH141" i="5"/>
  <c r="H179" i="6"/>
  <c r="AI120" i="6"/>
  <c r="AH120" i="6"/>
  <c r="C187" i="3"/>
  <c r="AI100" i="5"/>
  <c r="AH100" i="5"/>
  <c r="C193" i="3"/>
  <c r="P49" i="3"/>
  <c r="C178" i="4"/>
  <c r="C188" i="5"/>
  <c r="G190" i="5"/>
  <c r="H190" i="5" s="1"/>
  <c r="AI45" i="5"/>
  <c r="AH70" i="5"/>
  <c r="AI89" i="5"/>
  <c r="AH111" i="5"/>
  <c r="AI125" i="5"/>
  <c r="AI15" i="6"/>
  <c r="E194" i="6"/>
  <c r="AH49" i="6"/>
  <c r="AI72" i="6"/>
  <c r="AH72" i="6"/>
  <c r="AH106" i="6"/>
  <c r="G191" i="6"/>
  <c r="H191" i="6" s="1"/>
  <c r="C191" i="3"/>
  <c r="C182" i="3"/>
  <c r="D193" i="3"/>
  <c r="E193" i="3" s="1"/>
  <c r="P9" i="4"/>
  <c r="P101" i="4"/>
  <c r="C192" i="4"/>
  <c r="AH6" i="5"/>
  <c r="D182" i="3"/>
  <c r="P81" i="3"/>
  <c r="D178" i="4"/>
  <c r="AI6" i="5"/>
  <c r="E182" i="5"/>
  <c r="E185" i="5"/>
  <c r="D188" i="5"/>
  <c r="AI20" i="5"/>
  <c r="AH20" i="5"/>
  <c r="G193" i="5"/>
  <c r="H193" i="5" s="1"/>
  <c r="AH45" i="5"/>
  <c r="AI117" i="5"/>
  <c r="AH117" i="5"/>
  <c r="AH125" i="5"/>
  <c r="AH150" i="5"/>
  <c r="AI14" i="5"/>
  <c r="AH165" i="5"/>
  <c r="AH7" i="6"/>
  <c r="AI16" i="6"/>
  <c r="AH23" i="6"/>
  <c r="AH39" i="6"/>
  <c r="AH55" i="6"/>
  <c r="AH71" i="6"/>
  <c r="AH87" i="6"/>
  <c r="AH103" i="6"/>
  <c r="AH119" i="6"/>
  <c r="AH135" i="6"/>
  <c r="AH151" i="6"/>
  <c r="AH167" i="6"/>
  <c r="F185" i="6"/>
  <c r="G180" i="5"/>
  <c r="H180" i="5" s="1"/>
  <c r="AI7" i="6"/>
  <c r="AH14" i="6"/>
  <c r="G185" i="6"/>
  <c r="H185" i="6" s="1"/>
  <c r="AI12" i="5"/>
  <c r="AH19" i="5"/>
  <c r="AH35" i="5"/>
  <c r="AH51" i="5"/>
  <c r="AH67" i="5"/>
  <c r="AH83" i="5"/>
  <c r="AH99" i="5"/>
  <c r="AH115" i="5"/>
  <c r="AH131" i="5"/>
  <c r="AH147" i="5"/>
  <c r="AH163" i="5"/>
  <c r="F183" i="5"/>
  <c r="H183" i="5" s="1"/>
  <c r="AH5" i="6"/>
  <c r="AI14" i="6"/>
  <c r="AH21" i="6"/>
  <c r="AH37" i="6"/>
  <c r="AH53" i="6"/>
  <c r="AH69" i="6"/>
  <c r="AH85" i="6"/>
  <c r="AH101" i="6"/>
  <c r="AH117" i="6"/>
  <c r="AH133" i="6"/>
  <c r="AH149" i="6"/>
  <c r="AH165" i="6"/>
  <c r="AI19" i="5"/>
  <c r="G191" i="5"/>
  <c r="H191" i="5" s="1"/>
  <c r="AI5" i="6"/>
  <c r="AI21" i="6"/>
  <c r="G188" i="6"/>
  <c r="H188" i="6" s="1"/>
  <c r="G186" i="6"/>
  <c r="H186" i="6" s="1"/>
  <c r="AH15" i="6"/>
  <c r="AH31" i="6"/>
  <c r="AH47" i="6"/>
  <c r="AH63" i="6"/>
  <c r="AH79" i="6"/>
  <c r="AH95" i="6"/>
  <c r="AH111" i="6"/>
  <c r="AH127" i="6"/>
  <c r="AH143" i="6"/>
  <c r="AH159" i="6"/>
  <c r="D192" i="6"/>
  <c r="AH148" i="5"/>
  <c r="AH164" i="5"/>
  <c r="AH6" i="6"/>
  <c r="AH22" i="6"/>
  <c r="AH38" i="6"/>
  <c r="AH54" i="6"/>
  <c r="AH70" i="6"/>
  <c r="AH86" i="6"/>
  <c r="AH102" i="6"/>
  <c r="AH118" i="6"/>
  <c r="AH134" i="6"/>
  <c r="AH150" i="6"/>
  <c r="AH166" i="6"/>
  <c r="D190" i="4"/>
  <c r="E190" i="4" s="1"/>
  <c r="AI6" i="6"/>
  <c r="AH173" i="6"/>
  <c r="D185" i="4"/>
  <c r="E185" i="4" s="1"/>
  <c r="AH18" i="5"/>
  <c r="AH34" i="5"/>
  <c r="AH50" i="5"/>
  <c r="G184" i="6"/>
  <c r="H184" i="6" s="1"/>
  <c r="AH9" i="5"/>
  <c r="AI20" i="6"/>
  <c r="AI9" i="5"/>
  <c r="AH16" i="5"/>
  <c r="AH32" i="5"/>
  <c r="AH48" i="5"/>
  <c r="AH64" i="5"/>
  <c r="AH80" i="5"/>
  <c r="AH96" i="5"/>
  <c r="AH112" i="5"/>
  <c r="AH128" i="5"/>
  <c r="AH144" i="5"/>
  <c r="AH160" i="5"/>
  <c r="AH18" i="6"/>
  <c r="AH34" i="6"/>
  <c r="AH50" i="6"/>
  <c r="AH66" i="6"/>
  <c r="AH82" i="6"/>
  <c r="AH98" i="6"/>
  <c r="AH114" i="6"/>
  <c r="AH130" i="6"/>
  <c r="AH146" i="6"/>
  <c r="AH162" i="6"/>
  <c r="E187" i="3" l="1"/>
  <c r="E191" i="3"/>
  <c r="D195" i="4"/>
  <c r="E178" i="4"/>
  <c r="E182" i="3"/>
  <c r="C195" i="4"/>
  <c r="H195" i="6"/>
  <c r="E181" i="4"/>
  <c r="G195" i="6"/>
  <c r="H195" i="5"/>
  <c r="E181" i="3"/>
  <c r="E195" i="3" s="1"/>
  <c r="G195" i="5"/>
  <c r="E195" i="5"/>
  <c r="E180" i="4"/>
  <c r="D195" i="3"/>
  <c r="E192" i="4"/>
  <c r="C195" i="6"/>
  <c r="E183" i="3"/>
  <c r="E195" i="4" l="1"/>
</calcChain>
</file>

<file path=xl/sharedStrings.xml><?xml version="1.0" encoding="utf-8"?>
<sst xmlns="http://schemas.openxmlformats.org/spreadsheetml/2006/main" count="1980" uniqueCount="352">
  <si>
    <t>Thực nghiệm PA-BL-GBTSVM, bản báo cáo (các sheet cốt lõi)</t>
  </si>
  <si>
    <t>Sheet</t>
  </si>
  <si>
    <t>Nội dung</t>
  </si>
  <si>
    <t>Tổng kết</t>
  </si>
  <si>
    <t>Tổng kết toàn bộ việc đã làm, kết quả và kết luận.</t>
  </si>
  <si>
    <t>7. Đa seed - chi tiết</t>
  </si>
  <si>
    <t>Kết quả chính: Wave vs hinge (GBTSVM) ở pur=1, đa seed, 4 loại nhiễu (linear).</t>
  </si>
  <si>
    <t>8. Đa seed RBF</t>
  </si>
  <si>
    <t>Như sheet chính nhưng với nhân RBF.</t>
  </si>
  <si>
    <t>13. pur=0.7 rescue full</t>
  </si>
  <si>
    <t>Rescue chống suy biến ở pur=0.7 (full 170 × 5 seed).</t>
  </si>
  <si>
    <t>14. pur=0.6 rescue full</t>
  </si>
  <si>
    <t>Rescue chống suy biến ở pur=0.6 (full 170 × 5 seed).</t>
  </si>
  <si>
    <t>15. Độ nén (số bóng)</t>
  </si>
  <si>
    <t>Số bóng so với số điểm theo độ thuần (độ nén); rescue thêm 0 đến 1 bóng.</t>
  </si>
  <si>
    <t>18. SVM vs nearest-centroid</t>
  </si>
  <si>
    <t>SVM đáng ở độ thuần cao; suy biến thì thoái lui nearest-centroid.</t>
  </si>
  <si>
    <t>17. Nhiễu thật (CIFAR-10N)</t>
  </si>
  <si>
    <t>Kiểm trên nhãn nhiễu thật (CIFAR-10N), 5 seed.</t>
  </si>
  <si>
    <t>12. Auto-tune (meta vs grid)</t>
  </si>
  <si>
    <t>Bầy đàn (WOA) vs grid chọn siêu tham số, RBF full 10 bộ.</t>
  </si>
  <si>
    <t>Tổng kết, Purity-Adaptive Bounded-Loss Granular-Ball Twin SVM</t>
  </si>
  <si>
    <t>Chốt phương pháp: (chính) Wave bounded loss áp trên bóng hạt, pur=1, không phụ thuộc loại nhiễu, dẫn đầu hinge. (phụ) rescue-only chống suy biến mất nhãn ở độ thuần thấp, kích hoạt theo điều kiện quan sát được. Đã kiểm trên 4 loại nhiễu giả lập + nhiễu nhãn thật (CIFAR-10N).</t>
  </si>
  <si>
    <t>#</t>
  </si>
  <si>
    <t>Hạng mục</t>
  </si>
  <si>
    <t>Đã làm gì</t>
  </si>
  <si>
    <t>Kết quả chính (số)</t>
  </si>
  <si>
    <t>Kết luận / Định vị</t>
  </si>
  <si>
    <t>Nơi lưu</t>
  </si>
  <si>
    <t>1</t>
  </si>
  <si>
    <t>Phương pháp chính: Wave loss trên Granular-Ball (pur=1)</t>
  </si>
  <si>
    <t>So Wave (Adam) vs hinge (QP) áp trên bóng; 10 bộ × 4 loại nhiễu × 4 mức × 5 seed (linear + RBF).</t>
  </si>
  <si>
    <t>pur=1: wave 0.702 vs hard 0.687 (toàn cục, linear). Wave dẫn đầu ở mọi loại nhiễu.</t>
  </si>
  <si>
    <t>Đóng góp chính (Tier-1). Wave bounded loss chống nhiễu tốt hơn hinge, không cần biết loại nhiễu.</t>
  </si>
  <si>
    <t>Sheet 7, 8</t>
  </si>
  <si>
    <t>2</t>
  </si>
  <si>
    <t>Vì sao ghép Wave × Granular-Ball (không phải SVM)</t>
  </si>
  <si>
    <t>Phân tích + hình minh họa: áp loss lên bóng (trung bình cục bộ) vs lên từng điểm.</t>
  </si>
  <si>
    <t>Bóng sai nhãn ít và bị wave redescending dập; áp lên điểm thì mỗi điểm nhiễu vẫn kéo biên.</t>
  </si>
  <si>
    <t>Căn cứ lý thuyết cho thiết kế. Đưa vào Word thuyết trình.</t>
  </si>
  <si>
    <t>Word (T4)</t>
  </si>
  <si>
    <t>3</t>
  </si>
  <si>
    <t>Purity-Adaptive λ (kappa), heuristic riêng của nhóm</t>
  </si>
  <si>
    <t>So sigmoid vs linear vs cố định (kappa=0) ở pur=0.8.</t>
  </si>
  <si>
    <t>Adaptive không thắng rõ so với λ cố định.</t>
  </si>
  <si>
    <t>Chốt λ cố định (kappa=0) làm Tier-1; adaptive để phần thảo luận. Lưu ý: công thức adaptive là heuristic của nhóm, không lấy từ paper Wave.</t>
  </si>
  <si>
    <t>Sheet 9, 10</t>
  </si>
  <si>
    <t>4</t>
  </si>
  <si>
    <t>Auto-tune λ, C, γ (metaheuristic mealpy vs grid)</t>
  </si>
  <si>
    <t>WOA/PSO dò liên tục vs grid thô {0.01,0.1,1.0}; RBF, 5 seed.</t>
  </si>
  <si>
    <t>RBF: sonar +0.081, ionosphere +0.155, heart −0.056. Grid RBF thỉnh thoảng sập gần random; meta hiếm sập (ổn định hơn) nhưng tốn ~6× lần chấm.</t>
  </si>
  <si>
    <t>Tiện ích auto-tuning cho RBF (lợi thế độ ổn định), không phải đóng góp chính.</t>
  </si>
  <si>
    <t>Sheet 12</t>
  </si>
  <si>
    <t>5</t>
  </si>
  <si>
    <t>Chống suy biến mất nhãn: two-centroid / rescue-only (floor=1)</t>
  </si>
  <si>
    <t>Full 170×5 seed, pur=0.7 &amp; 0.6; chỉ bơm tâm-thiểu-số khi một lớp cạn bóng.</t>
  </si>
  <si>
    <t>pur=0.7: rescue 0.662 &gt; wave 0.652 &gt; hard 0.647. pur=0.6: rescue 0.667 &gt; 0.657 &gt; 0.655. Cứu các fold asymmetric bị suy biến.</t>
  </si>
  <si>
    <t>Đóng góp phụ (Tier-2). Cơ chế an toàn kích hoạt theo điều kiện quan sát được (lớp &lt; 1 bóng) → triển khai được trên dữ liệu thật.</t>
  </si>
  <si>
    <t>Sheet 13, 14</t>
  </si>
  <si>
    <t>6</t>
  </si>
  <si>
    <t>Quét ngưỡng rescue floor (kích hoạt sớm hơn?)</t>
  </si>
  <si>
    <t>floor ∈ {1, 5, 10, 20}.</t>
  </si>
  <si>
    <t>Tất cả ~0.625; floor=1 tối ưu, floor cao không thêm lợi.</t>
  </si>
  <si>
    <t>Giữ floor=1 (chỉ cứu khi lớp thật sự cạn bóng).</t>
  </si>
  <si>
    <t>exp_floor.py</t>
  </si>
  <si>
    <t>7</t>
  </si>
  <si>
    <t>Quét ngưỡng độ thuần τ (tách chủ động mọi bóng lẫn?)</t>
  </si>
  <si>
    <t>τ ∈ {0.7, 0.8, 0.9, 1.0}.</t>
  </si>
  <si>
    <t>Tách chủ động giúp asymmetric +0.01 nhưng hại sym/boundary/far (−0.04…−0.08); τ=0.7 (=chỉ rescue) tốt nhất 0.625.</t>
  </si>
  <si>
    <t>Không tách chủ động; rescue phản ứng (chỉ khi suy biến) là đúng.</t>
  </si>
  <si>
    <t>exp_thresh.py</t>
  </si>
  <si>
    <t>8</t>
  </si>
  <si>
    <t>Robust ball (tâm đa số + bán kính median)</t>
  </si>
  <si>
    <t>pur=0.8, thay tâm/bán kính bằng thống kê bền với ngoại lai.</t>
  </si>
  <si>
    <t>Chỉ +0.003.</t>
  </si>
  <si>
    <t>Không đáng, bỏ.</t>
  </si>
  <si>
    <t>exp_robust.py</t>
  </si>
  <si>
    <t>9</t>
  </si>
  <si>
    <t>Số bóng / độ nén (compression)</t>
  </si>
  <si>
    <t>Đếm số bóng so với số điểm, full protocol.</t>
  </si>
  <si>
    <t>pur=1 nén 1.4 đến 2.1× (bóng≈điểm, kém); pur=0.7 3.6 đến 9.4×; pur=0.6 32 đến 116×. Rescue chỉ thêm ~0 đến 1 bóng.</t>
  </si>
  <si>
    <t>Độ thuần thấp = nén mạnh; rescue gần như không tốn thêm bóng → an toàn 'miễn phí'.</t>
  </si>
  <si>
    <t>Sheet 15, 16</t>
  </si>
  <si>
    <t>10</t>
  </si>
  <si>
    <t>Nhiễu nhãn thật, CIFAR-10N</t>
  </si>
  <si>
    <t>Bài nhị phân từ nhãn-người thật (Wei et al. ICLR 2022): automobile/truck (7.6%) &amp; cat/dog (46.6%).</t>
  </si>
  <si>
    <t>5 seed automobile/truck: wave(pur=1) 0.704±.004 &gt; hard(pur=1) 0.696±.003 (nhất quán 5 seed). Pur=0.5: cả 5 seed hard/wave suy biến, rescue cứu 0.656±.002. cat/dog ~0.52 (đặc trưng PCA-50 yếu).</t>
  </si>
  <si>
    <t>Xác nhận bằng 5 seed trên nhiễu thật: Wave dẫn đầu ổn định + rescue cứu suy biến (sd nhỏ). Automobile/truck làm ví dụ chính, cat/dog để phụ lục.</t>
  </si>
  <si>
    <t>Sheet 17</t>
  </si>
  <si>
    <t>11</t>
  </si>
  <si>
    <t>Định vị &amp; phân biệt với nhóm nghiên cứu khác (overlap)</t>
  </si>
  <si>
    <t>Thảo luận khác biệt hóa: nhóm kia xử lý loss+optimizer; mình = Wave áp trên hạt bóng + rescue theo độ thuần.</t>
  </si>
  <si>
    <t xml:space="preserve">, </t>
  </si>
  <si>
    <t>Đóng góp riêng: (a) Wave trên bóng có phân tích độ thuần, (b) rescue chống suy biến theo điều kiện quan sát được. Đủ khác để ra báo riêng.</t>
  </si>
  <si>
    <t>Màu:</t>
  </si>
  <si>
    <t>Đóng góp chính (Tier-1)</t>
  </si>
  <si>
    <t>Đóng góp phụ / hỗ trợ (Tier-2)</t>
  </si>
  <si>
    <t>Khảo sát / đã loại</t>
  </si>
  <si>
    <t>Còn có thể làm tiếp (để bồ chốt)</t>
  </si>
  <si>
    <t>1. Chạy nhiều seed cho CIFAR automobile/truck (hiện mới 1 seed) → số real-noise vững hơn cho báo.</t>
  </si>
  <si>
    <t>2. Viết bản thảo: bố cục = Wave×GB (chính) + rescue độ-thuần thấp (phụ) + kiểm trên nhiễu giả lập &amp; thật.</t>
  </si>
  <si>
    <t>3. balls.py trên máy vẫn bản cũ (Windows CFA chặn commit), nếu muốn chạy các script khác cần cập nhật balls.py.</t>
  </si>
  <si>
    <t>4. Nếu cần: so thêm với baseline (LGBTSVM, PinGBTSVM) để bảng so sánh đầy đủ hơn.</t>
  </si>
  <si>
    <t>5. Commit code: nhớ 'del .git\index.lock' rồi commit 15 file đã stage; đừng commit data/raw/cifar10 (341MB).</t>
  </si>
  <si>
    <t>Đa seed, chi tiết đủ 10 bộ (hard &amp; wave), TB tính từ đây</t>
  </si>
  <si>
    <t>Mỗi ô = độ chính xác của bộ đó ở seed đó (TB 5 fold). Cột TB = trung bình 5 seed. 170 dòng = 10 bộ × 17 (loại×mức).</t>
  </si>
  <si>
    <t>Tham số (cố định, không tune, đo ổn định qua 5 seed): hard d=0.1, eps=0.05 · wave C=10, λ=1, kappa=0 (λ cố định) · steps=300 · kernel linear · 5-fold.</t>
  </si>
  <si>
    <t>dataset</t>
  </si>
  <si>
    <t>kind</t>
  </si>
  <si>
    <t>rate</t>
  </si>
  <si>
    <t>hard s0</t>
  </si>
  <si>
    <t>hard s1</t>
  </si>
  <si>
    <t>hard s2</t>
  </si>
  <si>
    <t>hard s3</t>
  </si>
  <si>
    <t>hard s4</t>
  </si>
  <si>
    <t>hard TB</t>
  </si>
  <si>
    <t>wave s0</t>
  </si>
  <si>
    <t>wave s1</t>
  </si>
  <si>
    <t>wave s2</t>
  </si>
  <si>
    <t>wave s3</t>
  </si>
  <si>
    <t>wave s4</t>
  </si>
  <si>
    <t>wave TB</t>
  </si>
  <si>
    <t>Δ</t>
  </si>
  <si>
    <t>SPECTF</t>
  </si>
  <si>
    <t>(clean)</t>
  </si>
  <si>
    <t>symmetric</t>
  </si>
  <si>
    <t>asymmetric</t>
  </si>
  <si>
    <t>boundary</t>
  </si>
  <si>
    <t>far</t>
  </si>
  <si>
    <t>australian</t>
  </si>
  <si>
    <t>balance_scale</t>
  </si>
  <si>
    <t>banknote</t>
  </si>
  <si>
    <t>breast_cancer</t>
  </si>
  <si>
    <t>german</t>
  </si>
  <si>
    <t>haberman</t>
  </si>
  <si>
    <t>heart</t>
  </si>
  <si>
    <t>ionosphere</t>
  </si>
  <si>
    <t>sonar</t>
  </si>
  <si>
    <t>Bảng trung bình qua 10 bộ (mỗi (loại,mức): TB của cột 'hard TB' / 'wave TB' trên 10 bộ)</t>
  </si>
  <si>
    <t>hard</t>
  </si>
  <si>
    <t>wave</t>
  </si>
  <si>
    <t>Δ (wave-hard)</t>
  </si>
  <si>
    <t>Trung bình tất cả</t>
  </si>
  <si>
    <t>Đa seed, kernel RBF (Gauss), chi tiết 10 bộ (hard &amp; wave)</t>
  </si>
  <si>
    <t>Lưu Ý: λ cố định = 1 (như sheet 7). Trên RBF, wave thua hard ở hầu hết ô (Δ toàn cục ≈ −0.02), khác hẳn linear. Λ=1 không hợp không gian RBF; best λ khác nhau mỗi bộ, tuned cũng chỉ thắng 2/3 bộ. Kết luận: lợi thế của Wave chủ yếu ở kernel tuyến tính.</t>
  </si>
  <si>
    <t>Tham số (cố định, không tune): hard d=0.1, eps=0.05 · wave C=10, λ=1, kappa=0 · kernel RBF (rbfmap 300 landmark, gamma=scale) · steps=300 · 5-fold.  → λ=1 không hợp RBF nên wave bị thiệt.</t>
  </si>
  <si>
    <t>Bảng trung bình qua 10 bộ (RBF)</t>
  </si>
  <si>
    <t>Full 170×5 seed, độ thuần pur=0.7 (linear). Lưới hard vs wave × pur=1 vs pur=0.7 + rescue.</t>
  </si>
  <si>
    <t>pur=1 baseline: GB thường (hinge), GB wave. pur=0.7: hard (hinge), wave (đè đa số), wave rescue (hai-tâm chỉ khi một lớp sắp mất bóng, floor=1).</t>
  </si>
  <si>
    <t>Mỗi ô = acc TB 5-fold của 1 seed. TB = TB 5 seed. Wave λ=1 kappa=0; hard d=.1 eps=.05. steps=250.</t>
  </si>
  <si>
    <t>GB thường@1 s0</t>
  </si>
  <si>
    <t>GB thường@1 s1</t>
  </si>
  <si>
    <t>GB thường@1 s2</t>
  </si>
  <si>
    <t>GB thường@1 s3</t>
  </si>
  <si>
    <t>GB thường@1 s4</t>
  </si>
  <si>
    <t>GB thường@1 TB</t>
  </si>
  <si>
    <t>GB wave@1 s0</t>
  </si>
  <si>
    <t>GB wave@1 s1</t>
  </si>
  <si>
    <t>GB wave@1 s2</t>
  </si>
  <si>
    <t>GB wave@1 s3</t>
  </si>
  <si>
    <t>GB wave@1 s4</t>
  </si>
  <si>
    <t>GB wave@1 TB</t>
  </si>
  <si>
    <t>hard@0.7 s0</t>
  </si>
  <si>
    <t>hard@0.7 s1</t>
  </si>
  <si>
    <t>hard@0.7 s2</t>
  </si>
  <si>
    <t>hard@0.7 s3</t>
  </si>
  <si>
    <t>hard@0.7 s4</t>
  </si>
  <si>
    <t>hard@0.7 TB</t>
  </si>
  <si>
    <t>wave@0.7 s0</t>
  </si>
  <si>
    <t>wave@0.7 s1</t>
  </si>
  <si>
    <t>wave@0.7 s2</t>
  </si>
  <si>
    <t>wave@0.7 s3</t>
  </si>
  <si>
    <t>wave@0.7 s4</t>
  </si>
  <si>
    <t>wave@0.7 TB</t>
  </si>
  <si>
    <t>wave@0.7 resc s0</t>
  </si>
  <si>
    <t>wave@0.7 resc s1</t>
  </si>
  <si>
    <t>wave@0.7 resc s2</t>
  </si>
  <si>
    <t>wave@0.7 resc s3</t>
  </si>
  <si>
    <t>wave@0.7 resc s4</t>
  </si>
  <si>
    <t>wave@0.7 resc TB</t>
  </si>
  <si>
    <t>Δ(resc−wave.7)</t>
  </si>
  <si>
    <t>Δ(resc−GBwave)</t>
  </si>
  <si>
    <t>Bảng trung bình qua 10 bộ (pur=0.7)</t>
  </si>
  <si>
    <t>GB thường@1</t>
  </si>
  <si>
    <t>GB wave@1</t>
  </si>
  <si>
    <t>hard@0.7</t>
  </si>
  <si>
    <t>wave@0.7</t>
  </si>
  <si>
    <t>wave@0.7 resc</t>
  </si>
  <si>
    <t>Ô trống = suy biến (một lớp mất hết bóng). rescue-only lấp các ô này; ở pur=0.7 asymmetric suy biến rất nặng nên rescue cứu nhiều.</t>
  </si>
  <si>
    <t>Full 170×5 seed, độ thuần pur=0.6 (linear). Lưới hard vs wave × pur=1 vs pur=0.6 + rescue.</t>
  </si>
  <si>
    <t>pur=1 baseline: GB thường (hinge), GB wave. pur=0.6: hard (hinge), wave (đè đa số), wave rescue (hai-tâm chỉ khi một lớp sắp mất bóng, floor=1).</t>
  </si>
  <si>
    <t>hard@0.6 s0</t>
  </si>
  <si>
    <t>hard@0.6 s1</t>
  </si>
  <si>
    <t>hard@0.6 s2</t>
  </si>
  <si>
    <t>hard@0.6 s3</t>
  </si>
  <si>
    <t>hard@0.6 s4</t>
  </si>
  <si>
    <t>hard@0.6 TB</t>
  </si>
  <si>
    <t>wave@0.6 s0</t>
  </si>
  <si>
    <t>wave@0.6 s1</t>
  </si>
  <si>
    <t>wave@0.6 s2</t>
  </si>
  <si>
    <t>wave@0.6 s3</t>
  </si>
  <si>
    <t>wave@0.6 s4</t>
  </si>
  <si>
    <t>wave@0.6 TB</t>
  </si>
  <si>
    <t>wave@0.6 resc s0</t>
  </si>
  <si>
    <t>wave@0.6 resc s1</t>
  </si>
  <si>
    <t>wave@0.6 resc s2</t>
  </si>
  <si>
    <t>wave@0.6 resc s3</t>
  </si>
  <si>
    <t>wave@0.6 resc s4</t>
  </si>
  <si>
    <t>wave@0.6 resc TB</t>
  </si>
  <si>
    <t>Δ(resc−wave.6)</t>
  </si>
  <si>
    <t>Bảng trung bình qua 10 bộ (pur=0.6)</t>
  </si>
  <si>
    <t>hard@0.6</t>
  </si>
  <si>
    <t>wave@0.6</t>
  </si>
  <si>
    <t>wave@0.6 resc</t>
  </si>
  <si>
    <t>Ô trống = suy biến. pur=0.6 gộp mạnh hơn → nén rất cao (~30 đến 116x) nhưng suy biến nhiều hơn; rescue lấp các ô đó, chỉ thêm ~0 đến 1 bóng.</t>
  </si>
  <si>
    <t>Độ nén: số bóng sinh ra vs số điểm dữ liệu (linear, TB 3 seed × 5 fold).</t>
  </si>
  <si>
    <t>Đo ở 2 điều kiện: symmetric 0.3 (rescue ít bật) và asymmetric 0.4 (rescue hay bật). Cột 'điểm/bóng' = độ nén (cao = nén tốt). '0.7+R' = pur=0.7 sau khi thêm bóng rescue.</t>
  </si>
  <si>
    <t>điều kiện</t>
  </si>
  <si>
    <t>N điểm</t>
  </si>
  <si>
    <t>bóng pur=1</t>
  </si>
  <si>
    <t>bóng 0.7</t>
  </si>
  <si>
    <t>bóng 0.7+R</t>
  </si>
  <si>
    <t>bóng 0.6</t>
  </si>
  <si>
    <t>điểm/bóng pur=1</t>
  </si>
  <si>
    <t>điểm/bóng 0.7</t>
  </si>
  <si>
    <t>điểm/bóng 0.6</t>
  </si>
  <si>
    <t>sym.3</t>
  </si>
  <si>
    <t>asy.4</t>
  </si>
  <si>
    <t>Trung bình 10 bộ</t>
  </si>
  <si>
    <t>Đọc: pur=1 nén tệ nhất (1.4 đến 2.1x, bóng≈điểm, bệnh vỡ vụn). pur=0.7 nén 3.6 đến 9.4x, pur=0.6 tới 32 đến 116x. Rescue thêm ~0 đến 1 bóng (0.7→0.7+R gần như không đổi) → giữ nguyên độ nén.</t>
  </si>
  <si>
    <t>Rescue có còn là SVM?, Twin-SVM so với nearest-centroid (1-NN trên tâm bóng)</t>
  </si>
  <si>
    <t>Câu hỏi: khi suy biến gom về rất ít bóng, twin-SVM còn ý nghĩa lề không, hay đã thành kNN? Nearest-centroid = gán mẫu về tâm bóng gần nhất (1-NN trên tâm).</t>
  </si>
  <si>
    <t>Phần A, pur=1 (phương pháp chính): SVM làm việc thật</t>
  </si>
  <si>
    <t>bộ</t>
  </si>
  <si>
    <t>số bóng</t>
  </si>
  <si>
    <t>hard (hinge)</t>
  </si>
  <si>
    <t>nearest-centroid</t>
  </si>
  <si>
    <t>Δ (wave − NC)</t>
  </si>
  <si>
    <t>Tổng</t>
  </si>
  <si>
    <t>→ pur=1: wave 0.719 &gt; hard 0.700 &gt; NC 0.639 (wave hơn NC +0.080, thắng mọi bộ). Nhiều bóng thuần → máy lề đóng góp thật, không phải kNN.</t>
  </si>
  <si>
    <t>Phần B, pur=0.6 (suy biến): SVM thoái về / thua nearest-centroid</t>
  </si>
  <si>
    <t>chế độ fold</t>
  </si>
  <si>
    <t>#fold</t>
  </si>
  <si>
    <t>wave+rescue</t>
  </si>
  <si>
    <t>hybrid (NC khi sụp)</t>
  </si>
  <si>
    <t>Tất cả fold</t>
  </si>
  <si>
    <t>Fold sụp (≤1 bóng/lớp, 52%)</t>
  </si>
  <si>
    <t>Fold bình thường</t>
  </si>
  <si>
    <t>Theo từng bộ (tất cả fold, pur=0.6):</t>
  </si>
  <si>
    <t>hybrid</t>
  </si>
  <si>
    <t>% fold sụp</t>
  </si>
  <si>
    <t>59%</t>
  </si>
  <si>
    <t>67%</t>
  </si>
  <si>
    <t>51%</t>
  </si>
  <si>
    <t>23%</t>
  </si>
  <si>
    <t>55%</t>
  </si>
  <si>
    <t>→ 52% fold sụp về đúng 1 bóng/lớp; ở đó nearest-centroid (0.784) &gt; twin-SVM (0.716). Ngay cả fold không sụp, pur=0.6 NC ≥ wave. pur thấp là đất của kNN.</t>
  </si>
  <si>
    <t>Kết luận &amp; khuyến nghị</t>
  </si>
  <si>
    <t>① SVM chỉ đáng ở độ thuần cao: pur=1 wave hơn nearest-centroid +0.080 (thắng mọi bộ). Đây là nơi đóng góp thật sự nằm.</t>
  </si>
  <si>
    <t>② Ở suy biến (pur thấp), bóng gom về đúng 1/lớp (52% số fold), twin-SVM trên 2 tâm mất ý nghĩa lề và thua nearest-centroid.</t>
  </si>
  <si>
    <t>③ Sửa rescue cho đúng: khi một lớp sụp ≤1 bóng thì thoái lui về nearest-centroid thay vì cố fit twin-SVM. Hybrid nâng acc từ 0.651 lên 0.686 (toàn cục), và ở fold sụp từ 0.716 lên 0.784.</t>
  </si>
  <si>
    <t>④ Định vị bản thảo: nhấn Tier-1 = Wave@pur=1 (máy lề thắng cả hinge lẫn NC). Rescue = cơ chế 'suy biến có kiểm soát' thoái về nearest-centroid, không bán như chiến thắng của SVM.</t>
  </si>
  <si>
    <t>Liên hệ k-means / nearest-prototype</t>
  </si>
  <si>
    <t>k-means là gom cụm (không giám sát): đi tìm tâm. Nearest-centroid là phân lớp (có giám sát): dùng tâm đã có nhãn để gán. Hai vai khác nhau.</t>
  </si>
  <si>
    <t>Nhưng tâm ở đây là tâm bóng, mà bóng sinh bằng 2-means đệ quy (biến thể k-means). Nên fallback NC = sinh cụm kiểu k-means → gán nhãn đa số cho cụm → phân lớp theo tâm gần nhất. Gộp lại là một bộ phân lớp nearest-prototype dựa trên k-means (họ hàng LVQ, Rocchio).</t>
  </si>
  <si>
    <t>1 tâm mỗi lớp (ca suy biến) = đúng Rocchio / nearest class-mean. Nhiều tâm mỗi lớp = nearest-prototype với nguyên mẫu do k-means sinh.</t>
  </si>
  <si>
    <t>Bóng là k-means đa độ phân giải (chia sâu ở vùng lẫn, thô ở vùng thuần theo ngưỡng purity), nên số nguyên mẫu tự thích nghi theo dữ liệu.</t>
  </si>
  <si>
    <t>Ý nghĩa: khi bóng sụp còn ít, phương pháp thoái về baseline k-means/nearest-prototype cổ điển, ổn định và dễ hiểu, nên đây là thoái lui êm, không phải hỏng.</t>
  </si>
  <si>
    <t>Nhiễu nhãn thật, CIFAR-10N (nhãn do người gán, Wei et al. ICLR 2022)</t>
  </si>
  <si>
    <t>Bài nhị phân tabular: ảnh→PCA→MinMax(-1,1). Nhãn huấn luyện = nhãn-người (nhiễu thật), nhãn kiểm tra = nhãn sạch. Mỗi ô = accuracy trên test sạch.</t>
  </si>
  <si>
    <t>Phần A, 5 seed (TB ± sd) · dùng cho báo · automobile vs truck | aggre_label, nhiễu thật 7.6% | PCA=100 | test 2000 | 5 seed</t>
  </si>
  <si>
    <t>Độ thuần P</t>
  </si>
  <si>
    <t>hard (pur=1)</t>
  </si>
  <si>
    <t>wave (pur=1)</t>
  </si>
  <si>
    <t>hard (P)</t>
  </si>
  <si>
    <t>wave (P)</t>
  </si>
  <si>
    <t>wave+rescue (P)</t>
  </si>
  <si>
    <t>Ghi chú</t>
  </si>
  <si>
    <t>0.696 ± 0.003</t>
  </si>
  <si>
    <t>0.704 ± 0.004</t>
  </si>
  <si>
    <t>0.671 ± 0.007</t>
  </si>
  <si>
    <t>0.671 ± 0.009</t>
  </si>
  <si>
    <t>pur=0.7 chưa suy biến → rescue = wave(0.7), không hại; wave(pur=1) dẫn đầu, sd nhỏ</t>
  </si>
  <si>
    <t>suy biến (n=0)</t>
  </si>
  <si>
    <t>0.656 ± 0.002</t>
  </si>
  <si>
    <t>cả 5 seed hard/wave thô chết (n=0) → rescue cứu sống, sd rất nhỏ</t>
  </si>
  <si>
    <t>Phần B, 1 seed (khảo sát nhanh, tham khảo)</t>
  </si>
  <si>
    <t>0.698</t>
  </si>
  <si>
    <t>0.709</t>
  </si>
  <si>
    <t>0.677</t>
  </si>
  <si>
    <t>0.672</t>
  </si>
  <si>
    <t>automobile vs truck · aggre_label 8% · PCA100</t>
  </si>
  <si>
    <t>0.545</t>
  </si>
  <si>
    <t>0.571</t>
  </si>
  <si>
    <t>0.659</t>
  </si>
  <si>
    <t>hard/wave chết → rescue cứu</t>
  </si>
  <si>
    <t>0.529</t>
  </si>
  <si>
    <t>0.521</t>
  </si>
  <si>
    <t>0.511</t>
  </si>
  <si>
    <t>0.534</t>
  </si>
  <si>
    <t>cat vs dog · worse_label 47% · PCA50</t>
  </si>
  <si>
    <t>0.513</t>
  </si>
  <si>
    <t>Phần C, 5 seed (TB ± sd) · nhiễu cao · cat vs dog | worse_label, nhiễu thật 46.6% | PCA=50 | test 2000 | 5 seed</t>
  </si>
  <si>
    <t>0.535 ± 0.006</t>
  </si>
  <si>
    <t>0.522 ± 0.005</t>
  </si>
  <si>
    <t>0.533 ± 0.005</t>
  </si>
  <si>
    <t>0.513 ± 0.009</t>
  </si>
  <si>
    <t>pur=0.7 chưa suy biến; nhiễu ~47% nên hard và wave đều sát mức ngẫu nhiên 0.5, Wave không còn dẫn</t>
  </si>
  <si>
    <t>0.531 ± 0.015</t>
  </si>
  <si>
    <t>0.518 ± 0.013</t>
  </si>
  <si>
    <t>pur=0.6 vẫn còn nhiều bóng (khoảng 1300), chưa suy biến</t>
  </si>
  <si>
    <t>0.510 ± 0.006</t>
  </si>
  <si>
    <t>một lớp còn 1 bóng, hard/wave thô chết (n=0), rescue sống ở mức ngẫu nhiên</t>
  </si>
  <si>
    <t>Phần D, 5 seed (TB ± sd) · nhiễu cao · CIFAR-100N · leopard vs tiger | noisy_label (mịn), nhiễu thật 42.4% | PCA=50 | test 200 | 5 seed</t>
  </si>
  <si>
    <t>0.524 ± 0.010</t>
  </si>
  <si>
    <t>0.526 ± 0.026</t>
  </si>
  <si>
    <t>0.514 ± 0.031</t>
  </si>
  <si>
    <t>0.504 ± 0.027</t>
  </si>
  <si>
    <t>pur=0.7 còn bóng (khoảng 400); nhiễu 42% nên quanh mức 0.5; test chỉ 200 mẫu nên sd lớn</t>
  </si>
  <si>
    <t>0.462 ± 0.002</t>
  </si>
  <si>
    <t>pur=0.6 đã suy biến (còn 1 bóng mỗi lớp) vì bộ nhỏ chỉ 1000 mẫu</t>
  </si>
  <si>
    <t>vẫn suy biến, chỉ rescue sống, ở dưới mức ngẫu nhiên</t>
  </si>
  <si>
    <t>Nhận xét</t>
  </si>
  <si>
    <t>Tự động dò siêu tham số bằng metaheuristic (mealpy/WOA) so với grid-search. Tune (C, λ, reg) [+ γ nếu RBF]; mục tiêu = acc CV vòng-trong trên nhãn nhiễu.</t>
  </si>
  <si>
    <t>Kết luận: linear (không gian nhỏ) → grid tốt hơn, meta thừa. RBF (thêm γ liên tục) → meta thắng 2/3 bộ, chủ yếu vì tránh điểm mù γ của grid.</t>
  </si>
  <si>
    <t>A) Linear, 1 lần chia 80/20 (nhiễu symmetric 0.3)</t>
  </si>
  <si>
    <t>meta (WOA)</t>
  </si>
  <si>
    <t>grid</t>
  </si>
  <si>
    <t>Δ (meta-grid)</t>
  </si>
  <si>
    <t>B) RBF, trung bình 5 seed (nhiễu symmetric 0.3), con số đáng tin</t>
  </si>
  <si>
    <t>meta (WOA) TB</t>
  </si>
  <si>
    <t>grid TB</t>
  </si>
  <si>
    <t>meta thắng</t>
  </si>
  <si>
    <t>1/5</t>
  </si>
  <si>
    <t>4/5</t>
  </si>
  <si>
    <t>Lưu ý: grid RBF thỉnh thoảng sập gần random (0.39/0.48) vì γ grid thô {0.01,0.1,1.0} + CV trên nhãn nhiễu; meta dò γ liên tục nên hiếm sập → lợi thế là độ ổn định. Meta tốn ~6× lần chấm. Định vị: tiện ích auto-tuning cho RBF, không phải đóng góp chính.</t>
  </si>
  <si>
    <t>C) RBF, full 10 bộ, 5 seed (ngân sách nặng: epoch 25, pop 20, steps 150; nhiễu symmetric 0.3)</t>
  </si>
  <si>
    <t>meta TB</t>
  </si>
  <si>
    <t>seed sập meta</t>
  </si>
  <si>
    <t>seed sập grid</t>
  </si>
  <si>
    <t>2/5</t>
  </si>
  <si>
    <t>3/5</t>
  </si>
  <si>
    <t>Trung bình</t>
  </si>
  <si>
    <t>Đọc: ngân sách nặng thì meta ≈ grid về accuracy (TB 0.766 vs 0.749, +0.017), nhưng grid sập nhiều gấp đôi (7 seed &lt;0.5 so với 3 của meta), và meta thắng đậm ở bộ khó lệch lớp (haberman +0.206). Khẳng định: bầy đàn lợi ở độ ổn định (tránh grid vặn hụt γ thành sập), không phải cao điểm hơn.</t>
  </si>
  <si>
    <t>5 seed (Phần A, automobile vs truck, nhiễu 7.6%): wave(pur=1) 0.704 ± 0.004 nhỉnh hơn hard(pur=1) 0.696 ± 0.003, nhất quán qua cả 5 seed, sd nhỏ. Wave dẫn đầu ổn định ở nhiễu vừa.</t>
  </si>
  <si>
    <t>pur=0.5 (Phần A): cả 5 seed hard(0.5) và wave(0.5) đều suy biến (n=0), wave+rescue cứu sống 0.656 ± 0.002. Rescue đáng tin, không phải may rủi.</t>
  </si>
  <si>
    <t>pur=0.7 chưa suy biến nên rescue trùng với wave(0.7), không gây hại.</t>
  </si>
  <si>
    <t>Phần B là dò nhanh 1 seed để định vị điểm suy biến, chỉ dùng tham khảo.</t>
  </si>
  <si>
    <t>Chốt cho nhiễu vừa: Wave@pur=1 dẫn đầu, rescue cứu khi suy biến ở độ thuần thấp.</t>
  </si>
  <si>
    <t>Nhiễu cao (Phần C, cat vs dog, worse_label 46.6%): ở pur=1 hard 0.535 và wave 0.522 đều sát mức ngẫu nhiên 0.5, Wave không còn dẫn. Đây là trần nhiễu của phương pháp.</t>
  </si>
  <si>
    <t>Nhiễu cao thứ hai (Phần D, CIFAR-100N mịn, leopard vs tiger, 42.4%): lặp lại kết luận Phần C, pur=1 hard 0.524 và wave 0.526 bằng nhau trong sai số. Hai bộ nhiễu thật độc lập cùng cho trần nhiễu khoảng 40%.</t>
  </si>
  <si>
    <t>Điểm suy biến phụ thuộc cỡ dữ liệu: cat vs dog (10000 mẫu) còn chạy tới pur=0.6 rồi mới sập ở 0.5; leopard vs tiger (1000 mẫu) sập sớm ngay từ pur=0.6. Bộ càng nhỏ, hạ độ thuần càng dễ làm một lớp mất hết bóng.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</si>
</sst>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+0.000;\-0.000"/>
  </numFmts>
  <fonts count="24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i/>
      <sz val="9"/>
      <color rgb="FF1F4E79"/>
      <name val="Times New Roman"/>
      <charset val="1"/>
    </font>
    <font>
      <b/>
      <sz val="14"/>
      <name val="Times New Roman"/>
      <charset val="1"/>
    </font>
    <font>
      <i/>
      <sz val="10"/>
      <name val="Times New Roman"/>
      <charset val="1"/>
    </font>
    <font>
      <b/>
      <sz val="11"/>
      <color rgb="FFFFFFFF"/>
      <name val="Times New Roman"/>
      <charset val="1"/>
    </font>
    <font>
      <b/>
      <sz val="12"/>
      <name val="Times New Roman"/>
      <charset val="1"/>
    </font>
    <font>
      <i/>
      <sz val="10"/>
      <color rgb="FF9C5700"/>
      <name val="Times New Roman"/>
      <charset val="1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sz val="9"/>
      <color rgb="FF375623"/>
      <name val="Calibri"/>
    </font>
    <font>
      <i/>
      <sz val="11"/>
      <color rgb="FF999999"/>
      <name val="Calibri"/>
    </font>
    <font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0"/>
      <color rgb="FF375623"/>
      <name val="Calibri"/>
    </font>
    <font>
      <sz val="10"/>
      <color rgb="FF833C00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DEDED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7F3C00"/>
        <bgColor rgb="FF9C5700"/>
      </patternFill>
    </fill>
    <fill>
      <patternFill patternType="solid">
        <fgColor rgb="FFD9E2F3"/>
      </patternFill>
    </fill>
    <fill>
      <patternFill patternType="solid">
        <fgColor rgb="FFEAF0FA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7" fillId="0" borderId="0" xfId="0" applyFont="1"/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/>
    <xf numFmtId="164" fontId="1" fillId="5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0" fillId="0" borderId="2" xfId="0" applyBorder="1"/>
    <xf numFmtId="0" fontId="11" fillId="0" borderId="0" xfId="0" applyFont="1"/>
    <xf numFmtId="0" fontId="11" fillId="0" borderId="2" xfId="0" applyFont="1" applyBorder="1" applyAlignment="1">
      <alignment horizontal="left" vertical="center"/>
    </xf>
    <xf numFmtId="0" fontId="12" fillId="0" borderId="0" xfId="0" applyFont="1"/>
    <xf numFmtId="0" fontId="0" fillId="0" borderId="3" xfId="0" applyBorder="1" applyAlignment="1">
      <alignment horizontal="left" vertical="center" wrapText="1"/>
    </xf>
    <xf numFmtId="0" fontId="19" fillId="12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top" wrapText="1"/>
    </xf>
    <xf numFmtId="0" fontId="0" fillId="10" borderId="3" xfId="0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left" vertical="top" wrapText="1"/>
    </xf>
    <xf numFmtId="0" fontId="0" fillId="10" borderId="3" xfId="0" applyFill="1" applyBorder="1" applyAlignment="1">
      <alignment horizontal="left" vertical="top" wrapText="1"/>
    </xf>
    <xf numFmtId="0" fontId="0" fillId="13" borderId="3" xfId="0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left" vertical="top" wrapText="1"/>
    </xf>
    <xf numFmtId="0" fontId="0" fillId="13" borderId="3" xfId="0" applyFill="1" applyBorder="1" applyAlignment="1">
      <alignment horizontal="left" vertical="top" wrapText="1"/>
    </xf>
    <xf numFmtId="0" fontId="14" fillId="0" borderId="0" xfId="0" applyFont="1"/>
    <xf numFmtId="0" fontId="1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5" fillId="0" borderId="3" xfId="0" applyFont="1" applyBorder="1" applyAlignment="1">
      <alignment horizontal="left" vertical="top" wrapText="1"/>
    </xf>
    <xf numFmtId="0" fontId="16" fillId="10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0" fillId="14" borderId="3" xfId="0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9" fillId="12" borderId="3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left" vertical="top" wrapText="1"/>
    </xf>
    <xf numFmtId="0" fontId="23" fillId="0" borderId="6" xfId="0" applyFont="1" applyBorder="1"/>
    <xf numFmtId="0" fontId="12" fillId="0" borderId="6" xfId="0" applyFont="1" applyBorder="1" applyAlignment="1">
      <alignment horizontal="left" vertical="top" wrapText="1"/>
    </xf>
    <xf numFmtId="0" fontId="23" fillId="0" borderId="6" xfId="0" applyFont="1" applyBorder="1" applyAlignment="1">
      <alignment horizontal="left" vertical="center" wrapText="1"/>
    </xf>
    <xf numFmtId="0" fontId="18" fillId="0" borderId="0" xfId="0" applyFont="1"/>
    <xf numFmtId="0" fontId="0" fillId="0" borderId="0" xfId="0"/>
    <xf numFmtId="0" fontId="0" fillId="14" borderId="3" xfId="0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13" fillId="0" borderId="0" xfId="0" applyFont="1" applyAlignment="1">
      <alignment horizontal="left" vertical="top" wrapText="1"/>
    </xf>
    <xf numFmtId="0" fontId="20" fillId="0" borderId="0" xfId="0" applyFont="1"/>
    <xf numFmtId="0" fontId="3" fillId="2" borderId="0" xfId="0" applyFont="1" applyFill="1" applyAlignment="1">
      <alignment vertical="top" wrapText="1"/>
    </xf>
    <xf numFmtId="0" fontId="8" fillId="0" borderId="0" xfId="0" applyFont="1" applyAlignment="1">
      <alignment wrapText="1"/>
    </xf>
    <xf numFmtId="0" fontId="17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0" fillId="15" borderId="0" xfId="0" applyFont="1" applyFill="1"/>
    <xf numFmtId="0" fontId="12" fillId="0" borderId="0" xfId="0" applyFont="1"/>
    <xf numFmtId="0" fontId="22" fillId="0" borderId="0" xfId="0" applyFont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20" fillId="1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3C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defaultRowHeight="15" x14ac:dyDescent="0.25"/>
  <cols>
    <col min="1" max="1" width="26" customWidth="1"/>
    <col min="2" max="2" width="70" customWidth="1"/>
  </cols>
  <sheetData>
    <row r="1" spans="1:2" ht="18.75" x14ac:dyDescent="0.3">
      <c r="A1" s="60" t="s">
        <v>0</v>
      </c>
      <c r="B1" s="61"/>
    </row>
    <row r="3" spans="1:2" x14ac:dyDescent="0.25">
      <c r="A3" s="55" t="s">
        <v>1</v>
      </c>
      <c r="B3" s="55" t="s">
        <v>2</v>
      </c>
    </row>
    <row r="4" spans="1:2" x14ac:dyDescent="0.25">
      <c r="A4" s="33" t="s">
        <v>3</v>
      </c>
      <c r="B4" s="33" t="s">
        <v>4</v>
      </c>
    </row>
    <row r="5" spans="1:2" ht="30" x14ac:dyDescent="0.25">
      <c r="A5" s="33" t="s">
        <v>5</v>
      </c>
      <c r="B5" s="33" t="s">
        <v>6</v>
      </c>
    </row>
    <row r="6" spans="1:2" x14ac:dyDescent="0.25">
      <c r="A6" s="33" t="s">
        <v>7</v>
      </c>
      <c r="B6" s="33" t="s">
        <v>8</v>
      </c>
    </row>
    <row r="7" spans="1:2" x14ac:dyDescent="0.25">
      <c r="A7" s="33" t="s">
        <v>9</v>
      </c>
      <c r="B7" s="33" t="s">
        <v>10</v>
      </c>
    </row>
    <row r="8" spans="1:2" x14ac:dyDescent="0.25">
      <c r="A8" s="33" t="s">
        <v>11</v>
      </c>
      <c r="B8" s="33" t="s">
        <v>12</v>
      </c>
    </row>
    <row r="9" spans="1:2" x14ac:dyDescent="0.25">
      <c r="A9" s="33" t="s">
        <v>13</v>
      </c>
      <c r="B9" s="33" t="s">
        <v>14</v>
      </c>
    </row>
    <row r="10" spans="1:2" ht="30" x14ac:dyDescent="0.25">
      <c r="A10" s="33" t="s">
        <v>15</v>
      </c>
      <c r="B10" s="33" t="s">
        <v>16</v>
      </c>
    </row>
    <row r="11" spans="1:2" x14ac:dyDescent="0.25">
      <c r="A11" s="33" t="s">
        <v>17</v>
      </c>
      <c r="B11" s="33" t="s">
        <v>18</v>
      </c>
    </row>
    <row r="12" spans="1:2" ht="30" x14ac:dyDescent="0.25">
      <c r="A12" s="33" t="s">
        <v>19</v>
      </c>
      <c r="B12" s="33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2" width="30" customWidth="1"/>
    <col min="3" max="3" width="42" customWidth="1"/>
    <col min="4" max="5" width="44" customWidth="1"/>
    <col min="6" max="6" width="12" customWidth="1"/>
  </cols>
  <sheetData>
    <row r="1" spans="1:6" ht="18.75" x14ac:dyDescent="0.3">
      <c r="A1" s="60" t="s">
        <v>21</v>
      </c>
      <c r="B1" s="61"/>
      <c r="C1" s="61"/>
      <c r="D1" s="61"/>
      <c r="E1" s="61"/>
      <c r="F1" s="61"/>
    </row>
    <row r="2" spans="1:6" ht="45.95" customHeight="1" x14ac:dyDescent="0.25">
      <c r="A2" s="65" t="s">
        <v>22</v>
      </c>
      <c r="B2" s="61"/>
      <c r="C2" s="61"/>
      <c r="D2" s="61"/>
      <c r="E2" s="61"/>
      <c r="F2" s="61"/>
    </row>
    <row r="4" spans="1:6" x14ac:dyDescent="0.25">
      <c r="A4" s="34" t="s">
        <v>23</v>
      </c>
      <c r="B4" s="34" t="s">
        <v>24</v>
      </c>
      <c r="C4" s="34" t="s">
        <v>25</v>
      </c>
      <c r="D4" s="34" t="s">
        <v>26</v>
      </c>
      <c r="E4" s="34" t="s">
        <v>27</v>
      </c>
      <c r="F4" s="34" t="s">
        <v>28</v>
      </c>
    </row>
    <row r="5" spans="1:6" ht="62.1" customHeight="1" x14ac:dyDescent="0.25">
      <c r="A5" s="35" t="s">
        <v>29</v>
      </c>
      <c r="B5" s="36" t="s">
        <v>30</v>
      </c>
      <c r="C5" s="37" t="s">
        <v>31</v>
      </c>
      <c r="D5" s="37" t="s">
        <v>32</v>
      </c>
      <c r="E5" s="37" t="s">
        <v>33</v>
      </c>
      <c r="F5" s="35" t="s">
        <v>34</v>
      </c>
    </row>
    <row r="6" spans="1:6" ht="62.1" customHeight="1" x14ac:dyDescent="0.25">
      <c r="A6" s="35" t="s">
        <v>35</v>
      </c>
      <c r="B6" s="36" t="s">
        <v>36</v>
      </c>
      <c r="C6" s="37" t="s">
        <v>37</v>
      </c>
      <c r="D6" s="37" t="s">
        <v>38</v>
      </c>
      <c r="E6" s="37" t="s">
        <v>39</v>
      </c>
      <c r="F6" s="35" t="s">
        <v>40</v>
      </c>
    </row>
    <row r="7" spans="1:6" ht="62.1" customHeight="1" x14ac:dyDescent="0.25">
      <c r="A7" s="35" t="s">
        <v>41</v>
      </c>
      <c r="B7" s="36" t="s">
        <v>42</v>
      </c>
      <c r="C7" s="37" t="s">
        <v>43</v>
      </c>
      <c r="D7" s="37" t="s">
        <v>44</v>
      </c>
      <c r="E7" s="37" t="s">
        <v>45</v>
      </c>
      <c r="F7" s="35" t="s">
        <v>46</v>
      </c>
    </row>
    <row r="8" spans="1:6" ht="62.1" customHeight="1" x14ac:dyDescent="0.25">
      <c r="A8" s="38" t="s">
        <v>47</v>
      </c>
      <c r="B8" s="39" t="s">
        <v>48</v>
      </c>
      <c r="C8" s="40" t="s">
        <v>49</v>
      </c>
      <c r="D8" s="40" t="s">
        <v>50</v>
      </c>
      <c r="E8" s="40" t="s">
        <v>51</v>
      </c>
      <c r="F8" s="38" t="s">
        <v>52</v>
      </c>
    </row>
    <row r="9" spans="1:6" ht="62.1" customHeight="1" x14ac:dyDescent="0.25">
      <c r="A9" s="41" t="s">
        <v>53</v>
      </c>
      <c r="B9" s="42" t="s">
        <v>54</v>
      </c>
      <c r="C9" s="43" t="s">
        <v>55</v>
      </c>
      <c r="D9" s="43" t="s">
        <v>56</v>
      </c>
      <c r="E9" s="43" t="s">
        <v>57</v>
      </c>
      <c r="F9" s="41" t="s">
        <v>58</v>
      </c>
    </row>
    <row r="10" spans="1:6" ht="62.1" customHeight="1" x14ac:dyDescent="0.25">
      <c r="A10" s="38" t="s">
        <v>59</v>
      </c>
      <c r="B10" s="39" t="s">
        <v>60</v>
      </c>
      <c r="C10" s="40" t="s">
        <v>61</v>
      </c>
      <c r="D10" s="40" t="s">
        <v>62</v>
      </c>
      <c r="E10" s="40" t="s">
        <v>63</v>
      </c>
      <c r="F10" s="38" t="s">
        <v>64</v>
      </c>
    </row>
    <row r="11" spans="1:6" ht="62.1" customHeight="1" x14ac:dyDescent="0.25">
      <c r="A11" s="38" t="s">
        <v>65</v>
      </c>
      <c r="B11" s="39" t="s">
        <v>66</v>
      </c>
      <c r="C11" s="40" t="s">
        <v>67</v>
      </c>
      <c r="D11" s="40" t="s">
        <v>68</v>
      </c>
      <c r="E11" s="40" t="s">
        <v>69</v>
      </c>
      <c r="F11" s="38" t="s">
        <v>70</v>
      </c>
    </row>
    <row r="12" spans="1:6" ht="62.1" customHeight="1" x14ac:dyDescent="0.25">
      <c r="A12" s="38" t="s">
        <v>71</v>
      </c>
      <c r="B12" s="39" t="s">
        <v>72</v>
      </c>
      <c r="C12" s="40" t="s">
        <v>73</v>
      </c>
      <c r="D12" s="40" t="s">
        <v>74</v>
      </c>
      <c r="E12" s="40" t="s">
        <v>75</v>
      </c>
      <c r="F12" s="38" t="s">
        <v>76</v>
      </c>
    </row>
    <row r="13" spans="1:6" ht="62.1" customHeight="1" x14ac:dyDescent="0.25">
      <c r="A13" s="41" t="s">
        <v>77</v>
      </c>
      <c r="B13" s="42" t="s">
        <v>78</v>
      </c>
      <c r="C13" s="43" t="s">
        <v>79</v>
      </c>
      <c r="D13" s="43" t="s">
        <v>80</v>
      </c>
      <c r="E13" s="43" t="s">
        <v>81</v>
      </c>
      <c r="F13" s="41" t="s">
        <v>82</v>
      </c>
    </row>
    <row r="14" spans="1:6" ht="62.1" customHeight="1" x14ac:dyDescent="0.25">
      <c r="A14" s="35" t="s">
        <v>83</v>
      </c>
      <c r="B14" s="36" t="s">
        <v>84</v>
      </c>
      <c r="C14" s="37" t="s">
        <v>85</v>
      </c>
      <c r="D14" s="37" t="s">
        <v>86</v>
      </c>
      <c r="E14" s="37" t="s">
        <v>87</v>
      </c>
      <c r="F14" s="35" t="s">
        <v>88</v>
      </c>
    </row>
    <row r="15" spans="1:6" ht="62.1" customHeight="1" x14ac:dyDescent="0.25">
      <c r="A15" s="41" t="s">
        <v>89</v>
      </c>
      <c r="B15" s="42" t="s">
        <v>90</v>
      </c>
      <c r="C15" s="43" t="s">
        <v>91</v>
      </c>
      <c r="D15" s="43" t="s">
        <v>92</v>
      </c>
      <c r="E15" s="43" t="s">
        <v>93</v>
      </c>
      <c r="F15" s="41" t="s">
        <v>92</v>
      </c>
    </row>
    <row r="17" spans="1:6" x14ac:dyDescent="0.25">
      <c r="A17" s="44" t="s">
        <v>94</v>
      </c>
      <c r="B17" s="35" t="s">
        <v>95</v>
      </c>
      <c r="C17" s="41" t="s">
        <v>96</v>
      </c>
      <c r="D17" s="38" t="s">
        <v>97</v>
      </c>
    </row>
    <row r="19" spans="1:6" x14ac:dyDescent="0.25">
      <c r="A19" s="66" t="s">
        <v>98</v>
      </c>
      <c r="B19" s="61"/>
      <c r="C19" s="61"/>
      <c r="D19" s="61"/>
      <c r="E19" s="61"/>
      <c r="F19" s="61"/>
    </row>
    <row r="20" spans="1:6" ht="30" customHeight="1" x14ac:dyDescent="0.25">
      <c r="A20" s="62" t="s">
        <v>99</v>
      </c>
      <c r="B20" s="63"/>
      <c r="C20" s="63"/>
      <c r="D20" s="63"/>
      <c r="E20" s="63"/>
      <c r="F20" s="64"/>
    </row>
    <row r="21" spans="1:6" ht="30" customHeight="1" x14ac:dyDescent="0.25">
      <c r="A21" s="62" t="s">
        <v>100</v>
      </c>
      <c r="B21" s="63"/>
      <c r="C21" s="63"/>
      <c r="D21" s="63"/>
      <c r="E21" s="63"/>
      <c r="F21" s="64"/>
    </row>
    <row r="22" spans="1:6" ht="30" customHeight="1" x14ac:dyDescent="0.25">
      <c r="A22" s="62" t="s">
        <v>101</v>
      </c>
      <c r="B22" s="63"/>
      <c r="C22" s="63"/>
      <c r="D22" s="63"/>
      <c r="E22" s="63"/>
      <c r="F22" s="64"/>
    </row>
    <row r="23" spans="1:6" ht="30" customHeight="1" x14ac:dyDescent="0.25">
      <c r="A23" s="62" t="s">
        <v>102</v>
      </c>
      <c r="B23" s="63"/>
      <c r="C23" s="63"/>
      <c r="D23" s="63"/>
      <c r="E23" s="63"/>
      <c r="F23" s="64"/>
    </row>
    <row r="24" spans="1:6" ht="30" customHeight="1" x14ac:dyDescent="0.25">
      <c r="A24" s="62" t="s">
        <v>103</v>
      </c>
      <c r="B24" s="63"/>
      <c r="C24" s="63"/>
      <c r="D24" s="63"/>
      <c r="E24" s="63"/>
      <c r="F24" s="64"/>
    </row>
  </sheetData>
  <mergeCells count="8">
    <mergeCell ref="A24:F24"/>
    <mergeCell ref="A2:F2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15" customWidth="1"/>
    <col min="2" max="2" width="12" customWidth="1"/>
    <col min="3" max="3" width="6" customWidth="1"/>
    <col min="4" max="16" width="8" customWidth="1"/>
  </cols>
  <sheetData>
    <row r="1" spans="1:16" ht="17.25" customHeight="1" x14ac:dyDescent="0.3">
      <c r="A1" s="1" t="s">
        <v>104</v>
      </c>
    </row>
    <row r="2" spans="1:16" ht="15" customHeight="1" x14ac:dyDescent="0.25">
      <c r="A2" s="2" t="s">
        <v>105</v>
      </c>
    </row>
    <row r="3" spans="1:16" ht="42" customHeight="1" x14ac:dyDescent="0.25">
      <c r="A3" s="67" t="s">
        <v>106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6" ht="24.75" customHeight="1" x14ac:dyDescent="0.25">
      <c r="A4" s="13" t="s">
        <v>107</v>
      </c>
      <c r="B4" s="13" t="s">
        <v>108</v>
      </c>
      <c r="C4" s="13" t="s">
        <v>109</v>
      </c>
      <c r="D4" s="13" t="s">
        <v>110</v>
      </c>
      <c r="E4" s="13" t="s">
        <v>111</v>
      </c>
      <c r="F4" s="13" t="s">
        <v>112</v>
      </c>
      <c r="G4" s="13" t="s">
        <v>113</v>
      </c>
      <c r="H4" s="13" t="s">
        <v>114</v>
      </c>
      <c r="I4" s="13" t="s">
        <v>115</v>
      </c>
      <c r="J4" s="13" t="s">
        <v>116</v>
      </c>
      <c r="K4" s="13" t="s">
        <v>117</v>
      </c>
      <c r="L4" s="13" t="s">
        <v>118</v>
      </c>
      <c r="M4" s="13" t="s">
        <v>119</v>
      </c>
      <c r="N4" s="13" t="s">
        <v>120</v>
      </c>
      <c r="O4" s="13" t="s">
        <v>121</v>
      </c>
      <c r="P4" s="13" t="s">
        <v>122</v>
      </c>
    </row>
    <row r="5" spans="1:16" ht="15" customHeight="1" x14ac:dyDescent="0.25">
      <c r="A5" s="3" t="s">
        <v>123</v>
      </c>
      <c r="B5" s="3" t="s">
        <v>124</v>
      </c>
      <c r="C5" s="14">
        <v>0</v>
      </c>
      <c r="D5" s="5">
        <v>0.73</v>
      </c>
      <c r="E5" s="5">
        <v>0.76800000000000002</v>
      </c>
      <c r="F5" s="5">
        <v>0.72699999999999998</v>
      </c>
      <c r="G5" s="5">
        <v>0.73399999999999999</v>
      </c>
      <c r="H5" s="5">
        <v>0.78600000000000003</v>
      </c>
      <c r="I5" s="6">
        <f t="shared" ref="I5:I36" si="0">IFERROR(AVERAGE(D5:H5),"-")</f>
        <v>0.749</v>
      </c>
      <c r="J5" s="5">
        <v>0.79700000000000004</v>
      </c>
      <c r="K5" s="5">
        <v>0.79400000000000004</v>
      </c>
      <c r="L5" s="5">
        <v>0.78700000000000003</v>
      </c>
      <c r="M5" s="5">
        <v>0.77500000000000002</v>
      </c>
      <c r="N5" s="5">
        <v>0.72299999999999998</v>
      </c>
      <c r="O5" s="6">
        <f t="shared" ref="O5:O36" si="1">IFERROR(AVERAGE(J5:N5),"-")</f>
        <v>0.7752</v>
      </c>
      <c r="P5" s="15">
        <f t="shared" ref="P5:P36" si="2">IFERROR(O5-I5,"-")</f>
        <v>2.6200000000000001E-2</v>
      </c>
    </row>
    <row r="6" spans="1:16" ht="15" customHeight="1" x14ac:dyDescent="0.25">
      <c r="A6" s="3" t="s">
        <v>123</v>
      </c>
      <c r="B6" s="3" t="s">
        <v>125</v>
      </c>
      <c r="C6" s="14">
        <v>0.2</v>
      </c>
      <c r="D6" s="5">
        <v>0.63400000000000001</v>
      </c>
      <c r="E6" s="5">
        <v>0.65900000000000003</v>
      </c>
      <c r="F6" s="5">
        <v>0.66300000000000003</v>
      </c>
      <c r="G6" s="5">
        <v>0.63300000000000001</v>
      </c>
      <c r="H6" s="5">
        <v>0.70399999999999996</v>
      </c>
      <c r="I6" s="6">
        <f t="shared" si="0"/>
        <v>0.65860000000000007</v>
      </c>
      <c r="J6" s="5">
        <v>0.71199999999999997</v>
      </c>
      <c r="K6" s="5">
        <v>0.69299999999999995</v>
      </c>
      <c r="L6" s="5">
        <v>0.67800000000000005</v>
      </c>
      <c r="M6" s="5">
        <v>0.65500000000000003</v>
      </c>
      <c r="N6" s="5">
        <v>0.70399999999999996</v>
      </c>
      <c r="O6" s="6">
        <f t="shared" si="1"/>
        <v>0.6883999999999999</v>
      </c>
      <c r="P6" s="15">
        <f t="shared" si="2"/>
        <v>2.9799999999999827E-2</v>
      </c>
    </row>
    <row r="7" spans="1:16" ht="15" customHeight="1" x14ac:dyDescent="0.25">
      <c r="A7" s="3" t="s">
        <v>123</v>
      </c>
      <c r="B7" s="3" t="s">
        <v>125</v>
      </c>
      <c r="C7" s="14">
        <v>0.3</v>
      </c>
      <c r="D7" s="5">
        <v>0.54800000000000004</v>
      </c>
      <c r="E7" s="5">
        <v>0.58799999999999997</v>
      </c>
      <c r="F7" s="5">
        <v>0.65200000000000002</v>
      </c>
      <c r="G7" s="5">
        <v>0.61399999999999999</v>
      </c>
      <c r="H7" s="5">
        <v>0.64100000000000001</v>
      </c>
      <c r="I7" s="6">
        <f t="shared" si="0"/>
        <v>0.60860000000000003</v>
      </c>
      <c r="J7" s="5">
        <v>0.59599999999999997</v>
      </c>
      <c r="K7" s="5">
        <v>0.61799999999999999</v>
      </c>
      <c r="L7" s="5">
        <v>0.61</v>
      </c>
      <c r="M7" s="5">
        <v>0.65500000000000003</v>
      </c>
      <c r="N7" s="5">
        <v>0.64400000000000002</v>
      </c>
      <c r="O7" s="6">
        <f t="shared" si="1"/>
        <v>0.62460000000000004</v>
      </c>
      <c r="P7" s="15">
        <f t="shared" si="2"/>
        <v>1.6000000000000014E-2</v>
      </c>
    </row>
    <row r="8" spans="1:16" ht="15" customHeight="1" x14ac:dyDescent="0.25">
      <c r="A8" s="3" t="s">
        <v>123</v>
      </c>
      <c r="B8" s="3" t="s">
        <v>125</v>
      </c>
      <c r="C8" s="14">
        <v>0.4</v>
      </c>
      <c r="D8" s="5">
        <v>0.58799999999999997</v>
      </c>
      <c r="E8" s="5">
        <v>0.59799999999999998</v>
      </c>
      <c r="F8" s="5">
        <v>0.57299999999999995</v>
      </c>
      <c r="G8" s="5">
        <v>0.59599999999999997</v>
      </c>
      <c r="H8" s="5">
        <v>0.53200000000000003</v>
      </c>
      <c r="I8" s="6">
        <f t="shared" si="0"/>
        <v>0.57740000000000002</v>
      </c>
      <c r="J8" s="5">
        <v>0.57299999999999995</v>
      </c>
      <c r="K8" s="5">
        <v>0.58799999999999997</v>
      </c>
      <c r="L8" s="5">
        <v>0.56599999999999995</v>
      </c>
      <c r="M8" s="5">
        <v>0.60599999999999998</v>
      </c>
      <c r="N8" s="5">
        <v>0.55100000000000005</v>
      </c>
      <c r="O8" s="6">
        <f t="shared" si="1"/>
        <v>0.57679999999999998</v>
      </c>
      <c r="P8" s="15">
        <f t="shared" si="2"/>
        <v>-6.0000000000004494E-4</v>
      </c>
    </row>
    <row r="9" spans="1:16" ht="15" customHeight="1" x14ac:dyDescent="0.25">
      <c r="A9" s="3" t="s">
        <v>123</v>
      </c>
      <c r="B9" s="3" t="s">
        <v>125</v>
      </c>
      <c r="C9" s="14">
        <v>0.5</v>
      </c>
      <c r="D9" s="5">
        <v>0.502</v>
      </c>
      <c r="E9" s="5">
        <v>0.44900000000000001</v>
      </c>
      <c r="F9" s="5">
        <v>0.498</v>
      </c>
      <c r="G9" s="5">
        <v>0.53900000000000003</v>
      </c>
      <c r="H9" s="5">
        <v>0.502</v>
      </c>
      <c r="I9" s="6">
        <f t="shared" si="0"/>
        <v>0.49800000000000005</v>
      </c>
      <c r="J9" s="5">
        <v>0.46800000000000003</v>
      </c>
      <c r="K9" s="5">
        <v>0.46100000000000002</v>
      </c>
      <c r="L9" s="5">
        <v>0.49</v>
      </c>
      <c r="M9" s="5">
        <v>0.44600000000000001</v>
      </c>
      <c r="N9" s="5">
        <v>0.50900000000000001</v>
      </c>
      <c r="O9" s="6">
        <f t="shared" si="1"/>
        <v>0.4748</v>
      </c>
      <c r="P9" s="15">
        <f t="shared" si="2"/>
        <v>-2.3200000000000054E-2</v>
      </c>
    </row>
    <row r="10" spans="1:16" ht="15" customHeight="1" x14ac:dyDescent="0.25">
      <c r="A10" s="3" t="s">
        <v>123</v>
      </c>
      <c r="B10" s="3" t="s">
        <v>126</v>
      </c>
      <c r="C10" s="14">
        <v>0.2</v>
      </c>
      <c r="D10" s="5">
        <v>0.749</v>
      </c>
      <c r="E10" s="5">
        <v>0.73</v>
      </c>
      <c r="F10" s="5">
        <v>0.745</v>
      </c>
      <c r="G10" s="5">
        <v>0.753</v>
      </c>
      <c r="H10" s="5">
        <v>0.749</v>
      </c>
      <c r="I10" s="6">
        <f t="shared" si="0"/>
        <v>0.74520000000000008</v>
      </c>
      <c r="J10" s="5">
        <v>0.79400000000000004</v>
      </c>
      <c r="K10" s="5">
        <v>0.77500000000000002</v>
      </c>
      <c r="L10" s="5">
        <v>0.745</v>
      </c>
      <c r="M10" s="5">
        <v>0.749</v>
      </c>
      <c r="N10" s="5">
        <v>0.76400000000000001</v>
      </c>
      <c r="O10" s="6">
        <f t="shared" si="1"/>
        <v>0.76539999999999997</v>
      </c>
      <c r="P10" s="15">
        <f t="shared" si="2"/>
        <v>2.0199999999999885E-2</v>
      </c>
    </row>
    <row r="11" spans="1:16" ht="15" customHeight="1" x14ac:dyDescent="0.25">
      <c r="A11" s="3" t="s">
        <v>123</v>
      </c>
      <c r="B11" s="3" t="s">
        <v>126</v>
      </c>
      <c r="C11" s="14">
        <v>0.3</v>
      </c>
      <c r="D11" s="5">
        <v>0.76400000000000001</v>
      </c>
      <c r="E11" s="5">
        <v>0.753</v>
      </c>
      <c r="F11" s="5">
        <v>0.753</v>
      </c>
      <c r="G11" s="5">
        <v>0.73</v>
      </c>
      <c r="H11" s="5">
        <v>0.76400000000000001</v>
      </c>
      <c r="I11" s="6">
        <f t="shared" si="0"/>
        <v>0.75280000000000002</v>
      </c>
      <c r="J11" s="5">
        <v>0.77100000000000002</v>
      </c>
      <c r="K11" s="5">
        <v>0.76800000000000002</v>
      </c>
      <c r="L11" s="5">
        <v>0.78300000000000003</v>
      </c>
      <c r="M11" s="5">
        <v>0.77900000000000003</v>
      </c>
      <c r="N11" s="5">
        <v>0.77200000000000002</v>
      </c>
      <c r="O11" s="6">
        <f t="shared" si="1"/>
        <v>0.77460000000000007</v>
      </c>
      <c r="P11" s="15">
        <f t="shared" si="2"/>
        <v>2.1800000000000042E-2</v>
      </c>
    </row>
    <row r="12" spans="1:16" ht="15" customHeight="1" x14ac:dyDescent="0.25">
      <c r="A12" s="3" t="s">
        <v>123</v>
      </c>
      <c r="B12" s="3" t="s">
        <v>126</v>
      </c>
      <c r="C12" s="14">
        <v>0.4</v>
      </c>
      <c r="D12" s="5">
        <v>0.745</v>
      </c>
      <c r="E12" s="5">
        <v>0.78700000000000003</v>
      </c>
      <c r="F12" s="5">
        <v>0.753</v>
      </c>
      <c r="G12" s="5">
        <v>0.77500000000000002</v>
      </c>
      <c r="H12" s="5">
        <v>0.79</v>
      </c>
      <c r="I12" s="6">
        <f t="shared" si="0"/>
        <v>0.77</v>
      </c>
      <c r="J12" s="5">
        <v>0.76400000000000001</v>
      </c>
      <c r="K12" s="5">
        <v>0.77500000000000002</v>
      </c>
      <c r="L12" s="5">
        <v>0.79400000000000004</v>
      </c>
      <c r="M12" s="5">
        <v>0.749</v>
      </c>
      <c r="N12" s="5">
        <v>0.76</v>
      </c>
      <c r="O12" s="6">
        <f t="shared" si="1"/>
        <v>0.76840000000000008</v>
      </c>
      <c r="P12" s="15">
        <f t="shared" si="2"/>
        <v>-1.5999999999999348E-3</v>
      </c>
    </row>
    <row r="13" spans="1:16" ht="15" customHeight="1" x14ac:dyDescent="0.25">
      <c r="A13" s="3" t="s">
        <v>123</v>
      </c>
      <c r="B13" s="3" t="s">
        <v>126</v>
      </c>
      <c r="C13" s="14">
        <v>0.5</v>
      </c>
      <c r="D13" s="5">
        <v>0.79400000000000004</v>
      </c>
      <c r="E13" s="5">
        <v>0.76400000000000001</v>
      </c>
      <c r="F13" s="5">
        <v>0.76800000000000002</v>
      </c>
      <c r="G13" s="5">
        <v>0.76400000000000001</v>
      </c>
      <c r="H13" s="5">
        <v>0.753</v>
      </c>
      <c r="I13" s="6">
        <f t="shared" si="0"/>
        <v>0.76859999999999995</v>
      </c>
      <c r="J13" s="5">
        <v>0.79</v>
      </c>
      <c r="K13" s="5">
        <v>0.75700000000000001</v>
      </c>
      <c r="L13" s="5">
        <v>0.76400000000000001</v>
      </c>
      <c r="M13" s="5">
        <v>0.76400000000000001</v>
      </c>
      <c r="N13" s="5">
        <v>0.753</v>
      </c>
      <c r="O13" s="6">
        <f t="shared" si="1"/>
        <v>0.76560000000000006</v>
      </c>
      <c r="P13" s="15">
        <f t="shared" si="2"/>
        <v>-2.9999999999998916E-3</v>
      </c>
    </row>
    <row r="14" spans="1:16" ht="15" customHeight="1" x14ac:dyDescent="0.25">
      <c r="A14" s="3" t="s">
        <v>123</v>
      </c>
      <c r="B14" s="3" t="s">
        <v>127</v>
      </c>
      <c r="C14" s="14">
        <v>0.2</v>
      </c>
      <c r="D14" s="5">
        <v>0.75700000000000001</v>
      </c>
      <c r="E14" s="5">
        <v>0.78600000000000003</v>
      </c>
      <c r="F14" s="5">
        <v>0.71599999999999997</v>
      </c>
      <c r="G14" s="5">
        <v>0.70399999999999996</v>
      </c>
      <c r="H14" s="5">
        <v>0.745</v>
      </c>
      <c r="I14" s="6">
        <f t="shared" si="0"/>
        <v>0.74160000000000004</v>
      </c>
      <c r="J14" s="5">
        <v>0.749</v>
      </c>
      <c r="K14" s="5">
        <v>0.75700000000000001</v>
      </c>
      <c r="L14" s="5">
        <v>0.70399999999999996</v>
      </c>
      <c r="M14" s="5">
        <v>0.76400000000000001</v>
      </c>
      <c r="N14" s="5">
        <v>0.753</v>
      </c>
      <c r="O14" s="6">
        <f t="shared" si="1"/>
        <v>0.74540000000000006</v>
      </c>
      <c r="P14" s="15">
        <f t="shared" si="2"/>
        <v>3.8000000000000256E-3</v>
      </c>
    </row>
    <row r="15" spans="1:16" ht="15" customHeight="1" x14ac:dyDescent="0.25">
      <c r="A15" s="3" t="s">
        <v>123</v>
      </c>
      <c r="B15" s="3" t="s">
        <v>127</v>
      </c>
      <c r="C15" s="14">
        <v>0.3</v>
      </c>
      <c r="D15" s="5">
        <v>0.67</v>
      </c>
      <c r="E15" s="5">
        <v>0.749</v>
      </c>
      <c r="F15" s="5">
        <v>0.69299999999999995</v>
      </c>
      <c r="G15" s="5">
        <v>0.68500000000000005</v>
      </c>
      <c r="H15" s="5">
        <v>0.67400000000000004</v>
      </c>
      <c r="I15" s="6">
        <f t="shared" si="0"/>
        <v>0.69420000000000004</v>
      </c>
      <c r="J15" s="5">
        <v>0.70699999999999996</v>
      </c>
      <c r="K15" s="5">
        <v>0.70099999999999996</v>
      </c>
      <c r="L15" s="5">
        <v>0.72699999999999998</v>
      </c>
      <c r="M15" s="5">
        <v>0.72699999999999998</v>
      </c>
      <c r="N15" s="5">
        <v>0.69699999999999995</v>
      </c>
      <c r="O15" s="6">
        <f t="shared" si="1"/>
        <v>0.71179999999999999</v>
      </c>
      <c r="P15" s="15">
        <f t="shared" si="2"/>
        <v>1.7599999999999949E-2</v>
      </c>
    </row>
    <row r="16" spans="1:16" ht="15" customHeight="1" x14ac:dyDescent="0.25">
      <c r="A16" s="3" t="s">
        <v>123</v>
      </c>
      <c r="B16" s="3" t="s">
        <v>127</v>
      </c>
      <c r="C16" s="14">
        <v>0.4</v>
      </c>
      <c r="D16" s="5">
        <v>0.60299999999999998</v>
      </c>
      <c r="E16" s="5">
        <v>0.66600000000000004</v>
      </c>
      <c r="F16" s="5">
        <v>0.626</v>
      </c>
      <c r="G16" s="5">
        <v>0.67800000000000005</v>
      </c>
      <c r="H16" s="5">
        <v>0.66600000000000004</v>
      </c>
      <c r="I16" s="6">
        <f t="shared" si="0"/>
        <v>0.64779999999999993</v>
      </c>
      <c r="J16" s="5">
        <v>0.57599999999999996</v>
      </c>
      <c r="K16" s="5">
        <v>0.58499999999999996</v>
      </c>
      <c r="L16" s="5">
        <v>0.629</v>
      </c>
      <c r="M16" s="5">
        <v>0.67500000000000004</v>
      </c>
      <c r="N16" s="5">
        <v>0.65500000000000003</v>
      </c>
      <c r="O16" s="6">
        <f t="shared" si="1"/>
        <v>0.624</v>
      </c>
      <c r="P16" s="15">
        <f t="shared" si="2"/>
        <v>-2.3799999999999932E-2</v>
      </c>
    </row>
    <row r="17" spans="1:16" ht="15" customHeight="1" x14ac:dyDescent="0.25">
      <c r="A17" s="3" t="s">
        <v>123</v>
      </c>
      <c r="B17" s="3" t="s">
        <v>127</v>
      </c>
      <c r="C17" s="14">
        <v>0.5</v>
      </c>
      <c r="D17" s="5">
        <v>0.45700000000000002</v>
      </c>
      <c r="E17" s="5">
        <v>0.51400000000000001</v>
      </c>
      <c r="F17" s="5">
        <v>0.52100000000000002</v>
      </c>
      <c r="G17" s="5">
        <v>0.50900000000000001</v>
      </c>
      <c r="H17" s="5">
        <v>0.42299999999999999</v>
      </c>
      <c r="I17" s="6">
        <f t="shared" si="0"/>
        <v>0.48480000000000001</v>
      </c>
      <c r="J17" s="5">
        <v>0.45300000000000001</v>
      </c>
      <c r="K17" s="5">
        <v>0.45</v>
      </c>
      <c r="L17" s="5">
        <v>0.47199999999999998</v>
      </c>
      <c r="M17" s="5">
        <v>0.52400000000000002</v>
      </c>
      <c r="N17" s="5">
        <v>0.46100000000000002</v>
      </c>
      <c r="O17" s="6">
        <f t="shared" si="1"/>
        <v>0.47199999999999998</v>
      </c>
      <c r="P17" s="15">
        <f t="shared" si="2"/>
        <v>-1.2800000000000034E-2</v>
      </c>
    </row>
    <row r="18" spans="1:16" ht="15" customHeight="1" x14ac:dyDescent="0.25">
      <c r="A18" s="3" t="s">
        <v>123</v>
      </c>
      <c r="B18" s="3" t="s">
        <v>128</v>
      </c>
      <c r="C18" s="14">
        <v>0.2</v>
      </c>
      <c r="D18" s="5">
        <v>0.626</v>
      </c>
      <c r="E18" s="5">
        <v>0.629</v>
      </c>
      <c r="F18" s="5">
        <v>0.60699999999999998</v>
      </c>
      <c r="G18" s="5">
        <v>0.53900000000000003</v>
      </c>
      <c r="H18" s="5">
        <v>0.61</v>
      </c>
      <c r="I18" s="6">
        <f t="shared" si="0"/>
        <v>0.60219999999999996</v>
      </c>
      <c r="J18" s="5">
        <v>0.66600000000000004</v>
      </c>
      <c r="K18" s="5">
        <v>0.59899999999999998</v>
      </c>
      <c r="L18" s="5">
        <v>0.63700000000000001</v>
      </c>
      <c r="M18" s="5">
        <v>0.57999999999999996</v>
      </c>
      <c r="N18" s="5">
        <v>0.63300000000000001</v>
      </c>
      <c r="O18" s="6">
        <f t="shared" si="1"/>
        <v>0.623</v>
      </c>
      <c r="P18" s="15">
        <f t="shared" si="2"/>
        <v>2.0800000000000041E-2</v>
      </c>
    </row>
    <row r="19" spans="1:16" ht="15" customHeight="1" x14ac:dyDescent="0.25">
      <c r="A19" s="3" t="s">
        <v>123</v>
      </c>
      <c r="B19" s="3" t="s">
        <v>128</v>
      </c>
      <c r="C19" s="14">
        <v>0.3</v>
      </c>
      <c r="D19" s="5">
        <v>0.55800000000000005</v>
      </c>
      <c r="E19" s="5">
        <v>0.54700000000000004</v>
      </c>
      <c r="F19" s="5">
        <v>0.48</v>
      </c>
      <c r="G19" s="5">
        <v>0.498</v>
      </c>
      <c r="H19" s="5">
        <v>0.56499999999999995</v>
      </c>
      <c r="I19" s="6">
        <f t="shared" si="0"/>
        <v>0.52960000000000007</v>
      </c>
      <c r="J19" s="5">
        <v>0.59899999999999998</v>
      </c>
      <c r="K19" s="5">
        <v>0.56599999999999995</v>
      </c>
      <c r="L19" s="5">
        <v>0.56899999999999995</v>
      </c>
      <c r="M19" s="5">
        <v>0.57299999999999995</v>
      </c>
      <c r="N19" s="5">
        <v>0.54300000000000004</v>
      </c>
      <c r="O19" s="6">
        <f t="shared" si="1"/>
        <v>0.57000000000000006</v>
      </c>
      <c r="P19" s="15">
        <f t="shared" si="2"/>
        <v>4.0399999999999991E-2</v>
      </c>
    </row>
    <row r="20" spans="1:16" ht="15" customHeight="1" x14ac:dyDescent="0.25">
      <c r="A20" s="3" t="s">
        <v>123</v>
      </c>
      <c r="B20" s="3" t="s">
        <v>128</v>
      </c>
      <c r="C20" s="14">
        <v>0.4</v>
      </c>
      <c r="D20" s="5">
        <v>0.46800000000000003</v>
      </c>
      <c r="E20" s="5">
        <v>0.45</v>
      </c>
      <c r="F20" s="5">
        <v>0.45300000000000001</v>
      </c>
      <c r="G20" s="5">
        <v>0.42299999999999999</v>
      </c>
      <c r="H20" s="5">
        <v>0.49</v>
      </c>
      <c r="I20" s="6">
        <f t="shared" si="0"/>
        <v>0.45679999999999998</v>
      </c>
      <c r="J20" s="5">
        <v>0.50600000000000001</v>
      </c>
      <c r="K20" s="5">
        <v>0.505</v>
      </c>
      <c r="L20" s="5">
        <v>0.49399999999999999</v>
      </c>
      <c r="M20" s="5">
        <v>0.52800000000000002</v>
      </c>
      <c r="N20" s="5">
        <v>0.495</v>
      </c>
      <c r="O20" s="6">
        <f t="shared" si="1"/>
        <v>0.50560000000000005</v>
      </c>
      <c r="P20" s="15">
        <f t="shared" si="2"/>
        <v>4.8800000000000066E-2</v>
      </c>
    </row>
    <row r="21" spans="1:16" ht="15" customHeight="1" x14ac:dyDescent="0.25">
      <c r="A21" s="3" t="s">
        <v>123</v>
      </c>
      <c r="B21" s="3" t="s">
        <v>128</v>
      </c>
      <c r="C21" s="14">
        <v>0.5</v>
      </c>
      <c r="D21" s="5">
        <v>0.49</v>
      </c>
      <c r="E21" s="5">
        <v>0.50900000000000001</v>
      </c>
      <c r="F21" s="5">
        <v>0.45300000000000001</v>
      </c>
      <c r="G21" s="5">
        <v>0.53200000000000003</v>
      </c>
      <c r="H21" s="5">
        <v>0.56200000000000006</v>
      </c>
      <c r="I21" s="6">
        <f t="shared" si="0"/>
        <v>0.5092000000000001</v>
      </c>
      <c r="J21" s="5">
        <v>0.498</v>
      </c>
      <c r="K21" s="5">
        <v>0.52</v>
      </c>
      <c r="L21" s="5">
        <v>0.49099999999999999</v>
      </c>
      <c r="M21" s="5">
        <v>0.54</v>
      </c>
      <c r="N21" s="5">
        <v>0.498</v>
      </c>
      <c r="O21" s="6">
        <f t="shared" si="1"/>
        <v>0.50939999999999996</v>
      </c>
      <c r="P21" s="15">
        <f t="shared" si="2"/>
        <v>1.9999999999986695E-4</v>
      </c>
    </row>
    <row r="22" spans="1:16" ht="15" customHeight="1" x14ac:dyDescent="0.25">
      <c r="A22" s="3" t="s">
        <v>129</v>
      </c>
      <c r="B22" s="3" t="s">
        <v>124</v>
      </c>
      <c r="C22" s="14">
        <v>0</v>
      </c>
      <c r="D22" s="5">
        <v>0.83199999999999996</v>
      </c>
      <c r="E22" s="5">
        <v>0.81</v>
      </c>
      <c r="F22" s="5">
        <v>0.81899999999999995</v>
      </c>
      <c r="G22" s="5">
        <v>0.81399999999999995</v>
      </c>
      <c r="H22" s="5">
        <v>0.84099999999999997</v>
      </c>
      <c r="I22" s="6">
        <f t="shared" si="0"/>
        <v>0.82319999999999993</v>
      </c>
      <c r="J22" s="5">
        <v>0.83199999999999996</v>
      </c>
      <c r="K22" s="5">
        <v>0.82</v>
      </c>
      <c r="L22" s="5">
        <v>0.82</v>
      </c>
      <c r="M22" s="5">
        <v>0.83299999999999996</v>
      </c>
      <c r="N22" s="5">
        <v>0.83599999999999997</v>
      </c>
      <c r="O22" s="6">
        <f t="shared" si="1"/>
        <v>0.82820000000000005</v>
      </c>
      <c r="P22" s="15">
        <f t="shared" si="2"/>
        <v>5.0000000000001155E-3</v>
      </c>
    </row>
    <row r="23" spans="1:16" ht="15" customHeight="1" x14ac:dyDescent="0.25">
      <c r="A23" s="3" t="s">
        <v>129</v>
      </c>
      <c r="B23" s="3" t="s">
        <v>125</v>
      </c>
      <c r="C23" s="14">
        <v>0.2</v>
      </c>
      <c r="D23" s="5">
        <v>0.79700000000000004</v>
      </c>
      <c r="E23" s="5">
        <v>0.78600000000000003</v>
      </c>
      <c r="F23" s="5">
        <v>0.76700000000000002</v>
      </c>
      <c r="G23" s="5">
        <v>0.78600000000000003</v>
      </c>
      <c r="H23" s="5">
        <v>0.79</v>
      </c>
      <c r="I23" s="6">
        <f t="shared" si="0"/>
        <v>0.78520000000000001</v>
      </c>
      <c r="J23" s="5">
        <v>0.79600000000000004</v>
      </c>
      <c r="K23" s="5">
        <v>0.748</v>
      </c>
      <c r="L23" s="5">
        <v>0.75700000000000001</v>
      </c>
      <c r="M23" s="5">
        <v>0.78800000000000003</v>
      </c>
      <c r="N23" s="5">
        <v>0.8</v>
      </c>
      <c r="O23" s="6">
        <f t="shared" si="1"/>
        <v>0.77780000000000005</v>
      </c>
      <c r="P23" s="15">
        <f t="shared" si="2"/>
        <v>-7.3999999999999622E-3</v>
      </c>
    </row>
    <row r="24" spans="1:16" ht="15" customHeight="1" x14ac:dyDescent="0.25">
      <c r="A24" s="3" t="s">
        <v>129</v>
      </c>
      <c r="B24" s="3" t="s">
        <v>125</v>
      </c>
      <c r="C24" s="14">
        <v>0.3</v>
      </c>
      <c r="D24" s="5">
        <v>0.73799999999999999</v>
      </c>
      <c r="E24" s="5">
        <v>0.77500000000000002</v>
      </c>
      <c r="F24" s="5">
        <v>0.70899999999999996</v>
      </c>
      <c r="G24" s="5">
        <v>0.69399999999999995</v>
      </c>
      <c r="H24" s="5">
        <v>0.77800000000000002</v>
      </c>
      <c r="I24" s="6">
        <f t="shared" si="0"/>
        <v>0.73880000000000001</v>
      </c>
      <c r="J24" s="5">
        <v>0.748</v>
      </c>
      <c r="K24" s="5">
        <v>0.754</v>
      </c>
      <c r="L24" s="5">
        <v>0.71899999999999997</v>
      </c>
      <c r="M24" s="5">
        <v>0.70099999999999996</v>
      </c>
      <c r="N24" s="5">
        <v>0.73499999999999999</v>
      </c>
      <c r="O24" s="6">
        <f t="shared" si="1"/>
        <v>0.73140000000000005</v>
      </c>
      <c r="P24" s="15">
        <f t="shared" si="2"/>
        <v>-7.3999999999999622E-3</v>
      </c>
    </row>
    <row r="25" spans="1:16" ht="15" customHeight="1" x14ac:dyDescent="0.25">
      <c r="A25" s="3" t="s">
        <v>129</v>
      </c>
      <c r="B25" s="3" t="s">
        <v>125</v>
      </c>
      <c r="C25" s="14">
        <v>0.4</v>
      </c>
      <c r="D25" s="5">
        <v>0.64100000000000001</v>
      </c>
      <c r="E25" s="5">
        <v>0.65800000000000003</v>
      </c>
      <c r="F25" s="5">
        <v>0.626</v>
      </c>
      <c r="G25" s="5">
        <v>0.64800000000000002</v>
      </c>
      <c r="H25" s="5">
        <v>0.65200000000000002</v>
      </c>
      <c r="I25" s="6">
        <f t="shared" si="0"/>
        <v>0.64500000000000002</v>
      </c>
      <c r="J25" s="5">
        <v>0.64800000000000002</v>
      </c>
      <c r="K25" s="5">
        <v>0.67</v>
      </c>
      <c r="L25" s="5">
        <v>0.61299999999999999</v>
      </c>
      <c r="M25" s="5">
        <v>0.623</v>
      </c>
      <c r="N25" s="5">
        <v>0.66800000000000004</v>
      </c>
      <c r="O25" s="6">
        <f t="shared" si="1"/>
        <v>0.64440000000000008</v>
      </c>
      <c r="P25" s="15">
        <f t="shared" si="2"/>
        <v>-5.9999999999993392E-4</v>
      </c>
    </row>
    <row r="26" spans="1:16" ht="15" customHeight="1" x14ac:dyDescent="0.25">
      <c r="A26" s="3" t="s">
        <v>129</v>
      </c>
      <c r="B26" s="3" t="s">
        <v>125</v>
      </c>
      <c r="C26" s="14">
        <v>0.5</v>
      </c>
      <c r="D26" s="5">
        <v>0.50900000000000001</v>
      </c>
      <c r="E26" s="5">
        <v>0.48599999999999999</v>
      </c>
      <c r="F26" s="5">
        <v>0.45900000000000002</v>
      </c>
      <c r="G26" s="5">
        <v>0.51900000000000002</v>
      </c>
      <c r="H26" s="5">
        <v>0.432</v>
      </c>
      <c r="I26" s="6">
        <f t="shared" si="0"/>
        <v>0.48099999999999998</v>
      </c>
      <c r="J26" s="5">
        <v>0.44900000000000001</v>
      </c>
      <c r="K26" s="5">
        <v>0.47799999999999998</v>
      </c>
      <c r="L26" s="5">
        <v>0.54300000000000004</v>
      </c>
      <c r="M26" s="5">
        <v>0.52500000000000002</v>
      </c>
      <c r="N26" s="5">
        <v>0.46500000000000002</v>
      </c>
      <c r="O26" s="6">
        <f t="shared" si="1"/>
        <v>0.49199999999999999</v>
      </c>
      <c r="P26" s="15">
        <f t="shared" si="2"/>
        <v>1.100000000000001E-2</v>
      </c>
    </row>
    <row r="27" spans="1:16" ht="15" customHeight="1" x14ac:dyDescent="0.25">
      <c r="A27" s="3" t="s">
        <v>129</v>
      </c>
      <c r="B27" s="3" t="s">
        <v>126</v>
      </c>
      <c r="C27" s="14">
        <v>0.2</v>
      </c>
      <c r="D27" s="5">
        <v>0.77800000000000002</v>
      </c>
      <c r="E27" s="5">
        <v>0.77700000000000002</v>
      </c>
      <c r="F27" s="5">
        <v>0.77800000000000002</v>
      </c>
      <c r="G27" s="5">
        <v>0.76400000000000001</v>
      </c>
      <c r="H27" s="5">
        <v>0.77400000000000002</v>
      </c>
      <c r="I27" s="6">
        <f t="shared" si="0"/>
        <v>0.77420000000000011</v>
      </c>
      <c r="J27" s="5">
        <v>0.751</v>
      </c>
      <c r="K27" s="5">
        <v>0.76100000000000001</v>
      </c>
      <c r="L27" s="5">
        <v>0.75900000000000001</v>
      </c>
      <c r="M27" s="5">
        <v>0.76500000000000001</v>
      </c>
      <c r="N27" s="5">
        <v>0.75800000000000001</v>
      </c>
      <c r="O27" s="6">
        <f t="shared" si="1"/>
        <v>0.75880000000000003</v>
      </c>
      <c r="P27" s="15">
        <f t="shared" si="2"/>
        <v>-1.540000000000008E-2</v>
      </c>
    </row>
    <row r="28" spans="1:16" ht="15" customHeight="1" x14ac:dyDescent="0.25">
      <c r="A28" s="3" t="s">
        <v>129</v>
      </c>
      <c r="B28" s="3" t="s">
        <v>126</v>
      </c>
      <c r="C28" s="14">
        <v>0.3</v>
      </c>
      <c r="D28" s="5">
        <v>0.752</v>
      </c>
      <c r="E28" s="5">
        <v>0.75700000000000001</v>
      </c>
      <c r="F28" s="5">
        <v>0.74099999999999999</v>
      </c>
      <c r="G28" s="5">
        <v>0.71199999999999997</v>
      </c>
      <c r="H28" s="5">
        <v>0.72499999999999998</v>
      </c>
      <c r="I28" s="6">
        <f t="shared" si="0"/>
        <v>0.73739999999999994</v>
      </c>
      <c r="J28" s="5">
        <v>0.73299999999999998</v>
      </c>
      <c r="K28" s="5">
        <v>0.73299999999999998</v>
      </c>
      <c r="L28" s="5">
        <v>0.69299999999999995</v>
      </c>
      <c r="M28" s="5">
        <v>0.69599999999999995</v>
      </c>
      <c r="N28" s="5">
        <v>0.70299999999999996</v>
      </c>
      <c r="O28" s="6">
        <f t="shared" si="1"/>
        <v>0.7115999999999999</v>
      </c>
      <c r="P28" s="15">
        <f t="shared" si="2"/>
        <v>-2.5800000000000045E-2</v>
      </c>
    </row>
    <row r="29" spans="1:16" ht="15" customHeight="1" x14ac:dyDescent="0.25">
      <c r="A29" s="3" t="s">
        <v>129</v>
      </c>
      <c r="B29" s="3" t="s">
        <v>126</v>
      </c>
      <c r="C29" s="14">
        <v>0.4</v>
      </c>
      <c r="D29" s="5">
        <v>0.70099999999999996</v>
      </c>
      <c r="E29" s="5">
        <v>0.69599999999999995</v>
      </c>
      <c r="F29" s="5">
        <v>0.70899999999999996</v>
      </c>
      <c r="G29" s="5">
        <v>0.67800000000000005</v>
      </c>
      <c r="H29" s="5">
        <v>0.69399999999999995</v>
      </c>
      <c r="I29" s="6">
        <f t="shared" si="0"/>
        <v>0.6956</v>
      </c>
      <c r="J29" s="5">
        <v>0.67500000000000004</v>
      </c>
      <c r="K29" s="5">
        <v>0.65900000000000003</v>
      </c>
      <c r="L29" s="5">
        <v>0.69299999999999995</v>
      </c>
      <c r="M29" s="5">
        <v>0.67</v>
      </c>
      <c r="N29" s="5">
        <v>0.7</v>
      </c>
      <c r="O29" s="6">
        <f t="shared" si="1"/>
        <v>0.6794</v>
      </c>
      <c r="P29" s="15">
        <f t="shared" si="2"/>
        <v>-1.6199999999999992E-2</v>
      </c>
    </row>
    <row r="30" spans="1:16" ht="15" customHeight="1" x14ac:dyDescent="0.25">
      <c r="A30" s="3" t="s">
        <v>129</v>
      </c>
      <c r="B30" s="3" t="s">
        <v>126</v>
      </c>
      <c r="C30" s="14">
        <v>0.5</v>
      </c>
      <c r="D30" s="5">
        <v>0.68600000000000005</v>
      </c>
      <c r="E30" s="5">
        <v>0.65200000000000002</v>
      </c>
      <c r="F30" s="5">
        <v>0.66700000000000004</v>
      </c>
      <c r="G30" s="5">
        <v>0.66100000000000003</v>
      </c>
      <c r="H30" s="5">
        <v>0.63900000000000001</v>
      </c>
      <c r="I30" s="6">
        <f t="shared" si="0"/>
        <v>0.66099999999999992</v>
      </c>
      <c r="J30" s="5">
        <v>0.63600000000000001</v>
      </c>
      <c r="K30" s="5">
        <v>0.61899999999999999</v>
      </c>
      <c r="L30" s="5">
        <v>0.64500000000000002</v>
      </c>
      <c r="M30" s="5">
        <v>0.61899999999999999</v>
      </c>
      <c r="N30" s="5">
        <v>0.626</v>
      </c>
      <c r="O30" s="6">
        <f t="shared" si="1"/>
        <v>0.629</v>
      </c>
      <c r="P30" s="15">
        <f t="shared" si="2"/>
        <v>-3.1999999999999917E-2</v>
      </c>
    </row>
    <row r="31" spans="1:16" ht="15" customHeight="1" x14ac:dyDescent="0.25">
      <c r="A31" s="3" t="s">
        <v>129</v>
      </c>
      <c r="B31" s="3" t="s">
        <v>127</v>
      </c>
      <c r="C31" s="14">
        <v>0.2</v>
      </c>
      <c r="D31" s="5">
        <v>0.78700000000000003</v>
      </c>
      <c r="E31" s="5">
        <v>0.77800000000000002</v>
      </c>
      <c r="F31" s="5">
        <v>0.78300000000000003</v>
      </c>
      <c r="G31" s="5">
        <v>0.78300000000000003</v>
      </c>
      <c r="H31" s="5">
        <v>0.80600000000000005</v>
      </c>
      <c r="I31" s="6">
        <f t="shared" si="0"/>
        <v>0.78739999999999999</v>
      </c>
      <c r="J31" s="5">
        <v>0.81699999999999995</v>
      </c>
      <c r="K31" s="5">
        <v>0.79900000000000004</v>
      </c>
      <c r="L31" s="5">
        <v>0.82</v>
      </c>
      <c r="M31" s="5">
        <v>0.79900000000000004</v>
      </c>
      <c r="N31" s="5">
        <v>0.8</v>
      </c>
      <c r="O31" s="6">
        <f t="shared" si="1"/>
        <v>0.80700000000000005</v>
      </c>
      <c r="P31" s="15">
        <f t="shared" si="2"/>
        <v>1.9600000000000062E-2</v>
      </c>
    </row>
    <row r="32" spans="1:16" ht="15" customHeight="1" x14ac:dyDescent="0.25">
      <c r="A32" s="3" t="s">
        <v>129</v>
      </c>
      <c r="B32" s="3" t="s">
        <v>127</v>
      </c>
      <c r="C32" s="14">
        <v>0.3</v>
      </c>
      <c r="D32" s="5">
        <v>0.748</v>
      </c>
      <c r="E32" s="5">
        <v>0.72899999999999998</v>
      </c>
      <c r="F32" s="5">
        <v>0.72299999999999998</v>
      </c>
      <c r="G32" s="5">
        <v>0.71699999999999997</v>
      </c>
      <c r="H32" s="5">
        <v>0.71599999999999997</v>
      </c>
      <c r="I32" s="6">
        <f t="shared" si="0"/>
        <v>0.72660000000000002</v>
      </c>
      <c r="J32" s="5">
        <v>0.748</v>
      </c>
      <c r="K32" s="5">
        <v>0.752</v>
      </c>
      <c r="L32" s="5">
        <v>0.755</v>
      </c>
      <c r="M32" s="5">
        <v>0.748</v>
      </c>
      <c r="N32" s="5">
        <v>0.75800000000000001</v>
      </c>
      <c r="O32" s="6">
        <f t="shared" si="1"/>
        <v>0.75219999999999998</v>
      </c>
      <c r="P32" s="15">
        <f t="shared" si="2"/>
        <v>2.5599999999999956E-2</v>
      </c>
    </row>
    <row r="33" spans="1:16" ht="15" customHeight="1" x14ac:dyDescent="0.25">
      <c r="A33" s="3" t="s">
        <v>129</v>
      </c>
      <c r="B33" s="3" t="s">
        <v>127</v>
      </c>
      <c r="C33" s="14">
        <v>0.4</v>
      </c>
      <c r="D33" s="5">
        <v>0.67500000000000004</v>
      </c>
      <c r="E33" s="5">
        <v>0.66800000000000004</v>
      </c>
      <c r="F33" s="5">
        <v>0.64500000000000002</v>
      </c>
      <c r="G33" s="5">
        <v>0.64100000000000001</v>
      </c>
      <c r="H33" s="5">
        <v>0.68100000000000005</v>
      </c>
      <c r="I33" s="6">
        <f t="shared" si="0"/>
        <v>0.66200000000000003</v>
      </c>
      <c r="J33" s="5">
        <v>0.64800000000000002</v>
      </c>
      <c r="K33" s="5">
        <v>0.71199999999999997</v>
      </c>
      <c r="L33" s="5">
        <v>0.67800000000000005</v>
      </c>
      <c r="M33" s="5">
        <v>0.63900000000000001</v>
      </c>
      <c r="N33" s="5">
        <v>0.71699999999999997</v>
      </c>
      <c r="O33" s="6">
        <f t="shared" si="1"/>
        <v>0.67879999999999996</v>
      </c>
      <c r="P33" s="15">
        <f t="shared" si="2"/>
        <v>1.6799999999999926E-2</v>
      </c>
    </row>
    <row r="34" spans="1:16" ht="15" customHeight="1" x14ac:dyDescent="0.25">
      <c r="A34" s="3" t="s">
        <v>129</v>
      </c>
      <c r="B34" s="3" t="s">
        <v>127</v>
      </c>
      <c r="C34" s="14">
        <v>0.5</v>
      </c>
      <c r="D34" s="5">
        <v>0.497</v>
      </c>
      <c r="E34" s="5">
        <v>0.50900000000000001</v>
      </c>
      <c r="F34" s="5">
        <v>0.54800000000000004</v>
      </c>
      <c r="G34" s="5">
        <v>0.50700000000000001</v>
      </c>
      <c r="H34" s="5">
        <v>0.49399999999999999</v>
      </c>
      <c r="I34" s="6">
        <f t="shared" si="0"/>
        <v>0.5109999999999999</v>
      </c>
      <c r="J34" s="5">
        <v>0.47099999999999997</v>
      </c>
      <c r="K34" s="5">
        <v>0.504</v>
      </c>
      <c r="L34" s="5">
        <v>0.48099999999999998</v>
      </c>
      <c r="M34" s="5">
        <v>0.46200000000000002</v>
      </c>
      <c r="N34" s="5">
        <v>0.52500000000000002</v>
      </c>
      <c r="O34" s="6">
        <f t="shared" si="1"/>
        <v>0.48860000000000003</v>
      </c>
      <c r="P34" s="15">
        <f t="shared" si="2"/>
        <v>-2.2399999999999864E-2</v>
      </c>
    </row>
    <row r="35" spans="1:16" ht="15" customHeight="1" x14ac:dyDescent="0.25">
      <c r="A35" s="3" t="s">
        <v>129</v>
      </c>
      <c r="B35" s="3" t="s">
        <v>128</v>
      </c>
      <c r="C35" s="14">
        <v>0.2</v>
      </c>
      <c r="D35" s="5">
        <v>0.77100000000000002</v>
      </c>
      <c r="E35" s="5">
        <v>0.75800000000000001</v>
      </c>
      <c r="F35" s="5">
        <v>0.77500000000000002</v>
      </c>
      <c r="G35" s="5">
        <v>0.73599999999999999</v>
      </c>
      <c r="H35" s="5">
        <v>0.76500000000000001</v>
      </c>
      <c r="I35" s="6">
        <f t="shared" si="0"/>
        <v>0.76100000000000001</v>
      </c>
      <c r="J35" s="5">
        <v>0.78400000000000003</v>
      </c>
      <c r="K35" s="5">
        <v>0.751</v>
      </c>
      <c r="L35" s="5">
        <v>0.77400000000000002</v>
      </c>
      <c r="M35" s="5">
        <v>0.78</v>
      </c>
      <c r="N35" s="5">
        <v>0.80100000000000005</v>
      </c>
      <c r="O35" s="6">
        <f t="shared" si="1"/>
        <v>0.77800000000000014</v>
      </c>
      <c r="P35" s="15">
        <f t="shared" si="2"/>
        <v>1.7000000000000126E-2</v>
      </c>
    </row>
    <row r="36" spans="1:16" ht="15" customHeight="1" x14ac:dyDescent="0.25">
      <c r="A36" s="3" t="s">
        <v>129</v>
      </c>
      <c r="B36" s="3" t="s">
        <v>128</v>
      </c>
      <c r="C36" s="14">
        <v>0.3</v>
      </c>
      <c r="D36" s="5">
        <v>0.71899999999999997</v>
      </c>
      <c r="E36" s="5">
        <v>0.73299999999999998</v>
      </c>
      <c r="F36" s="5">
        <v>0.68799999999999994</v>
      </c>
      <c r="G36" s="5">
        <v>0.69099999999999995</v>
      </c>
      <c r="H36" s="5">
        <v>0.72299999999999998</v>
      </c>
      <c r="I36" s="6">
        <f t="shared" si="0"/>
        <v>0.71079999999999988</v>
      </c>
      <c r="J36" s="5">
        <v>0.70299999999999996</v>
      </c>
      <c r="K36" s="5">
        <v>0.73499999999999999</v>
      </c>
      <c r="L36" s="5">
        <v>0.71299999999999997</v>
      </c>
      <c r="M36" s="5">
        <v>0.73899999999999999</v>
      </c>
      <c r="N36" s="5">
        <v>0.72299999999999998</v>
      </c>
      <c r="O36" s="6">
        <f t="shared" si="1"/>
        <v>0.72259999999999991</v>
      </c>
      <c r="P36" s="15">
        <f t="shared" si="2"/>
        <v>1.1800000000000033E-2</v>
      </c>
    </row>
    <row r="37" spans="1:16" ht="15" customHeight="1" x14ac:dyDescent="0.25">
      <c r="A37" s="3" t="s">
        <v>129</v>
      </c>
      <c r="B37" s="3" t="s">
        <v>128</v>
      </c>
      <c r="C37" s="14">
        <v>0.4</v>
      </c>
      <c r="D37" s="5">
        <v>0.61399999999999999</v>
      </c>
      <c r="E37" s="5">
        <v>0.65700000000000003</v>
      </c>
      <c r="F37" s="5">
        <v>0.63500000000000001</v>
      </c>
      <c r="G37" s="5">
        <v>0.63</v>
      </c>
      <c r="H37" s="5">
        <v>0.66100000000000003</v>
      </c>
      <c r="I37" s="6">
        <f t="shared" ref="I37:I68" si="3">IFERROR(AVERAGE(D37:H37),"-")</f>
        <v>0.63939999999999997</v>
      </c>
      <c r="J37" s="5">
        <v>0.68600000000000005</v>
      </c>
      <c r="K37" s="5">
        <v>0.63</v>
      </c>
      <c r="L37" s="5">
        <v>0.66500000000000004</v>
      </c>
      <c r="M37" s="5">
        <v>0.65800000000000003</v>
      </c>
      <c r="N37" s="5">
        <v>0.67500000000000004</v>
      </c>
      <c r="O37" s="6">
        <f t="shared" ref="O37:O68" si="4">IFERROR(AVERAGE(J37:N37),"-")</f>
        <v>0.66280000000000006</v>
      </c>
      <c r="P37" s="15">
        <f t="shared" ref="P37:P68" si="5">IFERROR(O37-I37,"-")</f>
        <v>2.3400000000000087E-2</v>
      </c>
    </row>
    <row r="38" spans="1:16" ht="15" customHeight="1" x14ac:dyDescent="0.25">
      <c r="A38" s="3" t="s">
        <v>129</v>
      </c>
      <c r="B38" s="3" t="s">
        <v>128</v>
      </c>
      <c r="C38" s="14">
        <v>0.5</v>
      </c>
      <c r="D38" s="5">
        <v>0.41699999999999998</v>
      </c>
      <c r="E38" s="5">
        <v>0.50600000000000001</v>
      </c>
      <c r="F38" s="5">
        <v>0.53300000000000003</v>
      </c>
      <c r="G38" s="5">
        <v>0.50600000000000001</v>
      </c>
      <c r="H38" s="5">
        <v>0.44600000000000001</v>
      </c>
      <c r="I38" s="6">
        <f t="shared" si="3"/>
        <v>0.48159999999999997</v>
      </c>
      <c r="J38" s="5">
        <v>0.45700000000000002</v>
      </c>
      <c r="K38" s="5">
        <v>0.501</v>
      </c>
      <c r="L38" s="5">
        <v>0.51</v>
      </c>
      <c r="M38" s="5">
        <v>0.47799999999999998</v>
      </c>
      <c r="N38" s="5">
        <v>0.47799999999999998</v>
      </c>
      <c r="O38" s="6">
        <f t="shared" si="4"/>
        <v>0.48480000000000001</v>
      </c>
      <c r="P38" s="15">
        <f t="shared" si="5"/>
        <v>3.2000000000000361E-3</v>
      </c>
    </row>
    <row r="39" spans="1:16" ht="15" customHeight="1" x14ac:dyDescent="0.25">
      <c r="A39" s="3" t="s">
        <v>130</v>
      </c>
      <c r="B39" s="3" t="s">
        <v>124</v>
      </c>
      <c r="C39" s="14">
        <v>0</v>
      </c>
      <c r="D39" s="5">
        <v>0.94799999999999995</v>
      </c>
      <c r="E39" s="5">
        <v>0.94399999999999995</v>
      </c>
      <c r="F39" s="5">
        <v>0.93899999999999995</v>
      </c>
      <c r="G39" s="5">
        <v>0.94399999999999995</v>
      </c>
      <c r="H39" s="5">
        <v>0.92500000000000004</v>
      </c>
      <c r="I39" s="6">
        <f t="shared" si="3"/>
        <v>0.94000000000000006</v>
      </c>
      <c r="J39" s="5">
        <v>0.95</v>
      </c>
      <c r="K39" s="5">
        <v>0.95</v>
      </c>
      <c r="L39" s="5">
        <v>0.94599999999999995</v>
      </c>
      <c r="M39" s="5">
        <v>0.95099999999999996</v>
      </c>
      <c r="N39" s="5">
        <v>0.94399999999999995</v>
      </c>
      <c r="O39" s="6">
        <f t="shared" si="4"/>
        <v>0.94819999999999993</v>
      </c>
      <c r="P39" s="15">
        <f t="shared" si="5"/>
        <v>8.1999999999998741E-3</v>
      </c>
    </row>
    <row r="40" spans="1:16" ht="15" customHeight="1" x14ac:dyDescent="0.25">
      <c r="A40" s="3" t="s">
        <v>130</v>
      </c>
      <c r="B40" s="3" t="s">
        <v>125</v>
      </c>
      <c r="C40" s="14">
        <v>0.2</v>
      </c>
      <c r="D40" s="5">
        <v>0.93600000000000005</v>
      </c>
      <c r="E40" s="5">
        <v>0.93200000000000005</v>
      </c>
      <c r="F40" s="5">
        <v>0.92</v>
      </c>
      <c r="G40" s="5">
        <v>0.92900000000000005</v>
      </c>
      <c r="H40" s="5">
        <v>0.93400000000000005</v>
      </c>
      <c r="I40" s="6">
        <f t="shared" si="3"/>
        <v>0.93020000000000014</v>
      </c>
      <c r="J40" s="5">
        <v>0.94099999999999995</v>
      </c>
      <c r="K40" s="5">
        <v>0.95</v>
      </c>
      <c r="L40" s="5">
        <v>0.92500000000000004</v>
      </c>
      <c r="M40" s="5">
        <v>0.92400000000000004</v>
      </c>
      <c r="N40" s="5">
        <v>0.92900000000000005</v>
      </c>
      <c r="O40" s="6">
        <f t="shared" si="4"/>
        <v>0.93379999999999996</v>
      </c>
      <c r="P40" s="15">
        <f t="shared" si="5"/>
        <v>3.5999999999998256E-3</v>
      </c>
    </row>
    <row r="41" spans="1:16" ht="15" customHeight="1" x14ac:dyDescent="0.25">
      <c r="A41" s="3" t="s">
        <v>130</v>
      </c>
      <c r="B41" s="3" t="s">
        <v>125</v>
      </c>
      <c r="C41" s="14">
        <v>0.3</v>
      </c>
      <c r="D41" s="5">
        <v>0.85899999999999999</v>
      </c>
      <c r="E41" s="5">
        <v>0.93200000000000005</v>
      </c>
      <c r="F41" s="5">
        <v>0.86799999999999999</v>
      </c>
      <c r="G41" s="5">
        <v>0.92</v>
      </c>
      <c r="H41" s="5">
        <v>0.90600000000000003</v>
      </c>
      <c r="I41" s="6">
        <f t="shared" si="3"/>
        <v>0.89699999999999991</v>
      </c>
      <c r="J41" s="5">
        <v>0.88</v>
      </c>
      <c r="K41" s="5">
        <v>0.92500000000000004</v>
      </c>
      <c r="L41" s="5">
        <v>0.91100000000000003</v>
      </c>
      <c r="M41" s="5">
        <v>0.91</v>
      </c>
      <c r="N41" s="5">
        <v>0.91</v>
      </c>
      <c r="O41" s="6">
        <f t="shared" si="4"/>
        <v>0.90720000000000012</v>
      </c>
      <c r="P41" s="15">
        <f t="shared" si="5"/>
        <v>1.0200000000000209E-2</v>
      </c>
    </row>
    <row r="42" spans="1:16" ht="15" customHeight="1" x14ac:dyDescent="0.25">
      <c r="A42" s="3" t="s">
        <v>130</v>
      </c>
      <c r="B42" s="3" t="s">
        <v>125</v>
      </c>
      <c r="C42" s="14">
        <v>0.4</v>
      </c>
      <c r="D42" s="5">
        <v>0.67200000000000004</v>
      </c>
      <c r="E42" s="5">
        <v>0.78600000000000003</v>
      </c>
      <c r="F42" s="5">
        <v>0.81799999999999995</v>
      </c>
      <c r="G42" s="5">
        <v>0.81599999999999995</v>
      </c>
      <c r="H42" s="5">
        <v>0.82799999999999996</v>
      </c>
      <c r="I42" s="6">
        <f t="shared" si="3"/>
        <v>0.78400000000000003</v>
      </c>
      <c r="J42" s="5">
        <v>0.69799999999999995</v>
      </c>
      <c r="K42" s="5">
        <v>0.83199999999999996</v>
      </c>
      <c r="L42" s="5">
        <v>0.81599999999999995</v>
      </c>
      <c r="M42" s="5">
        <v>0.79400000000000004</v>
      </c>
      <c r="N42" s="5">
        <v>0.84899999999999998</v>
      </c>
      <c r="O42" s="6">
        <f t="shared" si="4"/>
        <v>0.79779999999999995</v>
      </c>
      <c r="P42" s="15">
        <f t="shared" si="5"/>
        <v>1.3799999999999923E-2</v>
      </c>
    </row>
    <row r="43" spans="1:16" ht="15" customHeight="1" x14ac:dyDescent="0.25">
      <c r="A43" s="3" t="s">
        <v>130</v>
      </c>
      <c r="B43" s="3" t="s">
        <v>125</v>
      </c>
      <c r="C43" s="14">
        <v>0.5</v>
      </c>
      <c r="D43" s="5">
        <v>0.47699999999999998</v>
      </c>
      <c r="E43" s="5">
        <v>0.33500000000000002</v>
      </c>
      <c r="F43" s="5">
        <v>0.377</v>
      </c>
      <c r="G43" s="5">
        <v>0.47199999999999998</v>
      </c>
      <c r="H43" s="5">
        <v>0.46200000000000002</v>
      </c>
      <c r="I43" s="6">
        <f t="shared" si="3"/>
        <v>0.42460000000000003</v>
      </c>
      <c r="J43" s="5">
        <v>0.53800000000000003</v>
      </c>
      <c r="K43" s="5">
        <v>0.49099999999999999</v>
      </c>
      <c r="L43" s="5">
        <v>0.53100000000000003</v>
      </c>
      <c r="M43" s="5">
        <v>0.61</v>
      </c>
      <c r="N43" s="5">
        <v>0.502</v>
      </c>
      <c r="O43" s="6">
        <f t="shared" si="4"/>
        <v>0.53439999999999999</v>
      </c>
      <c r="P43" s="15">
        <f t="shared" si="5"/>
        <v>0.10979999999999995</v>
      </c>
    </row>
    <row r="44" spans="1:16" ht="15" customHeight="1" x14ac:dyDescent="0.25">
      <c r="A44" s="3" t="s">
        <v>130</v>
      </c>
      <c r="B44" s="3" t="s">
        <v>126</v>
      </c>
      <c r="C44" s="14">
        <v>0.2</v>
      </c>
      <c r="D44" s="5">
        <v>0.89400000000000002</v>
      </c>
      <c r="E44" s="5">
        <v>0.83199999999999996</v>
      </c>
      <c r="F44" s="5">
        <v>0.84</v>
      </c>
      <c r="G44" s="5">
        <v>0.84699999999999998</v>
      </c>
      <c r="H44" s="5">
        <v>0.86599999999999999</v>
      </c>
      <c r="I44" s="6">
        <f t="shared" si="3"/>
        <v>0.85580000000000001</v>
      </c>
      <c r="J44" s="5">
        <v>0.84599999999999997</v>
      </c>
      <c r="K44" s="5">
        <v>0.85399999999999998</v>
      </c>
      <c r="L44" s="5">
        <v>0.86099999999999999</v>
      </c>
      <c r="M44" s="5">
        <v>0.83499999999999996</v>
      </c>
      <c r="N44" s="5">
        <v>0.878</v>
      </c>
      <c r="O44" s="6">
        <f t="shared" si="4"/>
        <v>0.8548</v>
      </c>
      <c r="P44" s="15">
        <f t="shared" si="5"/>
        <v>-1.0000000000000009E-3</v>
      </c>
    </row>
    <row r="45" spans="1:16" ht="15" customHeight="1" x14ac:dyDescent="0.25">
      <c r="A45" s="3" t="s">
        <v>130</v>
      </c>
      <c r="B45" s="3" t="s">
        <v>126</v>
      </c>
      <c r="C45" s="14">
        <v>0.3</v>
      </c>
      <c r="D45" s="5">
        <v>0.79500000000000004</v>
      </c>
      <c r="E45" s="5">
        <v>0.81100000000000005</v>
      </c>
      <c r="F45" s="5">
        <v>0.77200000000000002</v>
      </c>
      <c r="G45" s="5">
        <v>0.80400000000000005</v>
      </c>
      <c r="H45" s="5">
        <v>0.79900000000000004</v>
      </c>
      <c r="I45" s="6">
        <f t="shared" si="3"/>
        <v>0.79620000000000002</v>
      </c>
      <c r="J45" s="5">
        <v>0.77100000000000002</v>
      </c>
      <c r="K45" s="5">
        <v>0.79700000000000004</v>
      </c>
      <c r="L45" s="5">
        <v>0.78600000000000003</v>
      </c>
      <c r="M45" s="5">
        <v>0.78100000000000003</v>
      </c>
      <c r="N45" s="5">
        <v>0.80400000000000005</v>
      </c>
      <c r="O45" s="6">
        <f t="shared" si="4"/>
        <v>0.78780000000000006</v>
      </c>
      <c r="P45" s="15">
        <f t="shared" si="5"/>
        <v>-8.3999999999999631E-3</v>
      </c>
    </row>
    <row r="46" spans="1:16" ht="15" customHeight="1" x14ac:dyDescent="0.25">
      <c r="A46" s="3" t="s">
        <v>130</v>
      </c>
      <c r="B46" s="3" t="s">
        <v>126</v>
      </c>
      <c r="C46" s="14">
        <v>0.4</v>
      </c>
      <c r="D46" s="5">
        <v>0.74</v>
      </c>
      <c r="E46" s="5">
        <v>0.73299999999999998</v>
      </c>
      <c r="F46" s="5">
        <v>0.72599999999999998</v>
      </c>
      <c r="G46" s="5">
        <v>0.73399999999999999</v>
      </c>
      <c r="H46" s="5">
        <v>0.748</v>
      </c>
      <c r="I46" s="6">
        <f t="shared" si="3"/>
        <v>0.73619999999999997</v>
      </c>
      <c r="J46" s="5">
        <v>0.71199999999999997</v>
      </c>
      <c r="K46" s="5">
        <v>0.70499999999999996</v>
      </c>
      <c r="L46" s="5">
        <v>0.73399999999999999</v>
      </c>
      <c r="M46" s="5">
        <v>0.72</v>
      </c>
      <c r="N46" s="5">
        <v>0.73599999999999999</v>
      </c>
      <c r="O46" s="6">
        <f t="shared" si="4"/>
        <v>0.72139999999999982</v>
      </c>
      <c r="P46" s="15">
        <f t="shared" si="5"/>
        <v>-1.4800000000000146E-2</v>
      </c>
    </row>
    <row r="47" spans="1:16" ht="15" customHeight="1" x14ac:dyDescent="0.25">
      <c r="A47" s="3" t="s">
        <v>130</v>
      </c>
      <c r="B47" s="3" t="s">
        <v>126</v>
      </c>
      <c r="C47" s="14">
        <v>0.5</v>
      </c>
      <c r="D47" s="5">
        <v>0.68899999999999995</v>
      </c>
      <c r="E47" s="5">
        <v>0.67400000000000004</v>
      </c>
      <c r="F47" s="5">
        <v>0.67</v>
      </c>
      <c r="G47" s="5">
        <v>0.65300000000000002</v>
      </c>
      <c r="H47" s="5">
        <v>0.67</v>
      </c>
      <c r="I47" s="6">
        <f t="shared" si="3"/>
        <v>0.67120000000000002</v>
      </c>
      <c r="J47" s="5">
        <v>0.65300000000000002</v>
      </c>
      <c r="K47" s="5">
        <v>0.65100000000000002</v>
      </c>
      <c r="L47" s="5">
        <v>0.66700000000000004</v>
      </c>
      <c r="M47" s="5">
        <v>0.65600000000000003</v>
      </c>
      <c r="N47" s="5">
        <v>0.66300000000000003</v>
      </c>
      <c r="O47" s="6">
        <f t="shared" si="4"/>
        <v>0.65800000000000003</v>
      </c>
      <c r="P47" s="15">
        <f t="shared" si="5"/>
        <v>-1.319999999999999E-2</v>
      </c>
    </row>
    <row r="48" spans="1:16" ht="15" customHeight="1" x14ac:dyDescent="0.25">
      <c r="A48" s="3" t="s">
        <v>130</v>
      </c>
      <c r="B48" s="3" t="s">
        <v>127</v>
      </c>
      <c r="C48" s="14">
        <v>0.2</v>
      </c>
      <c r="D48" s="5">
        <v>0.93200000000000005</v>
      </c>
      <c r="E48" s="5">
        <v>0.93400000000000005</v>
      </c>
      <c r="F48" s="5">
        <v>0.93899999999999995</v>
      </c>
      <c r="G48" s="5">
        <v>0.93400000000000005</v>
      </c>
      <c r="H48" s="5">
        <v>0.93600000000000005</v>
      </c>
      <c r="I48" s="6">
        <f t="shared" si="3"/>
        <v>0.93500000000000016</v>
      </c>
      <c r="J48" s="5">
        <v>0.93100000000000005</v>
      </c>
      <c r="K48" s="5">
        <v>0.93600000000000005</v>
      </c>
      <c r="L48" s="5">
        <v>0.94299999999999995</v>
      </c>
      <c r="M48" s="5">
        <v>0.94099999999999995</v>
      </c>
      <c r="N48" s="5">
        <v>0.93600000000000005</v>
      </c>
      <c r="O48" s="6">
        <f t="shared" si="4"/>
        <v>0.93740000000000001</v>
      </c>
      <c r="P48" s="15">
        <f t="shared" si="5"/>
        <v>2.3999999999998467E-3</v>
      </c>
    </row>
    <row r="49" spans="1:16" ht="15" customHeight="1" x14ac:dyDescent="0.25">
      <c r="A49" s="3" t="s">
        <v>130</v>
      </c>
      <c r="B49" s="3" t="s">
        <v>127</v>
      </c>
      <c r="C49" s="14">
        <v>0.3</v>
      </c>
      <c r="D49" s="5">
        <v>0.94299999999999995</v>
      </c>
      <c r="E49" s="5">
        <v>0.92900000000000005</v>
      </c>
      <c r="F49" s="5">
        <v>0.92700000000000005</v>
      </c>
      <c r="G49" s="5">
        <v>0.94099999999999995</v>
      </c>
      <c r="H49" s="5">
        <v>0.94599999999999995</v>
      </c>
      <c r="I49" s="6">
        <f t="shared" si="3"/>
        <v>0.93720000000000003</v>
      </c>
      <c r="J49" s="5">
        <v>0.94099999999999995</v>
      </c>
      <c r="K49" s="5">
        <v>0.94299999999999995</v>
      </c>
      <c r="L49" s="5">
        <v>0.93700000000000006</v>
      </c>
      <c r="M49" s="5">
        <v>0.93799999999999994</v>
      </c>
      <c r="N49" s="5">
        <v>0.94099999999999995</v>
      </c>
      <c r="O49" s="6">
        <f t="shared" si="4"/>
        <v>0.93999999999999984</v>
      </c>
      <c r="P49" s="15">
        <f t="shared" si="5"/>
        <v>2.7999999999998026E-3</v>
      </c>
    </row>
    <row r="50" spans="1:16" ht="15" customHeight="1" x14ac:dyDescent="0.25">
      <c r="A50" s="3" t="s">
        <v>130</v>
      </c>
      <c r="B50" s="3" t="s">
        <v>127</v>
      </c>
      <c r="C50" s="14">
        <v>0.4</v>
      </c>
      <c r="D50" s="5">
        <v>0.90300000000000002</v>
      </c>
      <c r="E50" s="5">
        <v>0.93200000000000005</v>
      </c>
      <c r="F50" s="5">
        <v>0.90600000000000003</v>
      </c>
      <c r="G50" s="5">
        <v>0.84699999999999998</v>
      </c>
      <c r="H50" s="5">
        <v>0.92500000000000004</v>
      </c>
      <c r="I50" s="6">
        <f t="shared" si="3"/>
        <v>0.90259999999999996</v>
      </c>
      <c r="J50" s="5">
        <v>0.93200000000000005</v>
      </c>
      <c r="K50" s="5">
        <v>0.91800000000000004</v>
      </c>
      <c r="L50" s="5">
        <v>0.92</v>
      </c>
      <c r="M50" s="5">
        <v>0.91100000000000003</v>
      </c>
      <c r="N50" s="5">
        <v>0.94399999999999995</v>
      </c>
      <c r="O50" s="6">
        <f t="shared" si="4"/>
        <v>0.92500000000000004</v>
      </c>
      <c r="P50" s="15">
        <f t="shared" si="5"/>
        <v>2.2400000000000087E-2</v>
      </c>
    </row>
    <row r="51" spans="1:16" ht="15" customHeight="1" x14ac:dyDescent="0.25">
      <c r="A51" s="3" t="s">
        <v>130</v>
      </c>
      <c r="B51" s="3" t="s">
        <v>127</v>
      </c>
      <c r="C51" s="14">
        <v>0.5</v>
      </c>
      <c r="D51" s="5">
        <v>0.41099999999999998</v>
      </c>
      <c r="E51" s="5">
        <v>0.44400000000000001</v>
      </c>
      <c r="F51" s="5">
        <v>0.53300000000000003</v>
      </c>
      <c r="G51" s="5">
        <v>0.52400000000000002</v>
      </c>
      <c r="H51" s="5">
        <v>0.63400000000000001</v>
      </c>
      <c r="I51" s="6">
        <f t="shared" si="3"/>
        <v>0.50919999999999999</v>
      </c>
      <c r="J51" s="5">
        <v>0.39900000000000002</v>
      </c>
      <c r="K51" s="5">
        <v>0.46500000000000002</v>
      </c>
      <c r="L51" s="5">
        <v>0.61299999999999999</v>
      </c>
      <c r="M51" s="5">
        <v>0.50900000000000001</v>
      </c>
      <c r="N51" s="5">
        <v>0.69099999999999995</v>
      </c>
      <c r="O51" s="6">
        <f t="shared" si="4"/>
        <v>0.53539999999999999</v>
      </c>
      <c r="P51" s="15">
        <f t="shared" si="5"/>
        <v>2.6200000000000001E-2</v>
      </c>
    </row>
    <row r="52" spans="1:16" ht="15" customHeight="1" x14ac:dyDescent="0.25">
      <c r="A52" s="3" t="s">
        <v>130</v>
      </c>
      <c r="B52" s="3" t="s">
        <v>128</v>
      </c>
      <c r="C52" s="14">
        <v>0.2</v>
      </c>
      <c r="D52" s="5">
        <v>0.91500000000000004</v>
      </c>
      <c r="E52" s="5">
        <v>0.93400000000000005</v>
      </c>
      <c r="F52" s="5">
        <v>0.94099999999999995</v>
      </c>
      <c r="G52" s="5">
        <v>0.93600000000000005</v>
      </c>
      <c r="H52" s="5">
        <v>0.95299999999999996</v>
      </c>
      <c r="I52" s="6">
        <f t="shared" si="3"/>
        <v>0.93580000000000008</v>
      </c>
      <c r="J52" s="5">
        <v>0.94099999999999995</v>
      </c>
      <c r="K52" s="5">
        <v>0.93799999999999994</v>
      </c>
      <c r="L52" s="5">
        <v>0.93400000000000005</v>
      </c>
      <c r="M52" s="5">
        <v>0.94399999999999995</v>
      </c>
      <c r="N52" s="5">
        <v>0.94399999999999995</v>
      </c>
      <c r="O52" s="6">
        <f t="shared" si="4"/>
        <v>0.94020000000000015</v>
      </c>
      <c r="P52" s="15">
        <f t="shared" si="5"/>
        <v>4.4000000000000705E-3</v>
      </c>
    </row>
    <row r="53" spans="1:16" ht="15" customHeight="1" x14ac:dyDescent="0.25">
      <c r="A53" s="3" t="s">
        <v>130</v>
      </c>
      <c r="B53" s="3" t="s">
        <v>128</v>
      </c>
      <c r="C53" s="14">
        <v>0.3</v>
      </c>
      <c r="D53" s="5">
        <v>0.89800000000000002</v>
      </c>
      <c r="E53" s="5">
        <v>0.89900000000000002</v>
      </c>
      <c r="F53" s="5">
        <v>0.92900000000000005</v>
      </c>
      <c r="G53" s="5">
        <v>0.88</v>
      </c>
      <c r="H53" s="5">
        <v>0.90500000000000003</v>
      </c>
      <c r="I53" s="6">
        <f t="shared" si="3"/>
        <v>0.9022</v>
      </c>
      <c r="J53" s="5">
        <v>0.89900000000000002</v>
      </c>
      <c r="K53" s="5">
        <v>0.89100000000000001</v>
      </c>
      <c r="L53" s="5">
        <v>0.91500000000000004</v>
      </c>
      <c r="M53" s="5">
        <v>0.94299999999999995</v>
      </c>
      <c r="N53" s="5">
        <v>0.92700000000000005</v>
      </c>
      <c r="O53" s="6">
        <f t="shared" si="4"/>
        <v>0.91500000000000004</v>
      </c>
      <c r="P53" s="15">
        <f t="shared" si="5"/>
        <v>1.2800000000000034E-2</v>
      </c>
    </row>
    <row r="54" spans="1:16" ht="15" customHeight="1" x14ac:dyDescent="0.25">
      <c r="A54" s="3" t="s">
        <v>130</v>
      </c>
      <c r="B54" s="3" t="s">
        <v>128</v>
      </c>
      <c r="C54" s="14">
        <v>0.4</v>
      </c>
      <c r="D54" s="5">
        <v>0.79500000000000004</v>
      </c>
      <c r="E54" s="5">
        <v>0.77100000000000002</v>
      </c>
      <c r="F54" s="5">
        <v>0.77800000000000002</v>
      </c>
      <c r="G54" s="5">
        <v>0.77100000000000002</v>
      </c>
      <c r="H54" s="5">
        <v>0.79</v>
      </c>
      <c r="I54" s="6">
        <f t="shared" si="3"/>
        <v>0.78100000000000003</v>
      </c>
      <c r="J54" s="5">
        <v>0.84699999999999998</v>
      </c>
      <c r="K54" s="5">
        <v>0.88500000000000001</v>
      </c>
      <c r="L54" s="5">
        <v>0.84699999999999998</v>
      </c>
      <c r="M54" s="5">
        <v>0.88500000000000001</v>
      </c>
      <c r="N54" s="5">
        <v>0.81599999999999995</v>
      </c>
      <c r="O54" s="6">
        <f t="shared" si="4"/>
        <v>0.85599999999999987</v>
      </c>
      <c r="P54" s="15">
        <f t="shared" si="5"/>
        <v>7.4999999999999845E-2</v>
      </c>
    </row>
    <row r="55" spans="1:16" ht="15" customHeight="1" x14ac:dyDescent="0.25">
      <c r="A55" s="3" t="s">
        <v>130</v>
      </c>
      <c r="B55" s="3" t="s">
        <v>128</v>
      </c>
      <c r="C55" s="14">
        <v>0.5</v>
      </c>
      <c r="D55" s="5">
        <v>0.38900000000000001</v>
      </c>
      <c r="E55" s="5">
        <v>0.505</v>
      </c>
      <c r="F55" s="5">
        <v>0.41499999999999998</v>
      </c>
      <c r="G55" s="5">
        <v>0.57499999999999996</v>
      </c>
      <c r="H55" s="5">
        <v>0.54200000000000004</v>
      </c>
      <c r="I55" s="6">
        <f t="shared" si="3"/>
        <v>0.48520000000000002</v>
      </c>
      <c r="J55" s="5">
        <v>0.50700000000000001</v>
      </c>
      <c r="K55" s="5">
        <v>0.57999999999999996</v>
      </c>
      <c r="L55" s="5">
        <v>0.44500000000000001</v>
      </c>
      <c r="M55" s="5">
        <v>0.52100000000000002</v>
      </c>
      <c r="N55" s="5">
        <v>0.502</v>
      </c>
      <c r="O55" s="6">
        <f t="shared" si="4"/>
        <v>0.5109999999999999</v>
      </c>
      <c r="P55" s="15">
        <f t="shared" si="5"/>
        <v>2.5799999999999879E-2</v>
      </c>
    </row>
    <row r="56" spans="1:16" ht="15" customHeight="1" x14ac:dyDescent="0.25">
      <c r="A56" s="3" t="s">
        <v>131</v>
      </c>
      <c r="B56" s="3" t="s">
        <v>124</v>
      </c>
      <c r="C56" s="14">
        <v>0</v>
      </c>
      <c r="D56" s="5">
        <v>0.97599999999999998</v>
      </c>
      <c r="E56" s="5">
        <v>0.97799999999999998</v>
      </c>
      <c r="F56" s="5">
        <v>0.97299999999999998</v>
      </c>
      <c r="G56" s="5">
        <v>0.97699999999999998</v>
      </c>
      <c r="H56" s="5">
        <v>0.97499999999999998</v>
      </c>
      <c r="I56" s="6">
        <f t="shared" si="3"/>
        <v>0.97579999999999989</v>
      </c>
      <c r="J56" s="5">
        <v>0.98299999999999998</v>
      </c>
      <c r="K56" s="5">
        <v>0.98399999999999999</v>
      </c>
      <c r="L56" s="5">
        <v>0.97899999999999998</v>
      </c>
      <c r="M56" s="5">
        <v>0.98699999999999999</v>
      </c>
      <c r="N56" s="5">
        <v>0.98499999999999999</v>
      </c>
      <c r="O56" s="6">
        <f t="shared" si="4"/>
        <v>0.98360000000000003</v>
      </c>
      <c r="P56" s="15">
        <f t="shared" si="5"/>
        <v>7.8000000000001402E-3</v>
      </c>
    </row>
    <row r="57" spans="1:16" ht="15" customHeight="1" x14ac:dyDescent="0.25">
      <c r="A57" s="3" t="s">
        <v>131</v>
      </c>
      <c r="B57" s="3" t="s">
        <v>125</v>
      </c>
      <c r="C57" s="14">
        <v>0.2</v>
      </c>
      <c r="D57" s="5">
        <v>0.96099999999999997</v>
      </c>
      <c r="E57" s="5">
        <v>0.98</v>
      </c>
      <c r="F57" s="5">
        <v>0.97699999999999998</v>
      </c>
      <c r="G57" s="5">
        <v>0.97499999999999998</v>
      </c>
      <c r="H57" s="5">
        <v>0.97299999999999998</v>
      </c>
      <c r="I57" s="6">
        <f t="shared" si="3"/>
        <v>0.97319999999999995</v>
      </c>
      <c r="J57" s="5">
        <v>0.96399999999999997</v>
      </c>
      <c r="K57" s="5">
        <v>0.98</v>
      </c>
      <c r="L57" s="5">
        <v>0.97799999999999998</v>
      </c>
      <c r="M57" s="5">
        <v>0.97399999999999998</v>
      </c>
      <c r="N57" s="5">
        <v>0.97499999999999998</v>
      </c>
      <c r="O57" s="6">
        <f t="shared" si="4"/>
        <v>0.97419999999999995</v>
      </c>
      <c r="P57" s="15">
        <f t="shared" si="5"/>
        <v>1.0000000000000009E-3</v>
      </c>
    </row>
    <row r="58" spans="1:16" ht="15" customHeight="1" x14ac:dyDescent="0.25">
      <c r="A58" s="3" t="s">
        <v>131</v>
      </c>
      <c r="B58" s="3" t="s">
        <v>125</v>
      </c>
      <c r="C58" s="14">
        <v>0.3</v>
      </c>
      <c r="D58" s="5">
        <v>0.96899999999999997</v>
      </c>
      <c r="E58" s="5">
        <v>0.97</v>
      </c>
      <c r="F58" s="5">
        <v>0.97099999999999997</v>
      </c>
      <c r="G58" s="5">
        <v>0.96899999999999997</v>
      </c>
      <c r="H58" s="5">
        <v>0.95599999999999996</v>
      </c>
      <c r="I58" s="6">
        <f t="shared" si="3"/>
        <v>0.96699999999999997</v>
      </c>
      <c r="J58" s="5">
        <v>0.97199999999999998</v>
      </c>
      <c r="K58" s="5">
        <v>0.97399999999999998</v>
      </c>
      <c r="L58" s="5">
        <v>0.97499999999999998</v>
      </c>
      <c r="M58" s="5">
        <v>0.96899999999999997</v>
      </c>
      <c r="N58" s="5">
        <v>0.96699999999999997</v>
      </c>
      <c r="O58" s="6">
        <f t="shared" si="4"/>
        <v>0.97139999999999982</v>
      </c>
      <c r="P58" s="15">
        <f t="shared" si="5"/>
        <v>4.3999999999998485E-3</v>
      </c>
    </row>
    <row r="59" spans="1:16" ht="15" customHeight="1" x14ac:dyDescent="0.25">
      <c r="A59" s="3" t="s">
        <v>131</v>
      </c>
      <c r="B59" s="3" t="s">
        <v>125</v>
      </c>
      <c r="C59" s="14">
        <v>0.4</v>
      </c>
      <c r="D59" s="5">
        <v>0.94</v>
      </c>
      <c r="E59" s="5">
        <v>0.89100000000000001</v>
      </c>
      <c r="F59" s="5">
        <v>0.94299999999999995</v>
      </c>
      <c r="G59" s="5">
        <v>0.94499999999999995</v>
      </c>
      <c r="H59" s="5">
        <v>0.94899999999999995</v>
      </c>
      <c r="I59" s="6">
        <f t="shared" si="3"/>
        <v>0.93359999999999999</v>
      </c>
      <c r="J59" s="5">
        <v>0.95</v>
      </c>
      <c r="K59" s="5">
        <v>0.92600000000000005</v>
      </c>
      <c r="L59" s="5">
        <v>0.95599999999999996</v>
      </c>
      <c r="M59" s="5">
        <v>0.95199999999999996</v>
      </c>
      <c r="N59" s="5">
        <v>0.96899999999999997</v>
      </c>
      <c r="O59" s="6">
        <f t="shared" si="4"/>
        <v>0.9506</v>
      </c>
      <c r="P59" s="15">
        <f t="shared" si="5"/>
        <v>1.7000000000000015E-2</v>
      </c>
    </row>
    <row r="60" spans="1:16" ht="15" customHeight="1" x14ac:dyDescent="0.25">
      <c r="A60" s="3" t="s">
        <v>131</v>
      </c>
      <c r="B60" s="3" t="s">
        <v>125</v>
      </c>
      <c r="C60" s="14">
        <v>0.5</v>
      </c>
      <c r="D60" s="5">
        <v>0.42299999999999999</v>
      </c>
      <c r="E60" s="5">
        <v>0.47399999999999998</v>
      </c>
      <c r="F60" s="5">
        <v>0.42</v>
      </c>
      <c r="G60" s="5">
        <v>0.5</v>
      </c>
      <c r="H60" s="5">
        <v>0.38700000000000001</v>
      </c>
      <c r="I60" s="6">
        <f t="shared" si="3"/>
        <v>0.44079999999999997</v>
      </c>
      <c r="J60" s="5">
        <v>0.42799999999999999</v>
      </c>
      <c r="K60" s="5">
        <v>0.44500000000000001</v>
      </c>
      <c r="L60" s="5">
        <v>0.46</v>
      </c>
      <c r="M60" s="5">
        <v>0.498</v>
      </c>
      <c r="N60" s="5">
        <v>0.38300000000000001</v>
      </c>
      <c r="O60" s="6">
        <f t="shared" si="4"/>
        <v>0.44279999999999997</v>
      </c>
      <c r="P60" s="15">
        <f t="shared" si="5"/>
        <v>2.0000000000000018E-3</v>
      </c>
    </row>
    <row r="61" spans="1:16" ht="15" customHeight="1" x14ac:dyDescent="0.25">
      <c r="A61" s="3" t="s">
        <v>131</v>
      </c>
      <c r="B61" s="3" t="s">
        <v>126</v>
      </c>
      <c r="C61" s="14">
        <v>0.2</v>
      </c>
      <c r="D61" s="5">
        <v>0.94499999999999995</v>
      </c>
      <c r="E61" s="5">
        <v>0.94799999999999995</v>
      </c>
      <c r="F61" s="5">
        <v>0.91800000000000004</v>
      </c>
      <c r="G61" s="5">
        <v>0.94199999999999995</v>
      </c>
      <c r="H61" s="5">
        <v>0.95299999999999996</v>
      </c>
      <c r="I61" s="6">
        <f t="shared" si="3"/>
        <v>0.94120000000000004</v>
      </c>
      <c r="J61" s="5">
        <v>0.94099999999999995</v>
      </c>
      <c r="K61" s="5">
        <v>0.94499999999999995</v>
      </c>
      <c r="L61" s="5">
        <v>0.94799999999999995</v>
      </c>
      <c r="M61" s="5">
        <v>0.94199999999999995</v>
      </c>
      <c r="N61" s="5">
        <v>0.94499999999999995</v>
      </c>
      <c r="O61" s="6">
        <f t="shared" si="4"/>
        <v>0.94420000000000004</v>
      </c>
      <c r="P61" s="15">
        <f t="shared" si="5"/>
        <v>3.0000000000000027E-3</v>
      </c>
    </row>
    <row r="62" spans="1:16" ht="15" customHeight="1" x14ac:dyDescent="0.25">
      <c r="A62" s="3" t="s">
        <v>131</v>
      </c>
      <c r="B62" s="3" t="s">
        <v>126</v>
      </c>
      <c r="C62" s="14">
        <v>0.3</v>
      </c>
      <c r="D62" s="5">
        <v>0.94099999999999995</v>
      </c>
      <c r="E62" s="5">
        <v>0.94</v>
      </c>
      <c r="F62" s="5">
        <v>0.94299999999999995</v>
      </c>
      <c r="G62" s="5">
        <v>0.94499999999999995</v>
      </c>
      <c r="H62" s="5">
        <v>0.92900000000000005</v>
      </c>
      <c r="I62" s="6">
        <f t="shared" si="3"/>
        <v>0.93959999999999988</v>
      </c>
      <c r="J62" s="5">
        <v>0.92300000000000004</v>
      </c>
      <c r="K62" s="5">
        <v>0.93200000000000005</v>
      </c>
      <c r="L62" s="5">
        <v>0.92400000000000004</v>
      </c>
      <c r="M62" s="5">
        <v>0.91300000000000003</v>
      </c>
      <c r="N62" s="5">
        <v>0.91700000000000004</v>
      </c>
      <c r="O62" s="6">
        <f t="shared" si="4"/>
        <v>0.92179999999999995</v>
      </c>
      <c r="P62" s="15">
        <f t="shared" si="5"/>
        <v>-1.7799999999999927E-2</v>
      </c>
    </row>
    <row r="63" spans="1:16" ht="15" customHeight="1" x14ac:dyDescent="0.25">
      <c r="A63" s="3" t="s">
        <v>131</v>
      </c>
      <c r="B63" s="3" t="s">
        <v>126</v>
      </c>
      <c r="C63" s="14">
        <v>0.4</v>
      </c>
      <c r="D63" s="5">
        <v>0.89600000000000002</v>
      </c>
      <c r="E63" s="5">
        <v>0.90800000000000003</v>
      </c>
      <c r="F63" s="5">
        <v>0.89400000000000002</v>
      </c>
      <c r="G63" s="5">
        <v>0.91100000000000003</v>
      </c>
      <c r="H63" s="5">
        <v>0.88100000000000001</v>
      </c>
      <c r="I63" s="6">
        <f t="shared" si="3"/>
        <v>0.89800000000000002</v>
      </c>
      <c r="J63" s="5">
        <v>0.85499999999999998</v>
      </c>
      <c r="K63" s="5">
        <v>0.85799999999999998</v>
      </c>
      <c r="L63" s="5">
        <v>0.84799999999999998</v>
      </c>
      <c r="M63" s="5">
        <v>0.85099999999999998</v>
      </c>
      <c r="N63" s="5">
        <v>0.84099999999999997</v>
      </c>
      <c r="O63" s="6">
        <f t="shared" si="4"/>
        <v>0.85060000000000002</v>
      </c>
      <c r="P63" s="15">
        <f t="shared" si="5"/>
        <v>-4.7399999999999998E-2</v>
      </c>
    </row>
    <row r="64" spans="1:16" ht="15" customHeight="1" x14ac:dyDescent="0.25">
      <c r="A64" s="3" t="s">
        <v>131</v>
      </c>
      <c r="B64" s="3" t="s">
        <v>126</v>
      </c>
      <c r="C64" s="14">
        <v>0.5</v>
      </c>
      <c r="D64" s="5">
        <v>0.71399999999999997</v>
      </c>
      <c r="E64" s="5">
        <v>0.68899999999999995</v>
      </c>
      <c r="F64" s="5">
        <v>0.72699999999999998</v>
      </c>
      <c r="G64" s="5">
        <v>0.68400000000000005</v>
      </c>
      <c r="H64" s="5">
        <v>0.72399999999999998</v>
      </c>
      <c r="I64" s="6">
        <f t="shared" si="3"/>
        <v>0.70760000000000001</v>
      </c>
      <c r="J64" s="5">
        <v>0.69399999999999995</v>
      </c>
      <c r="K64" s="5">
        <v>0.67100000000000004</v>
      </c>
      <c r="L64" s="5">
        <v>0.71599999999999997</v>
      </c>
      <c r="M64" s="5">
        <v>0.68700000000000006</v>
      </c>
      <c r="N64" s="5">
        <v>0.70099999999999996</v>
      </c>
      <c r="O64" s="6">
        <f t="shared" si="4"/>
        <v>0.69379999999999997</v>
      </c>
      <c r="P64" s="15">
        <f t="shared" si="5"/>
        <v>-1.3800000000000034E-2</v>
      </c>
    </row>
    <row r="65" spans="1:16" ht="15" customHeight="1" x14ac:dyDescent="0.25">
      <c r="A65" s="3" t="s">
        <v>131</v>
      </c>
      <c r="B65" s="3" t="s">
        <v>127</v>
      </c>
      <c r="C65" s="14">
        <v>0.2</v>
      </c>
      <c r="D65" s="5">
        <v>0.92400000000000004</v>
      </c>
      <c r="E65" s="5">
        <v>0.95299999999999996</v>
      </c>
      <c r="F65" s="5">
        <v>0.94299999999999995</v>
      </c>
      <c r="G65" s="5">
        <v>0.93200000000000005</v>
      </c>
      <c r="H65" s="5">
        <v>0.93899999999999995</v>
      </c>
      <c r="I65" s="6">
        <f t="shared" si="3"/>
        <v>0.93819999999999992</v>
      </c>
      <c r="J65" s="5">
        <v>0.94</v>
      </c>
      <c r="K65" s="5">
        <v>0.95699999999999996</v>
      </c>
      <c r="L65" s="5">
        <v>0.94499999999999995</v>
      </c>
      <c r="M65" s="5">
        <v>0.93400000000000005</v>
      </c>
      <c r="N65" s="5">
        <v>0.93100000000000005</v>
      </c>
      <c r="O65" s="6">
        <f t="shared" si="4"/>
        <v>0.94140000000000001</v>
      </c>
      <c r="P65" s="15">
        <f t="shared" si="5"/>
        <v>3.2000000000000917E-3</v>
      </c>
    </row>
    <row r="66" spans="1:16" ht="15" customHeight="1" x14ac:dyDescent="0.25">
      <c r="A66" s="3" t="s">
        <v>131</v>
      </c>
      <c r="B66" s="3" t="s">
        <v>127</v>
      </c>
      <c r="C66" s="14">
        <v>0.3</v>
      </c>
      <c r="D66" s="5">
        <v>0.88200000000000001</v>
      </c>
      <c r="E66" s="5">
        <v>0.875</v>
      </c>
      <c r="F66" s="5">
        <v>0.84699999999999998</v>
      </c>
      <c r="G66" s="5">
        <v>0.86399999999999999</v>
      </c>
      <c r="H66" s="5">
        <v>0.86099999999999999</v>
      </c>
      <c r="I66" s="6">
        <f t="shared" si="3"/>
        <v>0.8657999999999999</v>
      </c>
      <c r="J66" s="5">
        <v>0.88400000000000001</v>
      </c>
      <c r="K66" s="5">
        <v>0.872</v>
      </c>
      <c r="L66" s="5">
        <v>0.85099999999999998</v>
      </c>
      <c r="M66" s="5">
        <v>0.86899999999999999</v>
      </c>
      <c r="N66" s="5">
        <v>0.86599999999999999</v>
      </c>
      <c r="O66" s="6">
        <f t="shared" si="4"/>
        <v>0.86839999999999995</v>
      </c>
      <c r="P66" s="15">
        <f t="shared" si="5"/>
        <v>2.6000000000000467E-3</v>
      </c>
    </row>
    <row r="67" spans="1:16" ht="15" customHeight="1" x14ac:dyDescent="0.25">
      <c r="A67" s="3" t="s">
        <v>131</v>
      </c>
      <c r="B67" s="3" t="s">
        <v>127</v>
      </c>
      <c r="C67" s="14">
        <v>0.4</v>
      </c>
      <c r="D67" s="5">
        <v>0.88800000000000001</v>
      </c>
      <c r="E67" s="5">
        <v>0.871</v>
      </c>
      <c r="F67" s="5">
        <v>0.83799999999999997</v>
      </c>
      <c r="G67" s="5">
        <v>0.85099999999999998</v>
      </c>
      <c r="H67" s="5">
        <v>0.83499999999999996</v>
      </c>
      <c r="I67" s="6">
        <f t="shared" si="3"/>
        <v>0.85659999999999992</v>
      </c>
      <c r="J67" s="5">
        <v>0.88300000000000001</v>
      </c>
      <c r="K67" s="5">
        <v>0.875</v>
      </c>
      <c r="L67" s="5">
        <v>0.86499999999999999</v>
      </c>
      <c r="M67" s="5">
        <v>0.873</v>
      </c>
      <c r="N67" s="5">
        <v>0.85499999999999998</v>
      </c>
      <c r="O67" s="6">
        <f t="shared" si="4"/>
        <v>0.8702000000000002</v>
      </c>
      <c r="P67" s="15">
        <f t="shared" si="5"/>
        <v>1.3600000000000279E-2</v>
      </c>
    </row>
    <row r="68" spans="1:16" ht="15" customHeight="1" x14ac:dyDescent="0.25">
      <c r="A68" s="3" t="s">
        <v>131</v>
      </c>
      <c r="B68" s="3" t="s">
        <v>127</v>
      </c>
      <c r="C68" s="14">
        <v>0.5</v>
      </c>
      <c r="D68" s="5">
        <v>0.58199999999999996</v>
      </c>
      <c r="E68" s="5">
        <v>0.41</v>
      </c>
      <c r="F68" s="5">
        <v>0.46600000000000003</v>
      </c>
      <c r="G68" s="5">
        <v>0.41599999999999998</v>
      </c>
      <c r="H68" s="5">
        <v>0.59699999999999998</v>
      </c>
      <c r="I68" s="6">
        <f t="shared" si="3"/>
        <v>0.49420000000000003</v>
      </c>
      <c r="J68" s="5">
        <v>0.59299999999999997</v>
      </c>
      <c r="K68" s="5">
        <v>0.44500000000000001</v>
      </c>
      <c r="L68" s="5">
        <v>0.435</v>
      </c>
      <c r="M68" s="5">
        <v>0.36599999999999999</v>
      </c>
      <c r="N68" s="5">
        <v>0.57399999999999995</v>
      </c>
      <c r="O68" s="6">
        <f t="shared" si="4"/>
        <v>0.48259999999999997</v>
      </c>
      <c r="P68" s="15">
        <f t="shared" si="5"/>
        <v>-1.1600000000000055E-2</v>
      </c>
    </row>
    <row r="69" spans="1:16" ht="15" customHeight="1" x14ac:dyDescent="0.25">
      <c r="A69" s="3" t="s">
        <v>131</v>
      </c>
      <c r="B69" s="3" t="s">
        <v>128</v>
      </c>
      <c r="C69" s="14">
        <v>0.2</v>
      </c>
      <c r="D69" s="5">
        <v>0.85899999999999999</v>
      </c>
      <c r="E69" s="5">
        <v>0.90200000000000002</v>
      </c>
      <c r="F69" s="5">
        <v>0.92800000000000005</v>
      </c>
      <c r="G69" s="5">
        <v>0.84499999999999997</v>
      </c>
      <c r="H69" s="5">
        <v>0.88800000000000001</v>
      </c>
      <c r="I69" s="6">
        <f t="shared" ref="I69:I100" si="6">IFERROR(AVERAGE(D69:H69),"-")</f>
        <v>0.88439999999999996</v>
      </c>
      <c r="J69" s="5">
        <v>0.91700000000000004</v>
      </c>
      <c r="K69" s="5">
        <v>0.94199999999999995</v>
      </c>
      <c r="L69" s="5">
        <v>0.95299999999999996</v>
      </c>
      <c r="M69" s="5">
        <v>0.92900000000000005</v>
      </c>
      <c r="N69" s="5">
        <v>0.96099999999999997</v>
      </c>
      <c r="O69" s="6">
        <f t="shared" ref="O69:O100" si="7">IFERROR(AVERAGE(J69:N69),"-")</f>
        <v>0.94040000000000001</v>
      </c>
      <c r="P69" s="15">
        <f t="shared" ref="P69:P100" si="8">IFERROR(O69-I69,"-")</f>
        <v>5.600000000000005E-2</v>
      </c>
    </row>
    <row r="70" spans="1:16" ht="15" customHeight="1" x14ac:dyDescent="0.25">
      <c r="A70" s="3" t="s">
        <v>131</v>
      </c>
      <c r="B70" s="3" t="s">
        <v>128</v>
      </c>
      <c r="C70" s="14">
        <v>0.3</v>
      </c>
      <c r="D70" s="5">
        <v>0.90300000000000002</v>
      </c>
      <c r="E70" s="5">
        <v>0.85599999999999998</v>
      </c>
      <c r="F70" s="5">
        <v>0.85699999999999998</v>
      </c>
      <c r="G70" s="5">
        <v>0.92500000000000004</v>
      </c>
      <c r="H70" s="5">
        <v>0.95399999999999996</v>
      </c>
      <c r="I70" s="6">
        <f t="shared" si="6"/>
        <v>0.8989999999999998</v>
      </c>
      <c r="J70" s="5">
        <v>0.93500000000000005</v>
      </c>
      <c r="K70" s="5">
        <v>0.92400000000000004</v>
      </c>
      <c r="L70" s="5">
        <v>0.93500000000000005</v>
      </c>
      <c r="M70" s="5">
        <v>0.96799999999999997</v>
      </c>
      <c r="N70" s="5">
        <v>0.96899999999999997</v>
      </c>
      <c r="O70" s="6">
        <f t="shared" si="7"/>
        <v>0.94619999999999993</v>
      </c>
      <c r="P70" s="15">
        <f t="shared" si="8"/>
        <v>4.7200000000000131E-2</v>
      </c>
    </row>
    <row r="71" spans="1:16" ht="15" customHeight="1" x14ac:dyDescent="0.25">
      <c r="A71" s="3" t="s">
        <v>131</v>
      </c>
      <c r="B71" s="3" t="s">
        <v>128</v>
      </c>
      <c r="C71" s="14">
        <v>0.4</v>
      </c>
      <c r="D71" s="5">
        <v>0.79200000000000004</v>
      </c>
      <c r="E71" s="5">
        <v>0.73599999999999999</v>
      </c>
      <c r="F71" s="5">
        <v>0.82</v>
      </c>
      <c r="G71" s="5">
        <v>0.88700000000000001</v>
      </c>
      <c r="H71" s="5">
        <v>0.82899999999999996</v>
      </c>
      <c r="I71" s="6">
        <f t="shared" si="6"/>
        <v>0.81279999999999997</v>
      </c>
      <c r="J71" s="5">
        <v>0.873</v>
      </c>
      <c r="K71" s="5">
        <v>0.81799999999999995</v>
      </c>
      <c r="L71" s="5">
        <v>0.85899999999999999</v>
      </c>
      <c r="M71" s="5">
        <v>0.94699999999999995</v>
      </c>
      <c r="N71" s="5">
        <v>0.91100000000000003</v>
      </c>
      <c r="O71" s="6">
        <f t="shared" si="7"/>
        <v>0.88159999999999994</v>
      </c>
      <c r="P71" s="15">
        <f t="shared" si="8"/>
        <v>6.8799999999999972E-2</v>
      </c>
    </row>
    <row r="72" spans="1:16" ht="15" customHeight="1" x14ac:dyDescent="0.25">
      <c r="A72" s="3" t="s">
        <v>131</v>
      </c>
      <c r="B72" s="3" t="s">
        <v>128</v>
      </c>
      <c r="C72" s="14">
        <v>0.5</v>
      </c>
      <c r="D72" s="5">
        <v>0.434</v>
      </c>
      <c r="E72" s="5">
        <v>0.42299999999999999</v>
      </c>
      <c r="F72" s="5">
        <v>0.52500000000000002</v>
      </c>
      <c r="G72" s="5">
        <v>0.52200000000000002</v>
      </c>
      <c r="H72" s="5">
        <v>0.41299999999999998</v>
      </c>
      <c r="I72" s="6">
        <f t="shared" si="6"/>
        <v>0.46340000000000003</v>
      </c>
      <c r="J72" s="5">
        <v>0.44900000000000001</v>
      </c>
      <c r="K72" s="5">
        <v>0.44500000000000001</v>
      </c>
      <c r="L72" s="5">
        <v>0.5</v>
      </c>
      <c r="M72" s="5">
        <v>0.53500000000000003</v>
      </c>
      <c r="N72" s="5">
        <v>0.42399999999999999</v>
      </c>
      <c r="O72" s="6">
        <f t="shared" si="7"/>
        <v>0.47060000000000002</v>
      </c>
      <c r="P72" s="15">
        <f t="shared" si="8"/>
        <v>7.1999999999999842E-3</v>
      </c>
    </row>
    <row r="73" spans="1:16" ht="15" customHeight="1" x14ac:dyDescent="0.25">
      <c r="A73" s="3" t="s">
        <v>132</v>
      </c>
      <c r="B73" s="3" t="s">
        <v>124</v>
      </c>
      <c r="C73" s="14">
        <v>0</v>
      </c>
      <c r="D73" s="5">
        <v>0.95099999999999996</v>
      </c>
      <c r="E73" s="5">
        <v>0.95299999999999996</v>
      </c>
      <c r="F73" s="5">
        <v>0.93700000000000006</v>
      </c>
      <c r="G73" s="5">
        <v>0.94899999999999995</v>
      </c>
      <c r="H73" s="5">
        <v>0.95799999999999996</v>
      </c>
      <c r="I73" s="6">
        <f t="shared" si="6"/>
        <v>0.9496</v>
      </c>
      <c r="J73" s="5">
        <v>0.95599999999999996</v>
      </c>
      <c r="K73" s="5">
        <v>0.96099999999999997</v>
      </c>
      <c r="L73" s="5">
        <v>0.95599999999999996</v>
      </c>
      <c r="M73" s="5">
        <v>0.95299999999999996</v>
      </c>
      <c r="N73" s="5">
        <v>0.95799999999999996</v>
      </c>
      <c r="O73" s="6">
        <f t="shared" si="7"/>
        <v>0.95679999999999998</v>
      </c>
      <c r="P73" s="15">
        <f t="shared" si="8"/>
        <v>7.1999999999999842E-3</v>
      </c>
    </row>
    <row r="74" spans="1:16" ht="15" customHeight="1" x14ac:dyDescent="0.25">
      <c r="A74" s="3" t="s">
        <v>132</v>
      </c>
      <c r="B74" s="3" t="s">
        <v>125</v>
      </c>
      <c r="C74" s="14">
        <v>0.2</v>
      </c>
      <c r="D74" s="5">
        <v>0.83</v>
      </c>
      <c r="E74" s="5">
        <v>0.84399999999999997</v>
      </c>
      <c r="F74" s="5">
        <v>0.84699999999999998</v>
      </c>
      <c r="G74" s="5">
        <v>0.84899999999999998</v>
      </c>
      <c r="H74" s="5">
        <v>0.85799999999999998</v>
      </c>
      <c r="I74" s="6">
        <f t="shared" si="6"/>
        <v>0.84559999999999991</v>
      </c>
      <c r="J74" s="5">
        <v>0.9</v>
      </c>
      <c r="K74" s="5">
        <v>0.91900000000000004</v>
      </c>
      <c r="L74" s="5">
        <v>0.89800000000000002</v>
      </c>
      <c r="M74" s="5">
        <v>0.90500000000000003</v>
      </c>
      <c r="N74" s="5">
        <v>0.90900000000000003</v>
      </c>
      <c r="O74" s="6">
        <f t="shared" si="7"/>
        <v>0.90619999999999989</v>
      </c>
      <c r="P74" s="15">
        <f t="shared" si="8"/>
        <v>6.0599999999999987E-2</v>
      </c>
    </row>
    <row r="75" spans="1:16" ht="15" customHeight="1" x14ac:dyDescent="0.25">
      <c r="A75" s="3" t="s">
        <v>132</v>
      </c>
      <c r="B75" s="3" t="s">
        <v>125</v>
      </c>
      <c r="C75" s="14">
        <v>0.3</v>
      </c>
      <c r="D75" s="5">
        <v>0.75800000000000001</v>
      </c>
      <c r="E75" s="5">
        <v>0.81499999999999995</v>
      </c>
      <c r="F75" s="5">
        <v>0.72899999999999998</v>
      </c>
      <c r="G75" s="5">
        <v>0.77300000000000002</v>
      </c>
      <c r="H75" s="5">
        <v>0.79400000000000004</v>
      </c>
      <c r="I75" s="6">
        <f t="shared" si="6"/>
        <v>0.77380000000000004</v>
      </c>
      <c r="J75" s="5">
        <v>0.89500000000000002</v>
      </c>
      <c r="K75" s="5">
        <v>0.85399999999999998</v>
      </c>
      <c r="L75" s="5">
        <v>0.85899999999999999</v>
      </c>
      <c r="M75" s="5">
        <v>0.83299999999999996</v>
      </c>
      <c r="N75" s="5">
        <v>0.88800000000000001</v>
      </c>
      <c r="O75" s="6">
        <f t="shared" si="7"/>
        <v>0.8657999999999999</v>
      </c>
      <c r="P75" s="15">
        <f t="shared" si="8"/>
        <v>9.199999999999986E-2</v>
      </c>
    </row>
    <row r="76" spans="1:16" ht="15" customHeight="1" x14ac:dyDescent="0.25">
      <c r="A76" s="3" t="s">
        <v>132</v>
      </c>
      <c r="B76" s="3" t="s">
        <v>125</v>
      </c>
      <c r="C76" s="14">
        <v>0.4</v>
      </c>
      <c r="D76" s="5">
        <v>0.64900000000000002</v>
      </c>
      <c r="E76" s="5">
        <v>0.64500000000000002</v>
      </c>
      <c r="F76" s="5">
        <v>0.65500000000000003</v>
      </c>
      <c r="G76" s="5">
        <v>0.68899999999999995</v>
      </c>
      <c r="H76" s="5">
        <v>0.60399999999999998</v>
      </c>
      <c r="I76" s="6">
        <f t="shared" si="6"/>
        <v>0.64839999999999998</v>
      </c>
      <c r="J76" s="5">
        <v>0.751</v>
      </c>
      <c r="K76" s="5">
        <v>0.72399999999999998</v>
      </c>
      <c r="L76" s="5">
        <v>0.80700000000000005</v>
      </c>
      <c r="M76" s="5">
        <v>0.76800000000000002</v>
      </c>
      <c r="N76" s="5">
        <v>0.77100000000000002</v>
      </c>
      <c r="O76" s="6">
        <f t="shared" si="7"/>
        <v>0.76419999999999999</v>
      </c>
      <c r="P76" s="15">
        <f t="shared" si="8"/>
        <v>0.11580000000000001</v>
      </c>
    </row>
    <row r="77" spans="1:16" ht="15" customHeight="1" x14ac:dyDescent="0.25">
      <c r="A77" s="3" t="s">
        <v>132</v>
      </c>
      <c r="B77" s="3" t="s">
        <v>125</v>
      </c>
      <c r="C77" s="14">
        <v>0.5</v>
      </c>
      <c r="D77" s="5">
        <v>0.52700000000000002</v>
      </c>
      <c r="E77" s="5">
        <v>0.54100000000000004</v>
      </c>
      <c r="F77" s="5">
        <v>0.497</v>
      </c>
      <c r="G77" s="5">
        <v>0.47499999999999998</v>
      </c>
      <c r="H77" s="5">
        <v>0.48699999999999999</v>
      </c>
      <c r="I77" s="6">
        <f t="shared" si="6"/>
        <v>0.50540000000000007</v>
      </c>
      <c r="J77" s="5">
        <v>0.54700000000000004</v>
      </c>
      <c r="K77" s="5">
        <v>0.49399999999999999</v>
      </c>
      <c r="L77" s="5">
        <v>0.53300000000000003</v>
      </c>
      <c r="M77" s="5">
        <v>0.50800000000000001</v>
      </c>
      <c r="N77" s="5">
        <v>0.53900000000000003</v>
      </c>
      <c r="O77" s="6">
        <f t="shared" si="7"/>
        <v>0.5242</v>
      </c>
      <c r="P77" s="15">
        <f t="shared" si="8"/>
        <v>1.8799999999999928E-2</v>
      </c>
    </row>
    <row r="78" spans="1:16" ht="15" customHeight="1" x14ac:dyDescent="0.25">
      <c r="A78" s="3" t="s">
        <v>132</v>
      </c>
      <c r="B78" s="3" t="s">
        <v>126</v>
      </c>
      <c r="C78" s="14">
        <v>0.2</v>
      </c>
      <c r="D78" s="5">
        <v>0.875</v>
      </c>
      <c r="E78" s="5">
        <v>0.88400000000000001</v>
      </c>
      <c r="F78" s="5">
        <v>0.86799999999999999</v>
      </c>
      <c r="G78" s="5">
        <v>0.88400000000000001</v>
      </c>
      <c r="H78" s="5">
        <v>0.89800000000000002</v>
      </c>
      <c r="I78" s="6">
        <f t="shared" si="6"/>
        <v>0.88179999999999992</v>
      </c>
      <c r="J78" s="5">
        <v>0.89800000000000002</v>
      </c>
      <c r="K78" s="5">
        <v>0.9</v>
      </c>
      <c r="L78" s="5">
        <v>0.88600000000000001</v>
      </c>
      <c r="M78" s="5">
        <v>0.90900000000000003</v>
      </c>
      <c r="N78" s="5">
        <v>0.90700000000000003</v>
      </c>
      <c r="O78" s="6">
        <f t="shared" si="7"/>
        <v>0.9</v>
      </c>
      <c r="P78" s="15">
        <f t="shared" si="8"/>
        <v>1.8200000000000105E-2</v>
      </c>
    </row>
    <row r="79" spans="1:16" ht="15" customHeight="1" x14ac:dyDescent="0.25">
      <c r="A79" s="3" t="s">
        <v>132</v>
      </c>
      <c r="B79" s="3" t="s">
        <v>126</v>
      </c>
      <c r="C79" s="14">
        <v>0.3</v>
      </c>
      <c r="D79" s="5">
        <v>0.84699999999999998</v>
      </c>
      <c r="E79" s="5">
        <v>0.85899999999999999</v>
      </c>
      <c r="F79" s="5">
        <v>0.84699999999999998</v>
      </c>
      <c r="G79" s="5">
        <v>0.81699999999999995</v>
      </c>
      <c r="H79" s="5">
        <v>0.86099999999999999</v>
      </c>
      <c r="I79" s="6">
        <f t="shared" si="6"/>
        <v>0.84619999999999995</v>
      </c>
      <c r="J79" s="5">
        <v>0.86799999999999999</v>
      </c>
      <c r="K79" s="5">
        <v>0.87</v>
      </c>
      <c r="L79" s="5">
        <v>0.89100000000000001</v>
      </c>
      <c r="M79" s="5">
        <v>0.86799999999999999</v>
      </c>
      <c r="N79" s="5">
        <v>0.85799999999999998</v>
      </c>
      <c r="O79" s="6">
        <f t="shared" si="7"/>
        <v>0.87099999999999989</v>
      </c>
      <c r="P79" s="15">
        <f t="shared" si="8"/>
        <v>2.4799999999999933E-2</v>
      </c>
    </row>
    <row r="80" spans="1:16" ht="15" customHeight="1" x14ac:dyDescent="0.25">
      <c r="A80" s="3" t="s">
        <v>132</v>
      </c>
      <c r="B80" s="3" t="s">
        <v>126</v>
      </c>
      <c r="C80" s="14">
        <v>0.4</v>
      </c>
      <c r="D80" s="5">
        <v>0.82199999999999995</v>
      </c>
      <c r="E80" s="5">
        <v>0.81699999999999995</v>
      </c>
      <c r="F80" s="5">
        <v>0.82199999999999995</v>
      </c>
      <c r="G80" s="5">
        <v>0.78400000000000003</v>
      </c>
      <c r="H80" s="5">
        <v>0.80500000000000005</v>
      </c>
      <c r="I80" s="6">
        <f t="shared" si="6"/>
        <v>0.80999999999999994</v>
      </c>
      <c r="J80" s="5">
        <v>0.83</v>
      </c>
      <c r="K80" s="5">
        <v>0.83299999999999996</v>
      </c>
      <c r="L80" s="5">
        <v>0.79800000000000004</v>
      </c>
      <c r="M80" s="5">
        <v>0.81699999999999995</v>
      </c>
      <c r="N80" s="5">
        <v>0.81899999999999995</v>
      </c>
      <c r="O80" s="6">
        <f t="shared" si="7"/>
        <v>0.81939999999999991</v>
      </c>
      <c r="P80" s="15">
        <f t="shared" si="8"/>
        <v>9.3999999999999639E-3</v>
      </c>
    </row>
    <row r="81" spans="1:16" ht="15" customHeight="1" x14ac:dyDescent="0.25">
      <c r="A81" s="3" t="s">
        <v>132</v>
      </c>
      <c r="B81" s="3" t="s">
        <v>126</v>
      </c>
      <c r="C81" s="14">
        <v>0.5</v>
      </c>
      <c r="D81" s="5">
        <v>0.749</v>
      </c>
      <c r="E81" s="5">
        <v>0.73499999999999999</v>
      </c>
      <c r="F81" s="5">
        <v>0.749</v>
      </c>
      <c r="G81" s="5">
        <v>0.75900000000000001</v>
      </c>
      <c r="H81" s="5">
        <v>0.754</v>
      </c>
      <c r="I81" s="6">
        <f t="shared" si="6"/>
        <v>0.74919999999999998</v>
      </c>
      <c r="J81" s="5">
        <v>0.77200000000000002</v>
      </c>
      <c r="K81" s="5">
        <v>0.78600000000000003</v>
      </c>
      <c r="L81" s="5">
        <v>0.74</v>
      </c>
      <c r="M81" s="5">
        <v>0.76500000000000001</v>
      </c>
      <c r="N81" s="5">
        <v>0.75900000000000001</v>
      </c>
      <c r="O81" s="6">
        <f t="shared" si="7"/>
        <v>0.76439999999999997</v>
      </c>
      <c r="P81" s="15">
        <f t="shared" si="8"/>
        <v>1.5199999999999991E-2</v>
      </c>
    </row>
    <row r="82" spans="1:16" ht="15" customHeight="1" x14ac:dyDescent="0.25">
      <c r="A82" s="3" t="s">
        <v>132</v>
      </c>
      <c r="B82" s="3" t="s">
        <v>127</v>
      </c>
      <c r="C82" s="14">
        <v>0.2</v>
      </c>
      <c r="D82" s="5">
        <v>0.83699999999999997</v>
      </c>
      <c r="E82" s="5">
        <v>0.84499999999999997</v>
      </c>
      <c r="F82" s="5">
        <v>0.83799999999999997</v>
      </c>
      <c r="G82" s="5">
        <v>0.84499999999999997</v>
      </c>
      <c r="H82" s="5">
        <v>0.83499999999999996</v>
      </c>
      <c r="I82" s="6">
        <f t="shared" si="6"/>
        <v>0.84000000000000008</v>
      </c>
      <c r="J82" s="5">
        <v>0.90500000000000003</v>
      </c>
      <c r="K82" s="5">
        <v>0.89100000000000001</v>
      </c>
      <c r="L82" s="5">
        <v>0.9</v>
      </c>
      <c r="M82" s="5">
        <v>0.90900000000000003</v>
      </c>
      <c r="N82" s="5">
        <v>0.89600000000000002</v>
      </c>
      <c r="O82" s="6">
        <f t="shared" si="7"/>
        <v>0.90020000000000011</v>
      </c>
      <c r="P82" s="15">
        <f t="shared" si="8"/>
        <v>6.0200000000000031E-2</v>
      </c>
    </row>
    <row r="83" spans="1:16" ht="15" customHeight="1" x14ac:dyDescent="0.25">
      <c r="A83" s="3" t="s">
        <v>132</v>
      </c>
      <c r="B83" s="3" t="s">
        <v>127</v>
      </c>
      <c r="C83" s="14">
        <v>0.3</v>
      </c>
      <c r="D83" s="5">
        <v>0.78900000000000003</v>
      </c>
      <c r="E83" s="5">
        <v>0.80100000000000005</v>
      </c>
      <c r="F83" s="5">
        <v>0.80800000000000005</v>
      </c>
      <c r="G83" s="5">
        <v>0.80300000000000005</v>
      </c>
      <c r="H83" s="5">
        <v>0.80700000000000005</v>
      </c>
      <c r="I83" s="6">
        <f t="shared" si="6"/>
        <v>0.80159999999999998</v>
      </c>
      <c r="J83" s="5">
        <v>0.85799999999999998</v>
      </c>
      <c r="K83" s="5">
        <v>0.86799999999999999</v>
      </c>
      <c r="L83" s="5">
        <v>0.85799999999999998</v>
      </c>
      <c r="M83" s="5">
        <v>0.82599999999999996</v>
      </c>
      <c r="N83" s="5">
        <v>0.83799999999999997</v>
      </c>
      <c r="O83" s="6">
        <f t="shared" si="7"/>
        <v>0.84960000000000002</v>
      </c>
      <c r="P83" s="15">
        <f t="shared" si="8"/>
        <v>4.8000000000000043E-2</v>
      </c>
    </row>
    <row r="84" spans="1:16" ht="15" customHeight="1" x14ac:dyDescent="0.25">
      <c r="A84" s="3" t="s">
        <v>132</v>
      </c>
      <c r="B84" s="3" t="s">
        <v>127</v>
      </c>
      <c r="C84" s="14">
        <v>0.4</v>
      </c>
      <c r="D84" s="5">
        <v>0.70599999999999996</v>
      </c>
      <c r="E84" s="5">
        <v>0.69599999999999995</v>
      </c>
      <c r="F84" s="5">
        <v>0.65400000000000003</v>
      </c>
      <c r="G84" s="5">
        <v>0.69399999999999995</v>
      </c>
      <c r="H84" s="5">
        <v>0.69799999999999995</v>
      </c>
      <c r="I84" s="6">
        <f t="shared" si="6"/>
        <v>0.68959999999999999</v>
      </c>
      <c r="J84" s="5">
        <v>0.71299999999999997</v>
      </c>
      <c r="K84" s="5">
        <v>0.68500000000000005</v>
      </c>
      <c r="L84" s="5">
        <v>0.71699999999999997</v>
      </c>
      <c r="M84" s="5">
        <v>0.70099999999999996</v>
      </c>
      <c r="N84" s="5">
        <v>0.68500000000000005</v>
      </c>
      <c r="O84" s="6">
        <f t="shared" si="7"/>
        <v>0.70020000000000004</v>
      </c>
      <c r="P84" s="15">
        <f t="shared" si="8"/>
        <v>1.0600000000000054E-2</v>
      </c>
    </row>
    <row r="85" spans="1:16" ht="15" customHeight="1" x14ac:dyDescent="0.25">
      <c r="A85" s="3" t="s">
        <v>132</v>
      </c>
      <c r="B85" s="3" t="s">
        <v>127</v>
      </c>
      <c r="C85" s="14">
        <v>0.5</v>
      </c>
      <c r="D85" s="5">
        <v>0.499</v>
      </c>
      <c r="E85" s="5">
        <v>0.52900000000000003</v>
      </c>
      <c r="F85" s="5">
        <v>0.52600000000000002</v>
      </c>
      <c r="G85" s="5">
        <v>0.505</v>
      </c>
      <c r="H85" s="5">
        <v>0.48199999999999998</v>
      </c>
      <c r="I85" s="6">
        <f t="shared" si="6"/>
        <v>0.5082000000000001</v>
      </c>
      <c r="J85" s="5">
        <v>0.52</v>
      </c>
      <c r="K85" s="5">
        <v>0.45800000000000002</v>
      </c>
      <c r="L85" s="5">
        <v>0.51500000000000001</v>
      </c>
      <c r="M85" s="5">
        <v>0.54300000000000004</v>
      </c>
      <c r="N85" s="5">
        <v>0.55500000000000005</v>
      </c>
      <c r="O85" s="6">
        <f t="shared" si="7"/>
        <v>0.51819999999999999</v>
      </c>
      <c r="P85" s="15">
        <f t="shared" si="8"/>
        <v>9.9999999999998979E-3</v>
      </c>
    </row>
    <row r="86" spans="1:16" ht="15" customHeight="1" x14ac:dyDescent="0.25">
      <c r="A86" s="3" t="s">
        <v>132</v>
      </c>
      <c r="B86" s="3" t="s">
        <v>128</v>
      </c>
      <c r="C86" s="14">
        <v>0.2</v>
      </c>
      <c r="D86" s="5">
        <v>0.78900000000000003</v>
      </c>
      <c r="E86" s="5">
        <v>0.77900000000000003</v>
      </c>
      <c r="F86" s="5">
        <v>0.76600000000000001</v>
      </c>
      <c r="G86" s="5">
        <v>0.81399999999999995</v>
      </c>
      <c r="H86" s="5">
        <v>0.83</v>
      </c>
      <c r="I86" s="6">
        <f t="shared" si="6"/>
        <v>0.79560000000000008</v>
      </c>
      <c r="J86" s="5">
        <v>0.84</v>
      </c>
      <c r="K86" s="5">
        <v>0.84499999999999997</v>
      </c>
      <c r="L86" s="5">
        <v>0.81399999999999995</v>
      </c>
      <c r="M86" s="5">
        <v>0.85199999999999998</v>
      </c>
      <c r="N86" s="5">
        <v>0.85099999999999998</v>
      </c>
      <c r="O86" s="6">
        <f t="shared" si="7"/>
        <v>0.84040000000000004</v>
      </c>
      <c r="P86" s="15">
        <f t="shared" si="8"/>
        <v>4.4799999999999951E-2</v>
      </c>
    </row>
    <row r="87" spans="1:16" ht="15" customHeight="1" x14ac:dyDescent="0.25">
      <c r="A87" s="3" t="s">
        <v>132</v>
      </c>
      <c r="B87" s="3" t="s">
        <v>128</v>
      </c>
      <c r="C87" s="14">
        <v>0.3</v>
      </c>
      <c r="D87" s="5">
        <v>0.754</v>
      </c>
      <c r="E87" s="5">
        <v>0.71499999999999997</v>
      </c>
      <c r="F87" s="5">
        <v>0.71</v>
      </c>
      <c r="G87" s="5">
        <v>0.70599999999999996</v>
      </c>
      <c r="H87" s="5">
        <v>0.76800000000000002</v>
      </c>
      <c r="I87" s="6">
        <f t="shared" si="6"/>
        <v>0.73059999999999992</v>
      </c>
      <c r="J87" s="5">
        <v>0.79100000000000004</v>
      </c>
      <c r="K87" s="5">
        <v>0.77900000000000003</v>
      </c>
      <c r="L87" s="5">
        <v>0.79600000000000004</v>
      </c>
      <c r="M87" s="5">
        <v>0.80700000000000005</v>
      </c>
      <c r="N87" s="5">
        <v>0.78900000000000003</v>
      </c>
      <c r="O87" s="6">
        <f t="shared" si="7"/>
        <v>0.79239999999999999</v>
      </c>
      <c r="P87" s="15">
        <f t="shared" si="8"/>
        <v>6.1800000000000077E-2</v>
      </c>
    </row>
    <row r="88" spans="1:16" ht="15" customHeight="1" x14ac:dyDescent="0.25">
      <c r="A88" s="3" t="s">
        <v>132</v>
      </c>
      <c r="B88" s="3" t="s">
        <v>128</v>
      </c>
      <c r="C88" s="14">
        <v>0.4</v>
      </c>
      <c r="D88" s="5">
        <v>0.64</v>
      </c>
      <c r="E88" s="5">
        <v>0.69799999999999995</v>
      </c>
      <c r="F88" s="5">
        <v>0.64700000000000002</v>
      </c>
      <c r="G88" s="5">
        <v>0.63500000000000001</v>
      </c>
      <c r="H88" s="5">
        <v>0.622</v>
      </c>
      <c r="I88" s="6">
        <f t="shared" si="6"/>
        <v>0.64839999999999998</v>
      </c>
      <c r="J88" s="5">
        <v>0.69199999999999995</v>
      </c>
      <c r="K88" s="5">
        <v>0.71199999999999997</v>
      </c>
      <c r="L88" s="5">
        <v>0.74</v>
      </c>
      <c r="M88" s="5">
        <v>0.70499999999999996</v>
      </c>
      <c r="N88" s="5">
        <v>0.72199999999999998</v>
      </c>
      <c r="O88" s="6">
        <f t="shared" si="7"/>
        <v>0.71420000000000006</v>
      </c>
      <c r="P88" s="15">
        <f t="shared" si="8"/>
        <v>6.5800000000000081E-2</v>
      </c>
    </row>
    <row r="89" spans="1:16" ht="15" customHeight="1" x14ac:dyDescent="0.25">
      <c r="A89" s="3" t="s">
        <v>132</v>
      </c>
      <c r="B89" s="3" t="s">
        <v>128</v>
      </c>
      <c r="C89" s="14">
        <v>0.5</v>
      </c>
      <c r="D89" s="5">
        <v>0.46</v>
      </c>
      <c r="E89" s="5">
        <v>0.53600000000000003</v>
      </c>
      <c r="F89" s="5">
        <v>0.56200000000000006</v>
      </c>
      <c r="G89" s="5">
        <v>0.496</v>
      </c>
      <c r="H89" s="5">
        <v>0.45300000000000001</v>
      </c>
      <c r="I89" s="6">
        <f t="shared" si="6"/>
        <v>0.50140000000000007</v>
      </c>
      <c r="J89" s="5">
        <v>0.41799999999999998</v>
      </c>
      <c r="K89" s="5">
        <v>0.45</v>
      </c>
      <c r="L89" s="5">
        <v>0.49199999999999999</v>
      </c>
      <c r="M89" s="5">
        <v>0.44500000000000001</v>
      </c>
      <c r="N89" s="5">
        <v>0.51300000000000001</v>
      </c>
      <c r="O89" s="6">
        <f t="shared" si="7"/>
        <v>0.46360000000000001</v>
      </c>
      <c r="P89" s="15">
        <f t="shared" si="8"/>
        <v>-3.7800000000000056E-2</v>
      </c>
    </row>
    <row r="90" spans="1:16" ht="15" customHeight="1" x14ac:dyDescent="0.25">
      <c r="A90" s="3" t="s">
        <v>133</v>
      </c>
      <c r="B90" s="3" t="s">
        <v>124</v>
      </c>
      <c r="C90" s="14">
        <v>0</v>
      </c>
      <c r="D90" s="5">
        <v>0.72599999999999998</v>
      </c>
      <c r="E90" s="5">
        <v>0.73299999999999998</v>
      </c>
      <c r="F90" s="5">
        <v>0.72499999999999998</v>
      </c>
      <c r="G90" s="5">
        <v>0.72099999999999997</v>
      </c>
      <c r="H90" s="5">
        <v>0.71599999999999997</v>
      </c>
      <c r="I90" s="6">
        <f t="shared" si="6"/>
        <v>0.72420000000000007</v>
      </c>
      <c r="J90" s="5">
        <v>0.71399999999999997</v>
      </c>
      <c r="K90" s="5">
        <v>0.72799999999999998</v>
      </c>
      <c r="L90" s="5">
        <v>0.72699999999999998</v>
      </c>
      <c r="M90" s="5">
        <v>0.71699999999999997</v>
      </c>
      <c r="N90" s="5">
        <v>0.72599999999999998</v>
      </c>
      <c r="O90" s="6">
        <f t="shared" si="7"/>
        <v>0.72240000000000004</v>
      </c>
      <c r="P90" s="15">
        <f t="shared" si="8"/>
        <v>-1.8000000000000238E-3</v>
      </c>
    </row>
    <row r="91" spans="1:16" ht="15" customHeight="1" x14ac:dyDescent="0.25">
      <c r="A91" s="3" t="s">
        <v>133</v>
      </c>
      <c r="B91" s="3" t="s">
        <v>125</v>
      </c>
      <c r="C91" s="14">
        <v>0.2</v>
      </c>
      <c r="D91" s="5">
        <v>0.69599999999999995</v>
      </c>
      <c r="E91" s="5">
        <v>0.69599999999999995</v>
      </c>
      <c r="F91" s="5">
        <v>0.69399999999999995</v>
      </c>
      <c r="G91" s="5">
        <v>0.67900000000000005</v>
      </c>
      <c r="H91" s="5">
        <v>0.67300000000000004</v>
      </c>
      <c r="I91" s="6">
        <f t="shared" si="6"/>
        <v>0.68759999999999999</v>
      </c>
      <c r="J91" s="5">
        <v>0.67500000000000004</v>
      </c>
      <c r="K91" s="5">
        <v>0.68600000000000005</v>
      </c>
      <c r="L91" s="5">
        <v>0.66300000000000003</v>
      </c>
      <c r="M91" s="5">
        <v>0.68600000000000005</v>
      </c>
      <c r="N91" s="5">
        <v>0.65600000000000003</v>
      </c>
      <c r="O91" s="6">
        <f t="shared" si="7"/>
        <v>0.67320000000000002</v>
      </c>
      <c r="P91" s="15">
        <f t="shared" si="8"/>
        <v>-1.4399999999999968E-2</v>
      </c>
    </row>
    <row r="92" spans="1:16" ht="15" customHeight="1" x14ac:dyDescent="0.25">
      <c r="A92" s="3" t="s">
        <v>133</v>
      </c>
      <c r="B92" s="3" t="s">
        <v>125</v>
      </c>
      <c r="C92" s="14">
        <v>0.3</v>
      </c>
      <c r="D92" s="5">
        <v>0.64700000000000002</v>
      </c>
      <c r="E92" s="5">
        <v>0.65100000000000002</v>
      </c>
      <c r="F92" s="5">
        <v>0.65100000000000002</v>
      </c>
      <c r="G92" s="5">
        <v>0.61099999999999999</v>
      </c>
      <c r="H92" s="5">
        <v>0.65700000000000003</v>
      </c>
      <c r="I92" s="6">
        <f t="shared" si="6"/>
        <v>0.64339999999999997</v>
      </c>
      <c r="J92" s="5">
        <v>0.65</v>
      </c>
      <c r="K92" s="5">
        <v>0.65800000000000003</v>
      </c>
      <c r="L92" s="5">
        <v>0.63300000000000001</v>
      </c>
      <c r="M92" s="5">
        <v>0.61099999999999999</v>
      </c>
      <c r="N92" s="5">
        <v>0.622</v>
      </c>
      <c r="O92" s="6">
        <f t="shared" si="7"/>
        <v>0.63480000000000003</v>
      </c>
      <c r="P92" s="15">
        <f t="shared" si="8"/>
        <v>-8.599999999999941E-3</v>
      </c>
    </row>
    <row r="93" spans="1:16" ht="15" customHeight="1" x14ac:dyDescent="0.25">
      <c r="A93" s="3" t="s">
        <v>133</v>
      </c>
      <c r="B93" s="3" t="s">
        <v>125</v>
      </c>
      <c r="C93" s="14">
        <v>0.4</v>
      </c>
      <c r="D93" s="5">
        <v>0.59399999999999997</v>
      </c>
      <c r="E93" s="5">
        <v>0.57699999999999996</v>
      </c>
      <c r="F93" s="5">
        <v>0.61799999999999999</v>
      </c>
      <c r="G93" s="5">
        <v>0.57299999999999995</v>
      </c>
      <c r="H93" s="5">
        <v>0.55600000000000005</v>
      </c>
      <c r="I93" s="6">
        <f t="shared" si="6"/>
        <v>0.5835999999999999</v>
      </c>
      <c r="J93" s="5">
        <v>0.57999999999999996</v>
      </c>
      <c r="K93" s="5">
        <v>0.57099999999999995</v>
      </c>
      <c r="L93" s="5">
        <v>0.58299999999999996</v>
      </c>
      <c r="M93" s="5">
        <v>0.58199999999999996</v>
      </c>
      <c r="N93" s="5">
        <v>0.52</v>
      </c>
      <c r="O93" s="6">
        <f t="shared" si="7"/>
        <v>0.56719999999999993</v>
      </c>
      <c r="P93" s="15">
        <f t="shared" si="8"/>
        <v>-1.639999999999997E-2</v>
      </c>
    </row>
    <row r="94" spans="1:16" ht="15" customHeight="1" x14ac:dyDescent="0.25">
      <c r="A94" s="3" t="s">
        <v>133</v>
      </c>
      <c r="B94" s="3" t="s">
        <v>125</v>
      </c>
      <c r="C94" s="14">
        <v>0.5</v>
      </c>
      <c r="D94" s="5">
        <v>0.49199999999999999</v>
      </c>
      <c r="E94" s="5">
        <v>0.56000000000000005</v>
      </c>
      <c r="F94" s="5">
        <v>0.51</v>
      </c>
      <c r="G94" s="5">
        <v>0.47299999999999998</v>
      </c>
      <c r="H94" s="5">
        <v>0.496</v>
      </c>
      <c r="I94" s="6">
        <f t="shared" si="6"/>
        <v>0.50619999999999998</v>
      </c>
      <c r="J94" s="5">
        <v>0.48599999999999999</v>
      </c>
      <c r="K94" s="5">
        <v>0.52700000000000002</v>
      </c>
      <c r="L94" s="5">
        <v>0.51100000000000001</v>
      </c>
      <c r="M94" s="5">
        <v>0.48399999999999999</v>
      </c>
      <c r="N94" s="5">
        <v>0.48</v>
      </c>
      <c r="O94" s="6">
        <f t="shared" si="7"/>
        <v>0.49759999999999999</v>
      </c>
      <c r="P94" s="15">
        <f t="shared" si="8"/>
        <v>-8.5999999999999965E-3</v>
      </c>
    </row>
    <row r="95" spans="1:16" ht="15" customHeight="1" x14ac:dyDescent="0.25">
      <c r="A95" s="3" t="s">
        <v>133</v>
      </c>
      <c r="B95" s="3" t="s">
        <v>126</v>
      </c>
      <c r="C95" s="14">
        <v>0.2</v>
      </c>
      <c r="D95" s="5">
        <v>0.70899999999999996</v>
      </c>
      <c r="E95" s="5">
        <v>0.72699999999999998</v>
      </c>
      <c r="F95" s="5">
        <v>0.73499999999999999</v>
      </c>
      <c r="G95" s="5">
        <v>0.72299999999999998</v>
      </c>
      <c r="H95" s="5">
        <v>0.71199999999999997</v>
      </c>
      <c r="I95" s="6">
        <f t="shared" si="6"/>
        <v>0.72119999999999995</v>
      </c>
      <c r="J95" s="5">
        <v>0.71599999999999997</v>
      </c>
      <c r="K95" s="5">
        <v>0.72099999999999997</v>
      </c>
      <c r="L95" s="5">
        <v>0.73199999999999998</v>
      </c>
      <c r="M95" s="5">
        <v>0.70799999999999996</v>
      </c>
      <c r="N95" s="5">
        <v>0.72299999999999998</v>
      </c>
      <c r="O95" s="6">
        <f t="shared" si="7"/>
        <v>0.72</v>
      </c>
      <c r="P95" s="15">
        <f t="shared" si="8"/>
        <v>-1.1999999999999789E-3</v>
      </c>
    </row>
    <row r="96" spans="1:16" ht="15" customHeight="1" x14ac:dyDescent="0.25">
      <c r="A96" s="3" t="s">
        <v>133</v>
      </c>
      <c r="B96" s="3" t="s">
        <v>126</v>
      </c>
      <c r="C96" s="14">
        <v>0.3</v>
      </c>
      <c r="D96" s="5">
        <v>0.71599999999999997</v>
      </c>
      <c r="E96" s="5">
        <v>0.72199999999999998</v>
      </c>
      <c r="F96" s="5">
        <v>0.72099999999999997</v>
      </c>
      <c r="G96" s="5">
        <v>0.71699999999999997</v>
      </c>
      <c r="H96" s="5">
        <v>0.70799999999999996</v>
      </c>
      <c r="I96" s="6">
        <f t="shared" si="6"/>
        <v>0.71679999999999988</v>
      </c>
      <c r="J96" s="5">
        <v>0.72699999999999998</v>
      </c>
      <c r="K96" s="5">
        <v>0.70399999999999996</v>
      </c>
      <c r="L96" s="5">
        <v>0.71599999999999997</v>
      </c>
      <c r="M96" s="5">
        <v>0.71399999999999997</v>
      </c>
      <c r="N96" s="5">
        <v>0.72</v>
      </c>
      <c r="O96" s="6">
        <f t="shared" si="7"/>
        <v>0.71620000000000006</v>
      </c>
      <c r="P96" s="15">
        <f t="shared" si="8"/>
        <v>-5.999999999998229E-4</v>
      </c>
    </row>
    <row r="97" spans="1:16" ht="15" customHeight="1" x14ac:dyDescent="0.25">
      <c r="A97" s="3" t="s">
        <v>133</v>
      </c>
      <c r="B97" s="3" t="s">
        <v>126</v>
      </c>
      <c r="C97" s="14">
        <v>0.4</v>
      </c>
      <c r="D97" s="5">
        <v>0.71499999999999997</v>
      </c>
      <c r="E97" s="5">
        <v>0.71</v>
      </c>
      <c r="F97" s="5">
        <v>0.70699999999999996</v>
      </c>
      <c r="G97" s="5">
        <v>0.70499999999999996</v>
      </c>
      <c r="H97" s="5">
        <v>0.70899999999999996</v>
      </c>
      <c r="I97" s="6">
        <f t="shared" si="6"/>
        <v>0.70919999999999994</v>
      </c>
      <c r="J97" s="5">
        <v>0.71799999999999997</v>
      </c>
      <c r="K97" s="5">
        <v>0.71799999999999997</v>
      </c>
      <c r="L97" s="5">
        <v>0.71399999999999997</v>
      </c>
      <c r="M97" s="5">
        <v>0.69599999999999995</v>
      </c>
      <c r="N97" s="5">
        <v>0.70799999999999996</v>
      </c>
      <c r="O97" s="6">
        <f t="shared" si="7"/>
        <v>0.7108000000000001</v>
      </c>
      <c r="P97" s="15">
        <f t="shared" si="8"/>
        <v>1.6000000000001569E-3</v>
      </c>
    </row>
    <row r="98" spans="1:16" ht="15" customHeight="1" x14ac:dyDescent="0.25">
      <c r="A98" s="3" t="s">
        <v>133</v>
      </c>
      <c r="B98" s="3" t="s">
        <v>126</v>
      </c>
      <c r="C98" s="14">
        <v>0.5</v>
      </c>
      <c r="D98" s="5">
        <v>0.71099999999999997</v>
      </c>
      <c r="E98" s="5">
        <v>0.72099999999999997</v>
      </c>
      <c r="F98" s="5">
        <v>0.71099999999999997</v>
      </c>
      <c r="G98" s="5">
        <v>0.70599999999999996</v>
      </c>
      <c r="H98" s="5">
        <v>0.70199999999999996</v>
      </c>
      <c r="I98" s="6">
        <f t="shared" si="6"/>
        <v>0.71019999999999994</v>
      </c>
      <c r="J98" s="5">
        <v>0.70399999999999996</v>
      </c>
      <c r="K98" s="5">
        <v>0.71199999999999997</v>
      </c>
      <c r="L98" s="5">
        <v>0.71499999999999997</v>
      </c>
      <c r="M98" s="5">
        <v>0.71099999999999997</v>
      </c>
      <c r="N98" s="5">
        <v>0.71799999999999997</v>
      </c>
      <c r="O98" s="6">
        <f t="shared" si="7"/>
        <v>0.71199999999999997</v>
      </c>
      <c r="P98" s="15">
        <f t="shared" si="8"/>
        <v>1.8000000000000238E-3</v>
      </c>
    </row>
    <row r="99" spans="1:16" ht="15" customHeight="1" x14ac:dyDescent="0.25">
      <c r="A99" s="3" t="s">
        <v>133</v>
      </c>
      <c r="B99" s="3" t="s">
        <v>127</v>
      </c>
      <c r="C99" s="14">
        <v>0.2</v>
      </c>
      <c r="D99" s="5">
        <v>0.72</v>
      </c>
      <c r="E99" s="5">
        <v>0.72</v>
      </c>
      <c r="F99" s="5">
        <v>0.70799999999999996</v>
      </c>
      <c r="G99" s="5">
        <v>0.71</v>
      </c>
      <c r="H99" s="5">
        <v>0.69499999999999995</v>
      </c>
      <c r="I99" s="6">
        <f t="shared" si="6"/>
        <v>0.7105999999999999</v>
      </c>
      <c r="J99" s="5">
        <v>0.71699999999999997</v>
      </c>
      <c r="K99" s="5">
        <v>0.72099999999999997</v>
      </c>
      <c r="L99" s="5">
        <v>0.71</v>
      </c>
      <c r="M99" s="5">
        <v>0.70299999999999996</v>
      </c>
      <c r="N99" s="5">
        <v>0.69</v>
      </c>
      <c r="O99" s="6">
        <f t="shared" si="7"/>
        <v>0.70819999999999994</v>
      </c>
      <c r="P99" s="15">
        <f t="shared" si="8"/>
        <v>-2.3999999999999577E-3</v>
      </c>
    </row>
    <row r="100" spans="1:16" ht="15" customHeight="1" x14ac:dyDescent="0.25">
      <c r="A100" s="3" t="s">
        <v>133</v>
      </c>
      <c r="B100" s="3" t="s">
        <v>127</v>
      </c>
      <c r="C100" s="14">
        <v>0.3</v>
      </c>
      <c r="D100" s="5">
        <v>0.69799999999999995</v>
      </c>
      <c r="E100" s="5">
        <v>0.69899999999999995</v>
      </c>
      <c r="F100" s="5">
        <v>0.69799999999999995</v>
      </c>
      <c r="G100" s="5">
        <v>0.69399999999999995</v>
      </c>
      <c r="H100" s="5">
        <v>0.7</v>
      </c>
      <c r="I100" s="6">
        <f t="shared" si="6"/>
        <v>0.69779999999999998</v>
      </c>
      <c r="J100" s="5">
        <v>0.69099999999999995</v>
      </c>
      <c r="K100" s="5">
        <v>0.69299999999999995</v>
      </c>
      <c r="L100" s="5">
        <v>0.7</v>
      </c>
      <c r="M100" s="5">
        <v>0.69199999999999995</v>
      </c>
      <c r="N100" s="5">
        <v>0.71399999999999997</v>
      </c>
      <c r="O100" s="6">
        <f t="shared" si="7"/>
        <v>0.69799999999999995</v>
      </c>
      <c r="P100" s="15">
        <f t="shared" si="8"/>
        <v>1.9999999999997797E-4</v>
      </c>
    </row>
    <row r="101" spans="1:16" ht="15" customHeight="1" x14ac:dyDescent="0.25">
      <c r="A101" s="3" t="s">
        <v>133</v>
      </c>
      <c r="B101" s="3" t="s">
        <v>127</v>
      </c>
      <c r="C101" s="14">
        <v>0.4</v>
      </c>
      <c r="D101" s="5">
        <v>0.70199999999999996</v>
      </c>
      <c r="E101" s="5">
        <v>0.67900000000000005</v>
      </c>
      <c r="F101" s="5">
        <v>0.69</v>
      </c>
      <c r="G101" s="5">
        <v>0.68300000000000005</v>
      </c>
      <c r="H101" s="5">
        <v>0.67100000000000004</v>
      </c>
      <c r="I101" s="6">
        <f t="shared" ref="I101:I132" si="9">IFERROR(AVERAGE(D101:H101),"-")</f>
        <v>0.68499999999999994</v>
      </c>
      <c r="J101" s="5">
        <v>0.69299999999999995</v>
      </c>
      <c r="K101" s="5">
        <v>0.66500000000000004</v>
      </c>
      <c r="L101" s="5">
        <v>0.69099999999999995</v>
      </c>
      <c r="M101" s="5">
        <v>0.67100000000000004</v>
      </c>
      <c r="N101" s="5">
        <v>0.65200000000000002</v>
      </c>
      <c r="O101" s="6">
        <f t="shared" ref="O101:O132" si="10">IFERROR(AVERAGE(J101:N101),"-")</f>
        <v>0.6744</v>
      </c>
      <c r="P101" s="15">
        <f t="shared" ref="P101:P132" si="11">IFERROR(O101-I101,"-")</f>
        <v>-1.0599999999999943E-2</v>
      </c>
    </row>
    <row r="102" spans="1:16" ht="15" customHeight="1" x14ac:dyDescent="0.25">
      <c r="A102" s="3" t="s">
        <v>133</v>
      </c>
      <c r="B102" s="3" t="s">
        <v>127</v>
      </c>
      <c r="C102" s="14">
        <v>0.5</v>
      </c>
      <c r="D102" s="5">
        <v>0.48699999999999999</v>
      </c>
      <c r="E102" s="5">
        <v>0.50700000000000001</v>
      </c>
      <c r="F102" s="5">
        <v>0.48</v>
      </c>
      <c r="G102" s="5">
        <v>0.51400000000000001</v>
      </c>
      <c r="H102" s="5">
        <v>0.47299999999999998</v>
      </c>
      <c r="I102" s="6">
        <f t="shared" si="9"/>
        <v>0.49219999999999997</v>
      </c>
      <c r="J102" s="5">
        <v>0.499</v>
      </c>
      <c r="K102" s="5">
        <v>0.50800000000000001</v>
      </c>
      <c r="L102" s="5">
        <v>0.47299999999999998</v>
      </c>
      <c r="M102" s="5">
        <v>0.51500000000000001</v>
      </c>
      <c r="N102" s="5">
        <v>0.46500000000000002</v>
      </c>
      <c r="O102" s="6">
        <f t="shared" si="10"/>
        <v>0.49199999999999999</v>
      </c>
      <c r="P102" s="15">
        <f t="shared" si="11"/>
        <v>-1.9999999999997797E-4</v>
      </c>
    </row>
    <row r="103" spans="1:16" ht="15" customHeight="1" x14ac:dyDescent="0.25">
      <c r="A103" s="3" t="s">
        <v>133</v>
      </c>
      <c r="B103" s="3" t="s">
        <v>128</v>
      </c>
      <c r="C103" s="14">
        <v>0.2</v>
      </c>
      <c r="D103" s="5">
        <v>0.68100000000000005</v>
      </c>
      <c r="E103" s="5">
        <v>0.70099999999999996</v>
      </c>
      <c r="F103" s="5">
        <v>0.68500000000000005</v>
      </c>
      <c r="G103" s="5">
        <v>0.68899999999999995</v>
      </c>
      <c r="H103" s="5">
        <v>0.68799999999999994</v>
      </c>
      <c r="I103" s="6">
        <f t="shared" si="9"/>
        <v>0.68879999999999997</v>
      </c>
      <c r="J103" s="5">
        <v>0.66</v>
      </c>
      <c r="K103" s="5">
        <v>0.69199999999999995</v>
      </c>
      <c r="L103" s="5">
        <v>0.68500000000000005</v>
      </c>
      <c r="M103" s="5">
        <v>0.67</v>
      </c>
      <c r="N103" s="5">
        <v>0.67600000000000005</v>
      </c>
      <c r="O103" s="6">
        <f t="shared" si="10"/>
        <v>0.67659999999999998</v>
      </c>
      <c r="P103" s="15">
        <f t="shared" si="11"/>
        <v>-1.2199999999999989E-2</v>
      </c>
    </row>
    <row r="104" spans="1:16" ht="15" customHeight="1" x14ac:dyDescent="0.25">
      <c r="A104" s="3" t="s">
        <v>133</v>
      </c>
      <c r="B104" s="3" t="s">
        <v>128</v>
      </c>
      <c r="C104" s="14">
        <v>0.3</v>
      </c>
      <c r="D104" s="5">
        <v>0.65700000000000003</v>
      </c>
      <c r="E104" s="5">
        <v>0.66600000000000004</v>
      </c>
      <c r="F104" s="5">
        <v>0.65300000000000002</v>
      </c>
      <c r="G104" s="5">
        <v>0.63800000000000001</v>
      </c>
      <c r="H104" s="5">
        <v>0.68300000000000005</v>
      </c>
      <c r="I104" s="6">
        <f t="shared" si="9"/>
        <v>0.65939999999999999</v>
      </c>
      <c r="J104" s="5">
        <v>0.63600000000000001</v>
      </c>
      <c r="K104" s="5">
        <v>0.66100000000000003</v>
      </c>
      <c r="L104" s="5">
        <v>0.64500000000000002</v>
      </c>
      <c r="M104" s="5">
        <v>0.625</v>
      </c>
      <c r="N104" s="5">
        <v>0.66</v>
      </c>
      <c r="O104" s="6">
        <f t="shared" si="10"/>
        <v>0.64540000000000008</v>
      </c>
      <c r="P104" s="15">
        <f t="shared" si="11"/>
        <v>-1.3999999999999901E-2</v>
      </c>
    </row>
    <row r="105" spans="1:16" ht="15" customHeight="1" x14ac:dyDescent="0.25">
      <c r="A105" s="3" t="s">
        <v>133</v>
      </c>
      <c r="B105" s="3" t="s">
        <v>128</v>
      </c>
      <c r="C105" s="14">
        <v>0.4</v>
      </c>
      <c r="D105" s="5">
        <v>0.60799999999999998</v>
      </c>
      <c r="E105" s="5">
        <v>0.55800000000000005</v>
      </c>
      <c r="F105" s="5">
        <v>0.55800000000000005</v>
      </c>
      <c r="G105" s="5">
        <v>0.56200000000000006</v>
      </c>
      <c r="H105" s="5">
        <v>0.61299999999999999</v>
      </c>
      <c r="I105" s="6">
        <f t="shared" si="9"/>
        <v>0.57979999999999998</v>
      </c>
      <c r="J105" s="5">
        <v>0.629</v>
      </c>
      <c r="K105" s="5">
        <v>0.57499999999999996</v>
      </c>
      <c r="L105" s="5">
        <v>0.56699999999999995</v>
      </c>
      <c r="M105" s="5">
        <v>0.57599999999999996</v>
      </c>
      <c r="N105" s="5">
        <v>0.61299999999999999</v>
      </c>
      <c r="O105" s="6">
        <f t="shared" si="10"/>
        <v>0.59199999999999997</v>
      </c>
      <c r="P105" s="15">
        <f t="shared" si="11"/>
        <v>1.2199999999999989E-2</v>
      </c>
    </row>
    <row r="106" spans="1:16" ht="15" customHeight="1" x14ac:dyDescent="0.25">
      <c r="A106" s="3" t="s">
        <v>133</v>
      </c>
      <c r="B106" s="3" t="s">
        <v>128</v>
      </c>
      <c r="C106" s="14">
        <v>0.5</v>
      </c>
      <c r="D106" s="5">
        <v>0.45800000000000002</v>
      </c>
      <c r="E106" s="5">
        <v>0.52200000000000002</v>
      </c>
      <c r="F106" s="5">
        <v>0.49399999999999999</v>
      </c>
      <c r="G106" s="5">
        <v>0.505</v>
      </c>
      <c r="H106" s="5">
        <v>0.51100000000000001</v>
      </c>
      <c r="I106" s="6">
        <f t="shared" si="9"/>
        <v>0.49800000000000005</v>
      </c>
      <c r="J106" s="5">
        <v>0.47599999999999998</v>
      </c>
      <c r="K106" s="5">
        <v>0.52600000000000002</v>
      </c>
      <c r="L106" s="5">
        <v>0.47799999999999998</v>
      </c>
      <c r="M106" s="5">
        <v>0.504</v>
      </c>
      <c r="N106" s="5">
        <v>0.502</v>
      </c>
      <c r="O106" s="6">
        <f t="shared" si="10"/>
        <v>0.49719999999999998</v>
      </c>
      <c r="P106" s="15">
        <f t="shared" si="11"/>
        <v>-8.0000000000007843E-4</v>
      </c>
    </row>
    <row r="107" spans="1:16" ht="15" customHeight="1" x14ac:dyDescent="0.25">
      <c r="A107" s="3" t="s">
        <v>134</v>
      </c>
      <c r="B107" s="3" t="s">
        <v>124</v>
      </c>
      <c r="C107" s="14">
        <v>0</v>
      </c>
      <c r="D107" s="5">
        <v>0.745</v>
      </c>
      <c r="E107" s="5">
        <v>0.755</v>
      </c>
      <c r="F107" s="5">
        <v>0.748</v>
      </c>
      <c r="G107" s="5">
        <v>0.749</v>
      </c>
      <c r="H107" s="5">
        <v>0.75800000000000001</v>
      </c>
      <c r="I107" s="6">
        <f t="shared" si="9"/>
        <v>0.75100000000000011</v>
      </c>
      <c r="J107" s="5">
        <v>0.73899999999999999</v>
      </c>
      <c r="K107" s="5">
        <v>0.745</v>
      </c>
      <c r="L107" s="5">
        <v>0.752</v>
      </c>
      <c r="M107" s="5">
        <v>0.745</v>
      </c>
      <c r="N107" s="5">
        <v>0.752</v>
      </c>
      <c r="O107" s="6">
        <f t="shared" si="10"/>
        <v>0.74659999999999993</v>
      </c>
      <c r="P107" s="15">
        <f t="shared" si="11"/>
        <v>-4.4000000000001815E-3</v>
      </c>
    </row>
    <row r="108" spans="1:16" ht="15" customHeight="1" x14ac:dyDescent="0.25">
      <c r="A108" s="3" t="s">
        <v>134</v>
      </c>
      <c r="B108" s="3" t="s">
        <v>125</v>
      </c>
      <c r="C108" s="14">
        <v>0.2</v>
      </c>
      <c r="D108" s="5">
        <v>0.73499999999999999</v>
      </c>
      <c r="E108" s="5">
        <v>0.745</v>
      </c>
      <c r="F108" s="5">
        <v>0.74199999999999999</v>
      </c>
      <c r="G108" s="5">
        <v>0.745</v>
      </c>
      <c r="H108" s="5">
        <v>0.72499999999999998</v>
      </c>
      <c r="I108" s="6">
        <f t="shared" si="9"/>
        <v>0.73840000000000006</v>
      </c>
      <c r="J108" s="5">
        <v>0.748</v>
      </c>
      <c r="K108" s="5">
        <v>0.755</v>
      </c>
      <c r="L108" s="5">
        <v>0.752</v>
      </c>
      <c r="M108" s="5">
        <v>0.73199999999999998</v>
      </c>
      <c r="N108" s="5">
        <v>0.71599999999999997</v>
      </c>
      <c r="O108" s="6">
        <f t="shared" si="10"/>
        <v>0.74060000000000004</v>
      </c>
      <c r="P108" s="15">
        <f t="shared" si="11"/>
        <v>2.1999999999999797E-3</v>
      </c>
    </row>
    <row r="109" spans="1:16" ht="15" customHeight="1" x14ac:dyDescent="0.25">
      <c r="A109" s="3" t="s">
        <v>134</v>
      </c>
      <c r="B109" s="3" t="s">
        <v>125</v>
      </c>
      <c r="C109" s="14">
        <v>0.3</v>
      </c>
      <c r="D109" s="5">
        <v>0.73799999999999999</v>
      </c>
      <c r="E109" s="5">
        <v>0.73499999999999999</v>
      </c>
      <c r="F109" s="5">
        <v>0.69599999999999995</v>
      </c>
      <c r="G109" s="5">
        <v>0.71899999999999997</v>
      </c>
      <c r="H109" s="5">
        <v>0.66700000000000004</v>
      </c>
      <c r="I109" s="6">
        <f t="shared" si="9"/>
        <v>0.71099999999999997</v>
      </c>
      <c r="J109" s="5">
        <v>0.752</v>
      </c>
      <c r="K109" s="5">
        <v>0.73199999999999998</v>
      </c>
      <c r="L109" s="5">
        <v>0.748</v>
      </c>
      <c r="M109" s="5">
        <v>0.72199999999999998</v>
      </c>
      <c r="N109" s="5">
        <v>0.67</v>
      </c>
      <c r="O109" s="6">
        <f t="shared" si="10"/>
        <v>0.7248</v>
      </c>
      <c r="P109" s="15">
        <f t="shared" si="11"/>
        <v>1.3800000000000034E-2</v>
      </c>
    </row>
    <row r="110" spans="1:16" ht="15" customHeight="1" x14ac:dyDescent="0.25">
      <c r="A110" s="3" t="s">
        <v>134</v>
      </c>
      <c r="B110" s="3" t="s">
        <v>125</v>
      </c>
      <c r="C110" s="14">
        <v>0.4</v>
      </c>
      <c r="D110" s="5">
        <v>0.61899999999999999</v>
      </c>
      <c r="E110" s="5">
        <v>0.64400000000000002</v>
      </c>
      <c r="F110" s="5">
        <v>0.60199999999999998</v>
      </c>
      <c r="G110" s="5">
        <v>0.69299999999999995</v>
      </c>
      <c r="H110" s="5">
        <v>0.63100000000000001</v>
      </c>
      <c r="I110" s="6">
        <f t="shared" si="9"/>
        <v>0.63780000000000003</v>
      </c>
      <c r="J110" s="5">
        <v>0.58899999999999997</v>
      </c>
      <c r="K110" s="5">
        <v>0.64400000000000002</v>
      </c>
      <c r="L110" s="5">
        <v>0.64</v>
      </c>
      <c r="M110" s="5">
        <v>0.7</v>
      </c>
      <c r="N110" s="5">
        <v>0.63100000000000001</v>
      </c>
      <c r="O110" s="6">
        <f t="shared" si="10"/>
        <v>0.64080000000000015</v>
      </c>
      <c r="P110" s="15">
        <f t="shared" si="11"/>
        <v>3.0000000000001137E-3</v>
      </c>
    </row>
    <row r="111" spans="1:16" ht="15" customHeight="1" x14ac:dyDescent="0.25">
      <c r="A111" s="3" t="s">
        <v>134</v>
      </c>
      <c r="B111" s="3" t="s">
        <v>125</v>
      </c>
      <c r="C111" s="14">
        <v>0.5</v>
      </c>
      <c r="D111" s="5">
        <v>0.48099999999999998</v>
      </c>
      <c r="E111" s="5">
        <v>0.48099999999999998</v>
      </c>
      <c r="F111" s="5">
        <v>0.55900000000000005</v>
      </c>
      <c r="G111" s="5">
        <v>0.38200000000000001</v>
      </c>
      <c r="H111" s="5">
        <v>0.63400000000000001</v>
      </c>
      <c r="I111" s="6">
        <f t="shared" si="9"/>
        <v>0.50739999999999996</v>
      </c>
      <c r="J111" s="5">
        <v>0.34699999999999998</v>
      </c>
      <c r="K111" s="5">
        <v>0.48799999999999999</v>
      </c>
      <c r="L111" s="5">
        <v>0.56200000000000006</v>
      </c>
      <c r="M111" s="5">
        <v>0.48599999999999999</v>
      </c>
      <c r="N111" s="5">
        <v>0.63</v>
      </c>
      <c r="O111" s="6">
        <f t="shared" si="10"/>
        <v>0.50259999999999994</v>
      </c>
      <c r="P111" s="15">
        <f t="shared" si="11"/>
        <v>-4.8000000000000265E-3</v>
      </c>
    </row>
    <row r="112" spans="1:16" ht="15" customHeight="1" x14ac:dyDescent="0.25">
      <c r="A112" s="3" t="s">
        <v>134</v>
      </c>
      <c r="B112" s="3" t="s">
        <v>126</v>
      </c>
      <c r="C112" s="14">
        <v>0.2</v>
      </c>
      <c r="D112" s="5">
        <v>0.748</v>
      </c>
      <c r="E112" s="5">
        <v>0.73499999999999999</v>
      </c>
      <c r="F112" s="5">
        <v>0.71899999999999997</v>
      </c>
      <c r="G112" s="5">
        <v>0.73199999999999998</v>
      </c>
      <c r="H112" s="5">
        <v>0.73799999999999999</v>
      </c>
      <c r="I112" s="6">
        <f t="shared" si="9"/>
        <v>0.73440000000000005</v>
      </c>
      <c r="J112" s="5">
        <v>0.74199999999999999</v>
      </c>
      <c r="K112" s="5">
        <v>0.73899999999999999</v>
      </c>
      <c r="L112" s="5">
        <v>0.71599999999999997</v>
      </c>
      <c r="M112" s="5">
        <v>0.745</v>
      </c>
      <c r="N112" s="5">
        <v>0.72199999999999998</v>
      </c>
      <c r="O112" s="6">
        <f t="shared" si="10"/>
        <v>0.73280000000000001</v>
      </c>
      <c r="P112" s="15">
        <f t="shared" si="11"/>
        <v>-1.6000000000000458E-3</v>
      </c>
    </row>
    <row r="113" spans="1:16" ht="15" customHeight="1" x14ac:dyDescent="0.25">
      <c r="A113" s="3" t="s">
        <v>134</v>
      </c>
      <c r="B113" s="3" t="s">
        <v>126</v>
      </c>
      <c r="C113" s="14">
        <v>0.3</v>
      </c>
      <c r="D113" s="5">
        <v>0.71599999999999997</v>
      </c>
      <c r="E113" s="5">
        <v>0.628</v>
      </c>
      <c r="F113" s="5">
        <v>0.61399999999999999</v>
      </c>
      <c r="G113" s="5">
        <v>0.66700000000000004</v>
      </c>
      <c r="H113" s="5">
        <v>0.59099999999999997</v>
      </c>
      <c r="I113" s="6">
        <f t="shared" si="9"/>
        <v>0.64319999999999999</v>
      </c>
      <c r="J113" s="5">
        <v>0.66300000000000003</v>
      </c>
      <c r="K113" s="5">
        <v>0.60499999999999998</v>
      </c>
      <c r="L113" s="5">
        <v>0.63400000000000001</v>
      </c>
      <c r="M113" s="5">
        <v>0.68</v>
      </c>
      <c r="N113" s="5">
        <v>0.61099999999999999</v>
      </c>
      <c r="O113" s="6">
        <f t="shared" si="10"/>
        <v>0.63860000000000006</v>
      </c>
      <c r="P113" s="15">
        <f t="shared" si="11"/>
        <v>-4.5999999999999375E-3</v>
      </c>
    </row>
    <row r="114" spans="1:16" ht="15" customHeight="1" x14ac:dyDescent="0.25">
      <c r="A114" s="3" t="s">
        <v>134</v>
      </c>
      <c r="B114" s="3" t="s">
        <v>126</v>
      </c>
      <c r="C114" s="14">
        <v>0.4</v>
      </c>
      <c r="D114" s="5">
        <v>0.48099999999999998</v>
      </c>
      <c r="E114" s="5">
        <v>0.51300000000000001</v>
      </c>
      <c r="F114" s="5">
        <v>0.48299999999999998</v>
      </c>
      <c r="G114" s="5">
        <v>0.36199999999999999</v>
      </c>
      <c r="H114" s="5">
        <v>0.503</v>
      </c>
      <c r="I114" s="6">
        <f t="shared" si="9"/>
        <v>0.46840000000000004</v>
      </c>
      <c r="J114" s="5">
        <v>0.42799999999999999</v>
      </c>
      <c r="K114" s="5">
        <v>0.44400000000000001</v>
      </c>
      <c r="L114" s="5">
        <v>0.47699999999999998</v>
      </c>
      <c r="M114" s="5">
        <v>0.39200000000000002</v>
      </c>
      <c r="N114" s="5">
        <v>0.52600000000000002</v>
      </c>
      <c r="O114" s="6">
        <f t="shared" si="10"/>
        <v>0.45340000000000008</v>
      </c>
      <c r="P114" s="15">
        <f t="shared" si="11"/>
        <v>-1.4999999999999958E-2</v>
      </c>
    </row>
    <row r="115" spans="1:16" ht="15" customHeight="1" x14ac:dyDescent="0.25">
      <c r="A115" s="3" t="s">
        <v>134</v>
      </c>
      <c r="B115" s="3" t="s">
        <v>126</v>
      </c>
      <c r="C115" s="14">
        <v>0.5</v>
      </c>
      <c r="D115" s="5">
        <v>0.313</v>
      </c>
      <c r="E115" s="5">
        <v>0.26500000000000001</v>
      </c>
      <c r="F115" s="5">
        <v>0.29699999999999999</v>
      </c>
      <c r="G115" s="5">
        <v>0.29699999999999999</v>
      </c>
      <c r="H115" s="5">
        <v>0.27400000000000002</v>
      </c>
      <c r="I115" s="6">
        <f t="shared" si="9"/>
        <v>0.28920000000000001</v>
      </c>
      <c r="J115" s="5">
        <v>0.32</v>
      </c>
      <c r="K115" s="5">
        <v>0.3</v>
      </c>
      <c r="L115" s="5">
        <v>0.317</v>
      </c>
      <c r="M115" s="5">
        <v>0.29399999999999998</v>
      </c>
      <c r="N115" s="5">
        <v>0.29699999999999999</v>
      </c>
      <c r="O115" s="6">
        <f t="shared" si="10"/>
        <v>0.30559999999999998</v>
      </c>
      <c r="P115" s="15">
        <f t="shared" si="11"/>
        <v>1.639999999999997E-2</v>
      </c>
    </row>
    <row r="116" spans="1:16" ht="15" customHeight="1" x14ac:dyDescent="0.25">
      <c r="A116" s="3" t="s">
        <v>134</v>
      </c>
      <c r="B116" s="3" t="s">
        <v>127</v>
      </c>
      <c r="C116" s="14">
        <v>0.2</v>
      </c>
      <c r="D116" s="5">
        <v>0.755</v>
      </c>
      <c r="E116" s="5">
        <v>0.72599999999999998</v>
      </c>
      <c r="F116" s="5">
        <v>0.73899999999999999</v>
      </c>
      <c r="G116" s="5">
        <v>0.74199999999999999</v>
      </c>
      <c r="H116" s="5">
        <v>0.74199999999999999</v>
      </c>
      <c r="I116" s="6">
        <f t="shared" si="9"/>
        <v>0.7407999999999999</v>
      </c>
      <c r="J116" s="5">
        <v>0.745</v>
      </c>
      <c r="K116" s="5">
        <v>0.72599999999999998</v>
      </c>
      <c r="L116" s="5">
        <v>0.73499999999999999</v>
      </c>
      <c r="M116" s="5">
        <v>0.748</v>
      </c>
      <c r="N116" s="5">
        <v>0.745</v>
      </c>
      <c r="O116" s="6">
        <f t="shared" si="10"/>
        <v>0.73980000000000001</v>
      </c>
      <c r="P116" s="15">
        <f t="shared" si="11"/>
        <v>-9.9999999999988987E-4</v>
      </c>
    </row>
    <row r="117" spans="1:16" ht="15" customHeight="1" x14ac:dyDescent="0.25">
      <c r="A117" s="3" t="s">
        <v>134</v>
      </c>
      <c r="B117" s="3" t="s">
        <v>127</v>
      </c>
      <c r="C117" s="14">
        <v>0.3</v>
      </c>
      <c r="D117" s="5">
        <v>0.69</v>
      </c>
      <c r="E117" s="5">
        <v>0.68600000000000005</v>
      </c>
      <c r="F117" s="5">
        <v>0.67</v>
      </c>
      <c r="G117" s="5">
        <v>0.755</v>
      </c>
      <c r="H117" s="5">
        <v>0.69299999999999995</v>
      </c>
      <c r="I117" s="6">
        <f t="shared" si="9"/>
        <v>0.69879999999999998</v>
      </c>
      <c r="J117" s="5">
        <v>0.68</v>
      </c>
      <c r="K117" s="5">
        <v>0.71599999999999997</v>
      </c>
      <c r="L117" s="5">
        <v>0.68300000000000005</v>
      </c>
      <c r="M117" s="5">
        <v>0.745</v>
      </c>
      <c r="N117" s="5">
        <v>0.69599999999999995</v>
      </c>
      <c r="O117" s="6">
        <f t="shared" si="10"/>
        <v>0.70399999999999996</v>
      </c>
      <c r="P117" s="15">
        <f t="shared" si="11"/>
        <v>5.1999999999999824E-3</v>
      </c>
    </row>
    <row r="118" spans="1:16" ht="15" customHeight="1" x14ac:dyDescent="0.25">
      <c r="A118" s="3" t="s">
        <v>134</v>
      </c>
      <c r="B118" s="3" t="s">
        <v>127</v>
      </c>
      <c r="C118" s="14">
        <v>0.4</v>
      </c>
      <c r="D118" s="5">
        <v>0.64100000000000001</v>
      </c>
      <c r="E118" s="5">
        <v>0.621</v>
      </c>
      <c r="F118" s="5">
        <v>0.66700000000000004</v>
      </c>
      <c r="G118" s="5">
        <v>0.64700000000000002</v>
      </c>
      <c r="H118" s="5">
        <v>0.621</v>
      </c>
      <c r="I118" s="6">
        <f t="shared" si="9"/>
        <v>0.63939999999999997</v>
      </c>
      <c r="J118" s="5">
        <v>0.63700000000000001</v>
      </c>
      <c r="K118" s="5">
        <v>0.61799999999999999</v>
      </c>
      <c r="L118" s="5">
        <v>0.68600000000000005</v>
      </c>
      <c r="M118" s="5">
        <v>0.63700000000000001</v>
      </c>
      <c r="N118" s="5">
        <v>0.64700000000000002</v>
      </c>
      <c r="O118" s="6">
        <f t="shared" si="10"/>
        <v>0.64499999999999991</v>
      </c>
      <c r="P118" s="15">
        <f t="shared" si="11"/>
        <v>5.5999999999999384E-3</v>
      </c>
    </row>
    <row r="119" spans="1:16" ht="15" customHeight="1" x14ac:dyDescent="0.25">
      <c r="A119" s="3" t="s">
        <v>134</v>
      </c>
      <c r="B119" s="3" t="s">
        <v>127</v>
      </c>
      <c r="C119" s="14">
        <v>0.5</v>
      </c>
      <c r="D119" s="5">
        <v>0.49399999999999999</v>
      </c>
      <c r="E119" s="5">
        <v>0.49099999999999999</v>
      </c>
      <c r="F119" s="5">
        <v>0.52700000000000002</v>
      </c>
      <c r="G119" s="5">
        <v>0.51</v>
      </c>
      <c r="H119" s="5">
        <v>0.42499999999999999</v>
      </c>
      <c r="I119" s="6">
        <f t="shared" si="9"/>
        <v>0.4894</v>
      </c>
      <c r="J119" s="5">
        <v>0.49</v>
      </c>
      <c r="K119" s="5">
        <v>0.52700000000000002</v>
      </c>
      <c r="L119" s="5">
        <v>0.60499999999999998</v>
      </c>
      <c r="M119" s="5">
        <v>0.45500000000000002</v>
      </c>
      <c r="N119" s="5">
        <v>0.52600000000000002</v>
      </c>
      <c r="O119" s="6">
        <f t="shared" si="10"/>
        <v>0.52059999999999995</v>
      </c>
      <c r="P119" s="15">
        <f t="shared" si="11"/>
        <v>3.119999999999995E-2</v>
      </c>
    </row>
    <row r="120" spans="1:16" ht="15" customHeight="1" x14ac:dyDescent="0.25">
      <c r="A120" s="3" t="s">
        <v>134</v>
      </c>
      <c r="B120" s="3" t="s">
        <v>128</v>
      </c>
      <c r="C120" s="14">
        <v>0.2</v>
      </c>
      <c r="D120" s="5">
        <v>0.72199999999999998</v>
      </c>
      <c r="E120" s="5">
        <v>0.748</v>
      </c>
      <c r="F120" s="5">
        <v>0.72899999999999998</v>
      </c>
      <c r="G120" s="5">
        <v>0.70899999999999996</v>
      </c>
      <c r="H120" s="5">
        <v>0.72899999999999998</v>
      </c>
      <c r="I120" s="6">
        <f t="shared" si="9"/>
        <v>0.72740000000000005</v>
      </c>
      <c r="J120" s="5">
        <v>0.72499999999999998</v>
      </c>
      <c r="K120" s="5">
        <v>0.76800000000000002</v>
      </c>
      <c r="L120" s="5">
        <v>0.71199999999999997</v>
      </c>
      <c r="M120" s="5">
        <v>0.73899999999999999</v>
      </c>
      <c r="N120" s="5">
        <v>0.72899999999999998</v>
      </c>
      <c r="O120" s="6">
        <f t="shared" si="10"/>
        <v>0.73460000000000003</v>
      </c>
      <c r="P120" s="15">
        <f t="shared" si="11"/>
        <v>7.1999999999999842E-3</v>
      </c>
    </row>
    <row r="121" spans="1:16" ht="15" customHeight="1" x14ac:dyDescent="0.25">
      <c r="A121" s="3" t="s">
        <v>134</v>
      </c>
      <c r="B121" s="3" t="s">
        <v>128</v>
      </c>
      <c r="C121" s="14">
        <v>0.3</v>
      </c>
      <c r="D121" s="5">
        <v>0.71899999999999997</v>
      </c>
      <c r="E121" s="5">
        <v>0.70899999999999996</v>
      </c>
      <c r="F121" s="5">
        <v>0.72199999999999998</v>
      </c>
      <c r="G121" s="5">
        <v>0.68600000000000005</v>
      </c>
      <c r="H121" s="5">
        <v>0.748</v>
      </c>
      <c r="I121" s="6">
        <f t="shared" si="9"/>
        <v>0.71679999999999988</v>
      </c>
      <c r="J121" s="5">
        <v>0.73499999999999999</v>
      </c>
      <c r="K121" s="5">
        <v>0.71199999999999997</v>
      </c>
      <c r="L121" s="5">
        <v>0.73199999999999998</v>
      </c>
      <c r="M121" s="5">
        <v>0.74199999999999999</v>
      </c>
      <c r="N121" s="5">
        <v>0.745</v>
      </c>
      <c r="O121" s="6">
        <f t="shared" si="10"/>
        <v>0.73320000000000007</v>
      </c>
      <c r="P121" s="15">
        <f t="shared" si="11"/>
        <v>1.6400000000000192E-2</v>
      </c>
    </row>
    <row r="122" spans="1:16" ht="15" customHeight="1" x14ac:dyDescent="0.25">
      <c r="A122" s="3" t="s">
        <v>134</v>
      </c>
      <c r="B122" s="3" t="s">
        <v>128</v>
      </c>
      <c r="C122" s="14">
        <v>0.4</v>
      </c>
      <c r="D122" s="5">
        <v>0.67400000000000004</v>
      </c>
      <c r="E122" s="5">
        <v>0.60399999999999998</v>
      </c>
      <c r="F122" s="5">
        <v>0.63400000000000001</v>
      </c>
      <c r="G122" s="5">
        <v>0.67600000000000005</v>
      </c>
      <c r="H122" s="5">
        <v>0.58499999999999996</v>
      </c>
      <c r="I122" s="6">
        <f t="shared" si="9"/>
        <v>0.63460000000000005</v>
      </c>
      <c r="J122" s="5">
        <v>0.74199999999999999</v>
      </c>
      <c r="K122" s="5">
        <v>0.65</v>
      </c>
      <c r="L122" s="5">
        <v>0.61699999999999999</v>
      </c>
      <c r="M122" s="5">
        <v>0.63100000000000001</v>
      </c>
      <c r="N122" s="5">
        <v>0.58099999999999996</v>
      </c>
      <c r="O122" s="6">
        <f t="shared" si="10"/>
        <v>0.64419999999999988</v>
      </c>
      <c r="P122" s="15">
        <f t="shared" si="11"/>
        <v>9.5999999999998309E-3</v>
      </c>
    </row>
    <row r="123" spans="1:16" ht="15" customHeight="1" x14ac:dyDescent="0.25">
      <c r="A123" s="3" t="s">
        <v>134</v>
      </c>
      <c r="B123" s="3" t="s">
        <v>128</v>
      </c>
      <c r="C123" s="14">
        <v>0.5</v>
      </c>
      <c r="D123" s="5">
        <v>0.54300000000000004</v>
      </c>
      <c r="E123" s="5">
        <v>0.57099999999999995</v>
      </c>
      <c r="F123" s="5">
        <v>0.43099999999999999</v>
      </c>
      <c r="G123" s="5">
        <v>0.44400000000000001</v>
      </c>
      <c r="H123" s="5">
        <v>0.45700000000000002</v>
      </c>
      <c r="I123" s="6">
        <f t="shared" si="9"/>
        <v>0.48919999999999997</v>
      </c>
      <c r="J123" s="5">
        <v>0.497</v>
      </c>
      <c r="K123" s="5">
        <v>0.56499999999999995</v>
      </c>
      <c r="L123" s="5">
        <v>0.47399999999999998</v>
      </c>
      <c r="M123" s="5">
        <v>0.45100000000000001</v>
      </c>
      <c r="N123" s="5">
        <v>0.47399999999999998</v>
      </c>
      <c r="O123" s="6">
        <f t="shared" si="10"/>
        <v>0.49219999999999997</v>
      </c>
      <c r="P123" s="15">
        <f t="shared" si="11"/>
        <v>3.0000000000000027E-3</v>
      </c>
    </row>
    <row r="124" spans="1:16" ht="15" customHeight="1" x14ac:dyDescent="0.25">
      <c r="A124" s="3" t="s">
        <v>135</v>
      </c>
      <c r="B124" s="3" t="s">
        <v>124</v>
      </c>
      <c r="C124" s="14">
        <v>0</v>
      </c>
      <c r="D124" s="5">
        <v>0.79400000000000004</v>
      </c>
      <c r="E124" s="5">
        <v>0.81799999999999995</v>
      </c>
      <c r="F124" s="5">
        <v>0.77500000000000002</v>
      </c>
      <c r="G124" s="5">
        <v>0.82799999999999996</v>
      </c>
      <c r="H124" s="5">
        <v>0.83799999999999997</v>
      </c>
      <c r="I124" s="6">
        <f t="shared" si="9"/>
        <v>0.81059999999999999</v>
      </c>
      <c r="J124" s="5">
        <v>0.81799999999999995</v>
      </c>
      <c r="K124" s="5">
        <v>0.82199999999999995</v>
      </c>
      <c r="L124" s="5">
        <v>0.79500000000000004</v>
      </c>
      <c r="M124" s="5">
        <v>0.79800000000000004</v>
      </c>
      <c r="N124" s="5">
        <v>0.81799999999999995</v>
      </c>
      <c r="O124" s="6">
        <f t="shared" si="10"/>
        <v>0.81020000000000003</v>
      </c>
      <c r="P124" s="15">
        <f t="shared" si="11"/>
        <v>-3.9999999999995595E-4</v>
      </c>
    </row>
    <row r="125" spans="1:16" ht="15" customHeight="1" x14ac:dyDescent="0.25">
      <c r="A125" s="3" t="s">
        <v>135</v>
      </c>
      <c r="B125" s="3" t="s">
        <v>125</v>
      </c>
      <c r="C125" s="14">
        <v>0.2</v>
      </c>
      <c r="D125" s="5">
        <v>0.71699999999999997</v>
      </c>
      <c r="E125" s="5">
        <v>0.72399999999999998</v>
      </c>
      <c r="F125" s="5">
        <v>0.76100000000000001</v>
      </c>
      <c r="G125" s="5">
        <v>0.72699999999999998</v>
      </c>
      <c r="H125" s="5">
        <v>0.80500000000000005</v>
      </c>
      <c r="I125" s="6">
        <f t="shared" si="9"/>
        <v>0.74680000000000002</v>
      </c>
      <c r="J125" s="5">
        <v>0.72699999999999998</v>
      </c>
      <c r="K125" s="5">
        <v>0.77100000000000002</v>
      </c>
      <c r="L125" s="5">
        <v>0.74099999999999999</v>
      </c>
      <c r="M125" s="5">
        <v>0.76400000000000001</v>
      </c>
      <c r="N125" s="5">
        <v>0.79400000000000004</v>
      </c>
      <c r="O125" s="6">
        <f t="shared" si="10"/>
        <v>0.75940000000000007</v>
      </c>
      <c r="P125" s="15">
        <f t="shared" si="11"/>
        <v>1.2600000000000056E-2</v>
      </c>
    </row>
    <row r="126" spans="1:16" ht="15" customHeight="1" x14ac:dyDescent="0.25">
      <c r="A126" s="3" t="s">
        <v>135</v>
      </c>
      <c r="B126" s="3" t="s">
        <v>125</v>
      </c>
      <c r="C126" s="14">
        <v>0.3</v>
      </c>
      <c r="D126" s="5">
        <v>0.74099999999999999</v>
      </c>
      <c r="E126" s="5">
        <v>0.68700000000000006</v>
      </c>
      <c r="F126" s="5">
        <v>0.71099999999999997</v>
      </c>
      <c r="G126" s="5">
        <v>0.69</v>
      </c>
      <c r="H126" s="5">
        <v>0.68</v>
      </c>
      <c r="I126" s="6">
        <f t="shared" si="9"/>
        <v>0.70179999999999998</v>
      </c>
      <c r="J126" s="5">
        <v>0.72</v>
      </c>
      <c r="K126" s="5">
        <v>0.70399999999999996</v>
      </c>
      <c r="L126" s="5">
        <v>0.78800000000000003</v>
      </c>
      <c r="M126" s="5">
        <v>0.72399999999999998</v>
      </c>
      <c r="N126" s="5">
        <v>0.72699999999999998</v>
      </c>
      <c r="O126" s="6">
        <f t="shared" si="10"/>
        <v>0.73259999999999992</v>
      </c>
      <c r="P126" s="15">
        <f t="shared" si="11"/>
        <v>3.0799999999999939E-2</v>
      </c>
    </row>
    <row r="127" spans="1:16" ht="15" customHeight="1" x14ac:dyDescent="0.25">
      <c r="A127" s="3" t="s">
        <v>135</v>
      </c>
      <c r="B127" s="3" t="s">
        <v>125</v>
      </c>
      <c r="C127" s="14">
        <v>0.4</v>
      </c>
      <c r="D127" s="5">
        <v>0.60599999999999998</v>
      </c>
      <c r="E127" s="5">
        <v>0.61299999999999999</v>
      </c>
      <c r="F127" s="5">
        <v>0.60299999999999998</v>
      </c>
      <c r="G127" s="5">
        <v>0.61299999999999999</v>
      </c>
      <c r="H127" s="5">
        <v>0.65300000000000002</v>
      </c>
      <c r="I127" s="6">
        <f t="shared" si="9"/>
        <v>0.61759999999999993</v>
      </c>
      <c r="J127" s="5">
        <v>0.55600000000000005</v>
      </c>
      <c r="K127" s="5">
        <v>0.63300000000000001</v>
      </c>
      <c r="L127" s="5">
        <v>0.58699999999999997</v>
      </c>
      <c r="M127" s="5">
        <v>0.63300000000000001</v>
      </c>
      <c r="N127" s="5">
        <v>0.67300000000000004</v>
      </c>
      <c r="O127" s="6">
        <f t="shared" si="10"/>
        <v>0.61639999999999995</v>
      </c>
      <c r="P127" s="15">
        <f t="shared" si="11"/>
        <v>-1.1999999999999789E-3</v>
      </c>
    </row>
    <row r="128" spans="1:16" ht="15" customHeight="1" x14ac:dyDescent="0.25">
      <c r="A128" s="3" t="s">
        <v>135</v>
      </c>
      <c r="B128" s="3" t="s">
        <v>125</v>
      </c>
      <c r="C128" s="14">
        <v>0.5</v>
      </c>
      <c r="D128" s="5">
        <v>0.441</v>
      </c>
      <c r="E128" s="5">
        <v>0.434</v>
      </c>
      <c r="F128" s="5">
        <v>0.55500000000000005</v>
      </c>
      <c r="G128" s="5">
        <v>0.47799999999999998</v>
      </c>
      <c r="H128" s="5">
        <v>0.52200000000000002</v>
      </c>
      <c r="I128" s="6">
        <f t="shared" si="9"/>
        <v>0.48600000000000004</v>
      </c>
      <c r="J128" s="5">
        <v>0.52200000000000002</v>
      </c>
      <c r="K128" s="5">
        <v>0.48399999999999999</v>
      </c>
      <c r="L128" s="5">
        <v>0.49199999999999999</v>
      </c>
      <c r="M128" s="5">
        <v>0.59599999999999997</v>
      </c>
      <c r="N128" s="5">
        <v>0.42099999999999999</v>
      </c>
      <c r="O128" s="6">
        <f t="shared" si="10"/>
        <v>0.50299999999999989</v>
      </c>
      <c r="P128" s="15">
        <f t="shared" si="11"/>
        <v>1.6999999999999849E-2</v>
      </c>
    </row>
    <row r="129" spans="1:16" ht="15" customHeight="1" x14ac:dyDescent="0.25">
      <c r="A129" s="3" t="s">
        <v>135</v>
      </c>
      <c r="B129" s="3" t="s">
        <v>126</v>
      </c>
      <c r="C129" s="14">
        <v>0.2</v>
      </c>
      <c r="D129" s="5">
        <v>0.75700000000000001</v>
      </c>
      <c r="E129" s="5">
        <v>0.747</v>
      </c>
      <c r="F129" s="5">
        <v>0.76100000000000001</v>
      </c>
      <c r="G129" s="5">
        <v>0.747</v>
      </c>
      <c r="H129" s="5">
        <v>0.78100000000000003</v>
      </c>
      <c r="I129" s="6">
        <f t="shared" si="9"/>
        <v>0.75860000000000005</v>
      </c>
      <c r="J129" s="5">
        <v>0.75700000000000001</v>
      </c>
      <c r="K129" s="5">
        <v>0.754</v>
      </c>
      <c r="L129" s="5">
        <v>0.76100000000000001</v>
      </c>
      <c r="M129" s="5">
        <v>0.76100000000000001</v>
      </c>
      <c r="N129" s="5">
        <v>0.76100000000000001</v>
      </c>
      <c r="O129" s="6">
        <f t="shared" si="10"/>
        <v>0.75880000000000014</v>
      </c>
      <c r="P129" s="15">
        <f t="shared" si="11"/>
        <v>2.00000000000089E-4</v>
      </c>
    </row>
    <row r="130" spans="1:16" ht="15" customHeight="1" x14ac:dyDescent="0.25">
      <c r="A130" s="3" t="s">
        <v>135</v>
      </c>
      <c r="B130" s="3" t="s">
        <v>126</v>
      </c>
      <c r="C130" s="14">
        <v>0.3</v>
      </c>
      <c r="D130" s="5">
        <v>0.71699999999999997</v>
      </c>
      <c r="E130" s="5">
        <v>0.73699999999999999</v>
      </c>
      <c r="F130" s="5">
        <v>0.71799999999999997</v>
      </c>
      <c r="G130" s="5">
        <v>0.74</v>
      </c>
      <c r="H130" s="5">
        <v>0.78100000000000003</v>
      </c>
      <c r="I130" s="6">
        <f t="shared" si="9"/>
        <v>0.73860000000000003</v>
      </c>
      <c r="J130" s="5">
        <v>0.73399999999999999</v>
      </c>
      <c r="K130" s="5">
        <v>0.71699999999999997</v>
      </c>
      <c r="L130" s="5">
        <v>0.79100000000000004</v>
      </c>
      <c r="M130" s="5">
        <v>0.71699999999999997</v>
      </c>
      <c r="N130" s="5">
        <v>0.72699999999999998</v>
      </c>
      <c r="O130" s="6">
        <f t="shared" si="10"/>
        <v>0.73719999999999997</v>
      </c>
      <c r="P130" s="15">
        <f t="shared" si="11"/>
        <v>-1.4000000000000679E-3</v>
      </c>
    </row>
    <row r="131" spans="1:16" ht="15" customHeight="1" x14ac:dyDescent="0.25">
      <c r="A131" s="3" t="s">
        <v>135</v>
      </c>
      <c r="B131" s="3" t="s">
        <v>126</v>
      </c>
      <c r="C131" s="14">
        <v>0.4</v>
      </c>
      <c r="D131" s="5">
        <v>0.68</v>
      </c>
      <c r="E131" s="5">
        <v>0.67300000000000004</v>
      </c>
      <c r="F131" s="5">
        <v>0.66400000000000003</v>
      </c>
      <c r="G131" s="5">
        <v>0.70399999999999996</v>
      </c>
      <c r="H131" s="5">
        <v>0.69399999999999995</v>
      </c>
      <c r="I131" s="6">
        <f t="shared" si="9"/>
        <v>0.68300000000000005</v>
      </c>
      <c r="J131" s="5">
        <v>0.67700000000000005</v>
      </c>
      <c r="K131" s="5">
        <v>0.67400000000000004</v>
      </c>
      <c r="L131" s="5">
        <v>0.7</v>
      </c>
      <c r="M131" s="5">
        <v>0.71099999999999997</v>
      </c>
      <c r="N131" s="5">
        <v>0.72</v>
      </c>
      <c r="O131" s="6">
        <f t="shared" si="10"/>
        <v>0.69640000000000002</v>
      </c>
      <c r="P131" s="15">
        <f t="shared" si="11"/>
        <v>1.3399999999999967E-2</v>
      </c>
    </row>
    <row r="132" spans="1:16" ht="15" customHeight="1" x14ac:dyDescent="0.25">
      <c r="A132" s="3" t="s">
        <v>135</v>
      </c>
      <c r="B132" s="3" t="s">
        <v>126</v>
      </c>
      <c r="C132" s="14">
        <v>0.5</v>
      </c>
      <c r="D132" s="5">
        <v>0.58199999999999996</v>
      </c>
      <c r="E132" s="5">
        <v>0.59599999999999997</v>
      </c>
      <c r="F132" s="5">
        <v>0.67</v>
      </c>
      <c r="G132" s="5">
        <v>0.65900000000000003</v>
      </c>
      <c r="H132" s="5">
        <v>0.64300000000000002</v>
      </c>
      <c r="I132" s="6">
        <f t="shared" si="9"/>
        <v>0.62999999999999989</v>
      </c>
      <c r="J132" s="5">
        <v>0.63300000000000001</v>
      </c>
      <c r="K132" s="5">
        <v>0.61899999999999999</v>
      </c>
      <c r="L132" s="5">
        <v>0.61</v>
      </c>
      <c r="M132" s="5">
        <v>0.63600000000000001</v>
      </c>
      <c r="N132" s="5">
        <v>0.61899999999999999</v>
      </c>
      <c r="O132" s="6">
        <f t="shared" si="10"/>
        <v>0.62339999999999995</v>
      </c>
      <c r="P132" s="15">
        <f t="shared" si="11"/>
        <v>-6.5999999999999392E-3</v>
      </c>
    </row>
    <row r="133" spans="1:16" ht="15" customHeight="1" x14ac:dyDescent="0.25">
      <c r="A133" s="3" t="s">
        <v>135</v>
      </c>
      <c r="B133" s="3" t="s">
        <v>127</v>
      </c>
      <c r="C133" s="14">
        <v>0.2</v>
      </c>
      <c r="D133" s="5">
        <v>0.79400000000000004</v>
      </c>
      <c r="E133" s="5">
        <v>0.73399999999999999</v>
      </c>
      <c r="F133" s="5">
        <v>0.74099999999999999</v>
      </c>
      <c r="G133" s="5">
        <v>0.78400000000000003</v>
      </c>
      <c r="H133" s="5">
        <v>0.79100000000000004</v>
      </c>
      <c r="I133" s="6">
        <f t="shared" ref="I133:I164" si="12">IFERROR(AVERAGE(D133:H133),"-")</f>
        <v>0.76879999999999993</v>
      </c>
      <c r="J133" s="5">
        <v>0.80800000000000005</v>
      </c>
      <c r="K133" s="5">
        <v>0.78800000000000003</v>
      </c>
      <c r="L133" s="5">
        <v>0.79500000000000004</v>
      </c>
      <c r="M133" s="5">
        <v>0.80500000000000005</v>
      </c>
      <c r="N133" s="5">
        <v>0.83499999999999996</v>
      </c>
      <c r="O133" s="6">
        <f t="shared" ref="O133:O164" si="13">IFERROR(AVERAGE(J133:N133),"-")</f>
        <v>0.80620000000000014</v>
      </c>
      <c r="P133" s="15">
        <f t="shared" ref="P133:P164" si="14">IFERROR(O133-I133,"-")</f>
        <v>3.7400000000000211E-2</v>
      </c>
    </row>
    <row r="134" spans="1:16" ht="15" customHeight="1" x14ac:dyDescent="0.25">
      <c r="A134" s="3" t="s">
        <v>135</v>
      </c>
      <c r="B134" s="3" t="s">
        <v>127</v>
      </c>
      <c r="C134" s="14">
        <v>0.3</v>
      </c>
      <c r="D134" s="5">
        <v>0.73699999999999999</v>
      </c>
      <c r="E134" s="5">
        <v>0.73799999999999999</v>
      </c>
      <c r="F134" s="5">
        <v>0.70399999999999996</v>
      </c>
      <c r="G134" s="5">
        <v>0.77400000000000002</v>
      </c>
      <c r="H134" s="5">
        <v>0.74399999999999999</v>
      </c>
      <c r="I134" s="6">
        <f t="shared" si="12"/>
        <v>0.73940000000000006</v>
      </c>
      <c r="J134" s="5">
        <v>0.78100000000000003</v>
      </c>
      <c r="K134" s="5">
        <v>0.755</v>
      </c>
      <c r="L134" s="5">
        <v>0.76100000000000001</v>
      </c>
      <c r="M134" s="5">
        <v>0.80500000000000005</v>
      </c>
      <c r="N134" s="5">
        <v>0.75700000000000001</v>
      </c>
      <c r="O134" s="6">
        <f t="shared" si="13"/>
        <v>0.77180000000000004</v>
      </c>
      <c r="P134" s="15">
        <f t="shared" si="14"/>
        <v>3.2399999999999984E-2</v>
      </c>
    </row>
    <row r="135" spans="1:16" ht="15" customHeight="1" x14ac:dyDescent="0.25">
      <c r="A135" s="3" t="s">
        <v>135</v>
      </c>
      <c r="B135" s="3" t="s">
        <v>127</v>
      </c>
      <c r="C135" s="14">
        <v>0.4</v>
      </c>
      <c r="D135" s="5">
        <v>0.70699999999999996</v>
      </c>
      <c r="E135" s="5">
        <v>0.72099999999999997</v>
      </c>
      <c r="F135" s="5">
        <v>0.68400000000000005</v>
      </c>
      <c r="G135" s="5">
        <v>0.69</v>
      </c>
      <c r="H135" s="5">
        <v>0.623</v>
      </c>
      <c r="I135" s="6">
        <f t="shared" si="12"/>
        <v>0.68499999999999994</v>
      </c>
      <c r="J135" s="5">
        <v>0.73399999999999999</v>
      </c>
      <c r="K135" s="5">
        <v>0.66700000000000004</v>
      </c>
      <c r="L135" s="5">
        <v>0.68700000000000006</v>
      </c>
      <c r="M135" s="5">
        <v>0.68700000000000006</v>
      </c>
      <c r="N135" s="5">
        <v>0.67</v>
      </c>
      <c r="O135" s="6">
        <f t="shared" si="13"/>
        <v>0.68900000000000006</v>
      </c>
      <c r="P135" s="15">
        <f t="shared" si="14"/>
        <v>4.0000000000001146E-3</v>
      </c>
    </row>
    <row r="136" spans="1:16" ht="15" customHeight="1" x14ac:dyDescent="0.25">
      <c r="A136" s="3" t="s">
        <v>135</v>
      </c>
      <c r="B136" s="3" t="s">
        <v>127</v>
      </c>
      <c r="C136" s="14">
        <v>0.5</v>
      </c>
      <c r="D136" s="5">
        <v>0.54900000000000004</v>
      </c>
      <c r="E136" s="5">
        <v>0.51800000000000002</v>
      </c>
      <c r="F136" s="5">
        <v>0.48399999999999999</v>
      </c>
      <c r="G136" s="5">
        <v>0.48199999999999998</v>
      </c>
      <c r="H136" s="5">
        <v>0.48799999999999999</v>
      </c>
      <c r="I136" s="6">
        <f t="shared" si="12"/>
        <v>0.50420000000000009</v>
      </c>
      <c r="J136" s="5">
        <v>0.54600000000000004</v>
      </c>
      <c r="K136" s="5">
        <v>0.44800000000000001</v>
      </c>
      <c r="L136" s="5">
        <v>0.52400000000000002</v>
      </c>
      <c r="M136" s="5">
        <v>0.51800000000000002</v>
      </c>
      <c r="N136" s="5">
        <v>0.495</v>
      </c>
      <c r="O136" s="6">
        <f t="shared" si="13"/>
        <v>0.50619999999999998</v>
      </c>
      <c r="P136" s="15">
        <f t="shared" si="14"/>
        <v>1.9999999999998908E-3</v>
      </c>
    </row>
    <row r="137" spans="1:16" ht="15" customHeight="1" x14ac:dyDescent="0.25">
      <c r="A137" s="3" t="s">
        <v>135</v>
      </c>
      <c r="B137" s="3" t="s">
        <v>128</v>
      </c>
      <c r="C137" s="14">
        <v>0.2</v>
      </c>
      <c r="D137" s="5">
        <v>0.73699999999999999</v>
      </c>
      <c r="E137" s="5">
        <v>0.70399999999999996</v>
      </c>
      <c r="F137" s="5">
        <v>0.72799999999999998</v>
      </c>
      <c r="G137" s="5">
        <v>0.73399999999999999</v>
      </c>
      <c r="H137" s="5">
        <v>0.72099999999999997</v>
      </c>
      <c r="I137" s="6">
        <f t="shared" si="12"/>
        <v>0.72479999999999989</v>
      </c>
      <c r="J137" s="5">
        <v>0.73099999999999998</v>
      </c>
      <c r="K137" s="5">
        <v>0.73699999999999999</v>
      </c>
      <c r="L137" s="5">
        <v>0.76100000000000001</v>
      </c>
      <c r="M137" s="5">
        <v>0.754</v>
      </c>
      <c r="N137" s="5">
        <v>0.747</v>
      </c>
      <c r="O137" s="6">
        <f t="shared" si="13"/>
        <v>0.746</v>
      </c>
      <c r="P137" s="15">
        <f t="shared" si="14"/>
        <v>2.1200000000000108E-2</v>
      </c>
    </row>
    <row r="138" spans="1:16" ht="15" customHeight="1" x14ac:dyDescent="0.25">
      <c r="A138" s="3" t="s">
        <v>135</v>
      </c>
      <c r="B138" s="3" t="s">
        <v>128</v>
      </c>
      <c r="C138" s="14">
        <v>0.3</v>
      </c>
      <c r="D138" s="5">
        <v>0.63600000000000001</v>
      </c>
      <c r="E138" s="5">
        <v>0.64700000000000002</v>
      </c>
      <c r="F138" s="5">
        <v>0.63300000000000001</v>
      </c>
      <c r="G138" s="5">
        <v>0.68600000000000005</v>
      </c>
      <c r="H138" s="5">
        <v>0.66300000000000003</v>
      </c>
      <c r="I138" s="6">
        <f t="shared" si="12"/>
        <v>0.65299999999999991</v>
      </c>
      <c r="J138" s="5">
        <v>0.73099999999999998</v>
      </c>
      <c r="K138" s="5">
        <v>0.63700000000000001</v>
      </c>
      <c r="L138" s="5">
        <v>0.74099999999999999</v>
      </c>
      <c r="M138" s="5">
        <v>0.68700000000000006</v>
      </c>
      <c r="N138" s="5">
        <v>0.72699999999999998</v>
      </c>
      <c r="O138" s="6">
        <f t="shared" si="13"/>
        <v>0.7046</v>
      </c>
      <c r="P138" s="15">
        <f t="shared" si="14"/>
        <v>5.160000000000009E-2</v>
      </c>
    </row>
    <row r="139" spans="1:16" ht="15" customHeight="1" x14ac:dyDescent="0.25">
      <c r="A139" s="3" t="s">
        <v>135</v>
      </c>
      <c r="B139" s="3" t="s">
        <v>128</v>
      </c>
      <c r="C139" s="14">
        <v>0.4</v>
      </c>
      <c r="D139" s="5">
        <v>0.67</v>
      </c>
      <c r="E139" s="5">
        <v>0.58899999999999997</v>
      </c>
      <c r="F139" s="5">
        <v>0.59699999999999998</v>
      </c>
      <c r="G139" s="5">
        <v>0.54500000000000004</v>
      </c>
      <c r="H139" s="5">
        <v>0.623</v>
      </c>
      <c r="I139" s="6">
        <f t="shared" si="12"/>
        <v>0.6048</v>
      </c>
      <c r="J139" s="5">
        <v>0.67300000000000004</v>
      </c>
      <c r="K139" s="5">
        <v>0.56899999999999995</v>
      </c>
      <c r="L139" s="5">
        <v>0.56899999999999995</v>
      </c>
      <c r="M139" s="5">
        <v>0.63</v>
      </c>
      <c r="N139" s="5">
        <v>0.67700000000000005</v>
      </c>
      <c r="O139" s="6">
        <f t="shared" si="13"/>
        <v>0.62359999999999993</v>
      </c>
      <c r="P139" s="15">
        <f t="shared" si="14"/>
        <v>1.8799999999999928E-2</v>
      </c>
    </row>
    <row r="140" spans="1:16" ht="15" customHeight="1" x14ac:dyDescent="0.25">
      <c r="A140" s="3" t="s">
        <v>135</v>
      </c>
      <c r="B140" s="3" t="s">
        <v>128</v>
      </c>
      <c r="C140" s="14">
        <v>0.5</v>
      </c>
      <c r="D140" s="5">
        <v>0.435</v>
      </c>
      <c r="E140" s="5">
        <v>0.50900000000000001</v>
      </c>
      <c r="F140" s="5">
        <v>0.51200000000000001</v>
      </c>
      <c r="G140" s="5">
        <v>0.51800000000000002</v>
      </c>
      <c r="H140" s="5">
        <v>0.56200000000000006</v>
      </c>
      <c r="I140" s="6">
        <f t="shared" si="12"/>
        <v>0.50719999999999998</v>
      </c>
      <c r="J140" s="5">
        <v>0.44400000000000001</v>
      </c>
      <c r="K140" s="5">
        <v>0.438</v>
      </c>
      <c r="L140" s="5">
        <v>0.502</v>
      </c>
      <c r="M140" s="5">
        <v>0.48499999999999999</v>
      </c>
      <c r="N140" s="5">
        <v>0.45800000000000002</v>
      </c>
      <c r="O140" s="6">
        <f t="shared" si="13"/>
        <v>0.46539999999999998</v>
      </c>
      <c r="P140" s="15">
        <f t="shared" si="14"/>
        <v>-4.1800000000000004E-2</v>
      </c>
    </row>
    <row r="141" spans="1:16" ht="15" customHeight="1" x14ac:dyDescent="0.25">
      <c r="A141" s="3" t="s">
        <v>136</v>
      </c>
      <c r="B141" s="3" t="s">
        <v>124</v>
      </c>
      <c r="C141" s="14">
        <v>0</v>
      </c>
      <c r="D141" s="5">
        <v>0.81499999999999995</v>
      </c>
      <c r="E141" s="5">
        <v>0.77500000000000002</v>
      </c>
      <c r="F141" s="5">
        <v>0.75800000000000001</v>
      </c>
      <c r="G141" s="5">
        <v>0.72899999999999998</v>
      </c>
      <c r="H141" s="5">
        <v>0.85499999999999998</v>
      </c>
      <c r="I141" s="6">
        <f t="shared" si="12"/>
        <v>0.78639999999999999</v>
      </c>
      <c r="J141" s="5">
        <v>0.83799999999999997</v>
      </c>
      <c r="K141" s="5">
        <v>0.82</v>
      </c>
      <c r="L141" s="5">
        <v>0.83699999999999997</v>
      </c>
      <c r="M141" s="5">
        <v>0.80600000000000005</v>
      </c>
      <c r="N141" s="5">
        <v>0.80100000000000005</v>
      </c>
      <c r="O141" s="6">
        <f t="shared" si="13"/>
        <v>0.82040000000000002</v>
      </c>
      <c r="P141" s="15">
        <f t="shared" si="14"/>
        <v>3.400000000000003E-2</v>
      </c>
    </row>
    <row r="142" spans="1:16" ht="15" customHeight="1" x14ac:dyDescent="0.25">
      <c r="A142" s="3" t="s">
        <v>136</v>
      </c>
      <c r="B142" s="3" t="s">
        <v>125</v>
      </c>
      <c r="C142" s="14">
        <v>0.2</v>
      </c>
      <c r="D142" s="5">
        <v>0.83199999999999996</v>
      </c>
      <c r="E142" s="5">
        <v>0.749</v>
      </c>
      <c r="F142" s="5">
        <v>0.78900000000000003</v>
      </c>
      <c r="G142" s="5">
        <v>0.78900000000000003</v>
      </c>
      <c r="H142" s="5">
        <v>0.78600000000000003</v>
      </c>
      <c r="I142" s="6">
        <f t="shared" si="12"/>
        <v>0.78900000000000003</v>
      </c>
      <c r="J142" s="5">
        <v>0.76900000000000002</v>
      </c>
      <c r="K142" s="5">
        <v>0.76600000000000001</v>
      </c>
      <c r="L142" s="5">
        <v>0.81200000000000006</v>
      </c>
      <c r="M142" s="5">
        <v>0.80400000000000005</v>
      </c>
      <c r="N142" s="5">
        <v>0.77500000000000002</v>
      </c>
      <c r="O142" s="6">
        <f t="shared" si="13"/>
        <v>0.78520000000000012</v>
      </c>
      <c r="P142" s="15">
        <f t="shared" si="14"/>
        <v>-3.7999999999999146E-3</v>
      </c>
    </row>
    <row r="143" spans="1:16" ht="15" customHeight="1" x14ac:dyDescent="0.25">
      <c r="A143" s="3" t="s">
        <v>136</v>
      </c>
      <c r="B143" s="3" t="s">
        <v>125</v>
      </c>
      <c r="C143" s="14">
        <v>0.3</v>
      </c>
      <c r="D143" s="5">
        <v>0.752</v>
      </c>
      <c r="E143" s="5">
        <v>0.71499999999999997</v>
      </c>
      <c r="F143" s="5">
        <v>0.79800000000000004</v>
      </c>
      <c r="G143" s="5">
        <v>0.70899999999999996</v>
      </c>
      <c r="H143" s="5">
        <v>0.73499999999999999</v>
      </c>
      <c r="I143" s="6">
        <f t="shared" si="12"/>
        <v>0.74180000000000001</v>
      </c>
      <c r="J143" s="5">
        <v>0.73199999999999998</v>
      </c>
      <c r="K143" s="5">
        <v>0.72899999999999998</v>
      </c>
      <c r="L143" s="5">
        <v>0.78600000000000003</v>
      </c>
      <c r="M143" s="5">
        <v>0.75800000000000001</v>
      </c>
      <c r="N143" s="5">
        <v>0.75800000000000001</v>
      </c>
      <c r="O143" s="6">
        <f t="shared" si="13"/>
        <v>0.75259999999999994</v>
      </c>
      <c r="P143" s="15">
        <f t="shared" si="14"/>
        <v>1.0799999999999921E-2</v>
      </c>
    </row>
    <row r="144" spans="1:16" ht="15" customHeight="1" x14ac:dyDescent="0.25">
      <c r="A144" s="3" t="s">
        <v>136</v>
      </c>
      <c r="B144" s="3" t="s">
        <v>125</v>
      </c>
      <c r="C144" s="14">
        <v>0.4</v>
      </c>
      <c r="D144" s="5">
        <v>0.68700000000000006</v>
      </c>
      <c r="E144" s="5">
        <v>0.627</v>
      </c>
      <c r="F144" s="5">
        <v>0.60099999999999998</v>
      </c>
      <c r="G144" s="5">
        <v>0.63500000000000001</v>
      </c>
      <c r="H144" s="5">
        <v>0.66400000000000003</v>
      </c>
      <c r="I144" s="6">
        <f t="shared" si="12"/>
        <v>0.64280000000000004</v>
      </c>
      <c r="J144" s="5">
        <v>0.65</v>
      </c>
      <c r="K144" s="5">
        <v>0.58699999999999997</v>
      </c>
      <c r="L144" s="5">
        <v>0.74399999999999999</v>
      </c>
      <c r="M144" s="5">
        <v>0.63800000000000001</v>
      </c>
      <c r="N144" s="5">
        <v>0.67</v>
      </c>
      <c r="O144" s="6">
        <f t="shared" si="13"/>
        <v>0.65780000000000005</v>
      </c>
      <c r="P144" s="15">
        <f t="shared" si="14"/>
        <v>1.5000000000000013E-2</v>
      </c>
    </row>
    <row r="145" spans="1:16" ht="15" customHeight="1" x14ac:dyDescent="0.25">
      <c r="A145" s="3" t="s">
        <v>136</v>
      </c>
      <c r="B145" s="3" t="s">
        <v>125</v>
      </c>
      <c r="C145" s="14">
        <v>0.5</v>
      </c>
      <c r="D145" s="5">
        <v>0.49299999999999999</v>
      </c>
      <c r="E145" s="5">
        <v>0.55600000000000005</v>
      </c>
      <c r="F145" s="5">
        <v>0.501</v>
      </c>
      <c r="G145" s="5">
        <v>0.53600000000000003</v>
      </c>
      <c r="H145" s="5">
        <v>0.52400000000000002</v>
      </c>
      <c r="I145" s="6">
        <f t="shared" si="12"/>
        <v>0.52200000000000002</v>
      </c>
      <c r="J145" s="5">
        <v>0.55600000000000005</v>
      </c>
      <c r="K145" s="5">
        <v>0.55800000000000005</v>
      </c>
      <c r="L145" s="5">
        <v>0.501</v>
      </c>
      <c r="M145" s="5">
        <v>0.54400000000000004</v>
      </c>
      <c r="N145" s="5">
        <v>0.502</v>
      </c>
      <c r="O145" s="6">
        <f t="shared" si="13"/>
        <v>0.53220000000000012</v>
      </c>
      <c r="P145" s="15">
        <f t="shared" si="14"/>
        <v>1.0200000000000098E-2</v>
      </c>
    </row>
    <row r="146" spans="1:16" ht="15" customHeight="1" x14ac:dyDescent="0.25">
      <c r="A146" s="3" t="s">
        <v>136</v>
      </c>
      <c r="B146" s="3" t="s">
        <v>126</v>
      </c>
      <c r="C146" s="14">
        <v>0.2</v>
      </c>
      <c r="D146" s="5">
        <v>0.78600000000000003</v>
      </c>
      <c r="E146" s="5">
        <v>0.78600000000000003</v>
      </c>
      <c r="F146" s="5">
        <v>0.68400000000000005</v>
      </c>
      <c r="G146" s="5">
        <v>0.73799999999999999</v>
      </c>
      <c r="H146" s="5">
        <v>0.81200000000000006</v>
      </c>
      <c r="I146" s="6">
        <f t="shared" si="12"/>
        <v>0.76119999999999999</v>
      </c>
      <c r="J146" s="5">
        <v>0.81200000000000006</v>
      </c>
      <c r="K146" s="5">
        <v>0.80300000000000005</v>
      </c>
      <c r="L146" s="5">
        <v>0.72699999999999998</v>
      </c>
      <c r="M146" s="5">
        <v>0.79500000000000004</v>
      </c>
      <c r="N146" s="5">
        <v>0.77800000000000002</v>
      </c>
      <c r="O146" s="6">
        <f t="shared" si="13"/>
        <v>0.78300000000000003</v>
      </c>
      <c r="P146" s="15">
        <f t="shared" si="14"/>
        <v>2.1800000000000042E-2</v>
      </c>
    </row>
    <row r="147" spans="1:16" ht="15" customHeight="1" x14ac:dyDescent="0.25">
      <c r="A147" s="3" t="s">
        <v>136</v>
      </c>
      <c r="B147" s="3" t="s">
        <v>126</v>
      </c>
      <c r="C147" s="14">
        <v>0.3</v>
      </c>
      <c r="D147" s="5">
        <v>0.81200000000000006</v>
      </c>
      <c r="E147" s="5">
        <v>0.79200000000000004</v>
      </c>
      <c r="F147" s="5">
        <v>0.73</v>
      </c>
      <c r="G147" s="5">
        <v>0.73499999999999999</v>
      </c>
      <c r="H147" s="5">
        <v>0.79200000000000004</v>
      </c>
      <c r="I147" s="6">
        <f t="shared" si="12"/>
        <v>0.7722</v>
      </c>
      <c r="J147" s="5">
        <v>0.78300000000000003</v>
      </c>
      <c r="K147" s="5">
        <v>0.79200000000000004</v>
      </c>
      <c r="L147" s="5">
        <v>0.78600000000000003</v>
      </c>
      <c r="M147" s="5">
        <v>0.78900000000000003</v>
      </c>
      <c r="N147" s="5">
        <v>0.79500000000000004</v>
      </c>
      <c r="O147" s="6">
        <f t="shared" si="13"/>
        <v>0.78900000000000003</v>
      </c>
      <c r="P147" s="15">
        <f t="shared" si="14"/>
        <v>1.6800000000000037E-2</v>
      </c>
    </row>
    <row r="148" spans="1:16" ht="15" customHeight="1" x14ac:dyDescent="0.25">
      <c r="A148" s="3" t="s">
        <v>136</v>
      </c>
      <c r="B148" s="3" t="s">
        <v>126</v>
      </c>
      <c r="C148" s="14">
        <v>0.4</v>
      </c>
      <c r="D148" s="5">
        <v>0.72399999999999998</v>
      </c>
      <c r="E148" s="5">
        <v>0.755</v>
      </c>
      <c r="F148" s="5">
        <v>0.72299999999999998</v>
      </c>
      <c r="G148" s="5">
        <v>0.78300000000000003</v>
      </c>
      <c r="H148" s="5">
        <v>0.752</v>
      </c>
      <c r="I148" s="6">
        <f t="shared" si="12"/>
        <v>0.74740000000000006</v>
      </c>
      <c r="J148" s="5">
        <v>0.755</v>
      </c>
      <c r="K148" s="5">
        <v>0.80900000000000005</v>
      </c>
      <c r="L148" s="5">
        <v>0.75800000000000001</v>
      </c>
      <c r="M148" s="5">
        <v>0.78400000000000003</v>
      </c>
      <c r="N148" s="5">
        <v>0.755</v>
      </c>
      <c r="O148" s="6">
        <f t="shared" si="13"/>
        <v>0.7722</v>
      </c>
      <c r="P148" s="15">
        <f t="shared" si="14"/>
        <v>2.4799999999999933E-2</v>
      </c>
    </row>
    <row r="149" spans="1:16" ht="15" customHeight="1" x14ac:dyDescent="0.25">
      <c r="A149" s="3" t="s">
        <v>136</v>
      </c>
      <c r="B149" s="3" t="s">
        <v>126</v>
      </c>
      <c r="C149" s="14">
        <v>0.5</v>
      </c>
      <c r="D149" s="5">
        <v>0.72099999999999997</v>
      </c>
      <c r="E149" s="5">
        <v>0.71799999999999997</v>
      </c>
      <c r="F149" s="5">
        <v>0.74399999999999999</v>
      </c>
      <c r="G149" s="5">
        <v>0.72899999999999998</v>
      </c>
      <c r="H149" s="5">
        <v>0.72099999999999997</v>
      </c>
      <c r="I149" s="6">
        <f t="shared" si="12"/>
        <v>0.72660000000000002</v>
      </c>
      <c r="J149" s="5">
        <v>0.755</v>
      </c>
      <c r="K149" s="5">
        <v>0.755</v>
      </c>
      <c r="L149" s="5">
        <v>0.76900000000000002</v>
      </c>
      <c r="M149" s="5">
        <v>0.73799999999999999</v>
      </c>
      <c r="N149" s="5">
        <v>0.77200000000000002</v>
      </c>
      <c r="O149" s="6">
        <f t="shared" si="13"/>
        <v>0.75779999999999992</v>
      </c>
      <c r="P149" s="15">
        <f t="shared" si="14"/>
        <v>3.1199999999999894E-2</v>
      </c>
    </row>
    <row r="150" spans="1:16" ht="15" customHeight="1" x14ac:dyDescent="0.25">
      <c r="A150" s="3" t="s">
        <v>136</v>
      </c>
      <c r="B150" s="3" t="s">
        <v>127</v>
      </c>
      <c r="C150" s="14">
        <v>0.2</v>
      </c>
      <c r="D150" s="5">
        <v>0.82399999999999995</v>
      </c>
      <c r="E150" s="5">
        <v>0.81799999999999995</v>
      </c>
      <c r="F150" s="5">
        <v>0.77800000000000002</v>
      </c>
      <c r="G150" s="5">
        <v>0.83199999999999996</v>
      </c>
      <c r="H150" s="5">
        <v>0.81200000000000006</v>
      </c>
      <c r="I150" s="6">
        <f t="shared" si="12"/>
        <v>0.81279999999999997</v>
      </c>
      <c r="J150" s="5">
        <v>0.80100000000000005</v>
      </c>
      <c r="K150" s="5">
        <v>0.78900000000000003</v>
      </c>
      <c r="L150" s="5">
        <v>0.77500000000000002</v>
      </c>
      <c r="M150" s="5">
        <v>0.80300000000000005</v>
      </c>
      <c r="N150" s="5">
        <v>0.83199999999999996</v>
      </c>
      <c r="O150" s="6">
        <f t="shared" si="13"/>
        <v>0.8</v>
      </c>
      <c r="P150" s="15">
        <f t="shared" si="14"/>
        <v>-1.2799999999999923E-2</v>
      </c>
    </row>
    <row r="151" spans="1:16" ht="15" customHeight="1" x14ac:dyDescent="0.25">
      <c r="A151" s="3" t="s">
        <v>136</v>
      </c>
      <c r="B151" s="3" t="s">
        <v>127</v>
      </c>
      <c r="C151" s="14">
        <v>0.3</v>
      </c>
      <c r="D151" s="5">
        <v>0.75800000000000001</v>
      </c>
      <c r="E151" s="5">
        <v>0.752</v>
      </c>
      <c r="F151" s="5">
        <v>0.78600000000000003</v>
      </c>
      <c r="G151" s="5">
        <v>0.76900000000000002</v>
      </c>
      <c r="H151" s="5">
        <v>0.71799999999999997</v>
      </c>
      <c r="I151" s="6">
        <f t="shared" si="12"/>
        <v>0.75660000000000005</v>
      </c>
      <c r="J151" s="5">
        <v>0.78400000000000003</v>
      </c>
      <c r="K151" s="5">
        <v>0.77500000000000002</v>
      </c>
      <c r="L151" s="5">
        <v>0.75800000000000001</v>
      </c>
      <c r="M151" s="5">
        <v>0.78100000000000003</v>
      </c>
      <c r="N151" s="5">
        <v>0.72099999999999997</v>
      </c>
      <c r="O151" s="6">
        <f t="shared" si="13"/>
        <v>0.76380000000000003</v>
      </c>
      <c r="P151" s="15">
        <f t="shared" si="14"/>
        <v>7.1999999999999842E-3</v>
      </c>
    </row>
    <row r="152" spans="1:16" ht="15" customHeight="1" x14ac:dyDescent="0.25">
      <c r="A152" s="3" t="s">
        <v>136</v>
      </c>
      <c r="B152" s="3" t="s">
        <v>127</v>
      </c>
      <c r="C152" s="14">
        <v>0.4</v>
      </c>
      <c r="D152" s="5">
        <v>0.747</v>
      </c>
      <c r="E152" s="5">
        <v>0.64700000000000002</v>
      </c>
      <c r="F152" s="5">
        <v>0.64700000000000002</v>
      </c>
      <c r="G152" s="5">
        <v>0.67800000000000005</v>
      </c>
      <c r="H152" s="5">
        <v>0.71</v>
      </c>
      <c r="I152" s="6">
        <f t="shared" si="12"/>
        <v>0.68580000000000008</v>
      </c>
      <c r="J152" s="5">
        <v>0.72099999999999997</v>
      </c>
      <c r="K152" s="5">
        <v>0.66600000000000004</v>
      </c>
      <c r="L152" s="5">
        <v>0.71</v>
      </c>
      <c r="M152" s="5">
        <v>0.59499999999999997</v>
      </c>
      <c r="N152" s="5">
        <v>0.73799999999999999</v>
      </c>
      <c r="O152" s="6">
        <f t="shared" si="13"/>
        <v>0.68600000000000005</v>
      </c>
      <c r="P152" s="15">
        <f t="shared" si="14"/>
        <v>1.9999999999997797E-4</v>
      </c>
    </row>
    <row r="153" spans="1:16" ht="15" customHeight="1" x14ac:dyDescent="0.25">
      <c r="A153" s="3" t="s">
        <v>136</v>
      </c>
      <c r="B153" s="3" t="s">
        <v>127</v>
      </c>
      <c r="C153" s="14">
        <v>0.5</v>
      </c>
      <c r="D153" s="5">
        <v>0.52700000000000002</v>
      </c>
      <c r="E153" s="5">
        <v>0.499</v>
      </c>
      <c r="F153" s="5">
        <v>0.49299999999999999</v>
      </c>
      <c r="G153" s="5">
        <v>0.51</v>
      </c>
      <c r="H153" s="5">
        <v>0.51300000000000001</v>
      </c>
      <c r="I153" s="6">
        <f t="shared" si="12"/>
        <v>0.50839999999999996</v>
      </c>
      <c r="J153" s="5">
        <v>0.51800000000000002</v>
      </c>
      <c r="K153" s="5">
        <v>0.42399999999999999</v>
      </c>
      <c r="L153" s="5">
        <v>0.52100000000000002</v>
      </c>
      <c r="M153" s="5">
        <v>0.56399999999999995</v>
      </c>
      <c r="N153" s="5">
        <v>0.52400000000000002</v>
      </c>
      <c r="O153" s="6">
        <f t="shared" si="13"/>
        <v>0.51019999999999999</v>
      </c>
      <c r="P153" s="15">
        <f t="shared" si="14"/>
        <v>1.8000000000000238E-3</v>
      </c>
    </row>
    <row r="154" spans="1:16" ht="15" customHeight="1" x14ac:dyDescent="0.25">
      <c r="A154" s="3" t="s">
        <v>136</v>
      </c>
      <c r="B154" s="3" t="s">
        <v>128</v>
      </c>
      <c r="C154" s="14">
        <v>0.2</v>
      </c>
      <c r="D154" s="5">
        <v>0.67800000000000005</v>
      </c>
      <c r="E154" s="5">
        <v>0.71799999999999997</v>
      </c>
      <c r="F154" s="5">
        <v>0.69799999999999995</v>
      </c>
      <c r="G154" s="5">
        <v>0.60699999999999998</v>
      </c>
      <c r="H154" s="5">
        <v>0.74099999999999999</v>
      </c>
      <c r="I154" s="6">
        <f t="shared" si="12"/>
        <v>0.6883999999999999</v>
      </c>
      <c r="J154" s="5">
        <v>0.71199999999999997</v>
      </c>
      <c r="K154" s="5">
        <v>0.747</v>
      </c>
      <c r="L154" s="5">
        <v>0.73799999999999999</v>
      </c>
      <c r="M154" s="5">
        <v>0.70099999999999996</v>
      </c>
      <c r="N154" s="5">
        <v>0.72399999999999998</v>
      </c>
      <c r="O154" s="6">
        <f t="shared" si="13"/>
        <v>0.72439999999999993</v>
      </c>
      <c r="P154" s="15">
        <f t="shared" si="14"/>
        <v>3.6000000000000032E-2</v>
      </c>
    </row>
    <row r="155" spans="1:16" ht="15" customHeight="1" x14ac:dyDescent="0.25">
      <c r="A155" s="3" t="s">
        <v>136</v>
      </c>
      <c r="B155" s="3" t="s">
        <v>128</v>
      </c>
      <c r="C155" s="14">
        <v>0.3</v>
      </c>
      <c r="D155" s="5">
        <v>0.621</v>
      </c>
      <c r="E155" s="5">
        <v>0.67200000000000004</v>
      </c>
      <c r="F155" s="5">
        <v>0.65200000000000002</v>
      </c>
      <c r="G155" s="5">
        <v>0.63800000000000001</v>
      </c>
      <c r="H155" s="5">
        <v>0.60399999999999998</v>
      </c>
      <c r="I155" s="6">
        <f t="shared" si="12"/>
        <v>0.63740000000000008</v>
      </c>
      <c r="J155" s="5">
        <v>0.67300000000000004</v>
      </c>
      <c r="K155" s="5">
        <v>0.70899999999999996</v>
      </c>
      <c r="L155" s="5">
        <v>0.69499999999999995</v>
      </c>
      <c r="M155" s="5">
        <v>0.70099999999999996</v>
      </c>
      <c r="N155" s="5">
        <v>0.67800000000000005</v>
      </c>
      <c r="O155" s="6">
        <f t="shared" si="13"/>
        <v>0.69120000000000004</v>
      </c>
      <c r="P155" s="15">
        <f t="shared" si="14"/>
        <v>5.3799999999999959E-2</v>
      </c>
    </row>
    <row r="156" spans="1:16" ht="15" customHeight="1" x14ac:dyDescent="0.25">
      <c r="A156" s="3" t="s">
        <v>136</v>
      </c>
      <c r="B156" s="3" t="s">
        <v>128</v>
      </c>
      <c r="C156" s="14">
        <v>0.4</v>
      </c>
      <c r="D156" s="5">
        <v>0.60699999999999998</v>
      </c>
      <c r="E156" s="5">
        <v>0.52400000000000002</v>
      </c>
      <c r="F156" s="5">
        <v>0.61199999999999999</v>
      </c>
      <c r="G156" s="5">
        <v>0.59199999999999997</v>
      </c>
      <c r="H156" s="5">
        <v>0.53300000000000003</v>
      </c>
      <c r="I156" s="6">
        <f t="shared" si="12"/>
        <v>0.5736</v>
      </c>
      <c r="J156" s="5">
        <v>0.58099999999999996</v>
      </c>
      <c r="K156" s="5">
        <v>0.621</v>
      </c>
      <c r="L156" s="5">
        <v>0.61799999999999999</v>
      </c>
      <c r="M156" s="5">
        <v>0.63</v>
      </c>
      <c r="N156" s="5">
        <v>0.65500000000000003</v>
      </c>
      <c r="O156" s="6">
        <f t="shared" si="13"/>
        <v>0.62099999999999989</v>
      </c>
      <c r="P156" s="15">
        <f t="shared" si="14"/>
        <v>4.7399999999999887E-2</v>
      </c>
    </row>
    <row r="157" spans="1:16" ht="15" customHeight="1" x14ac:dyDescent="0.25">
      <c r="A157" s="3" t="s">
        <v>136</v>
      </c>
      <c r="B157" s="3" t="s">
        <v>128</v>
      </c>
      <c r="C157" s="14">
        <v>0.5</v>
      </c>
      <c r="D157" s="5">
        <v>0.55000000000000004</v>
      </c>
      <c r="E157" s="5">
        <v>0.53</v>
      </c>
      <c r="F157" s="5">
        <v>0.58099999999999996</v>
      </c>
      <c r="G157" s="5">
        <v>0.41899999999999998</v>
      </c>
      <c r="H157" s="5">
        <v>0.52400000000000002</v>
      </c>
      <c r="I157" s="6">
        <f t="shared" si="12"/>
        <v>0.52080000000000004</v>
      </c>
      <c r="J157" s="5">
        <v>0.54400000000000004</v>
      </c>
      <c r="K157" s="5">
        <v>0.504</v>
      </c>
      <c r="L157" s="5">
        <v>0.60099999999999998</v>
      </c>
      <c r="M157" s="5">
        <v>0.48099999999999998</v>
      </c>
      <c r="N157" s="5">
        <v>0.39</v>
      </c>
      <c r="O157" s="6">
        <f t="shared" si="13"/>
        <v>0.504</v>
      </c>
      <c r="P157" s="15">
        <f t="shared" si="14"/>
        <v>-1.6800000000000037E-2</v>
      </c>
    </row>
    <row r="158" spans="1:16" ht="15" customHeight="1" x14ac:dyDescent="0.25">
      <c r="A158" s="3" t="s">
        <v>137</v>
      </c>
      <c r="B158" s="3" t="s">
        <v>124</v>
      </c>
      <c r="C158" s="14">
        <v>0</v>
      </c>
      <c r="D158" s="5">
        <v>0.71199999999999997</v>
      </c>
      <c r="E158" s="5">
        <v>0.72599999999999998</v>
      </c>
      <c r="F158" s="5">
        <v>0.72599999999999998</v>
      </c>
      <c r="G158" s="5">
        <v>0.71099999999999997</v>
      </c>
      <c r="H158" s="5">
        <v>0.68799999999999994</v>
      </c>
      <c r="I158" s="6">
        <f t="shared" si="12"/>
        <v>0.7125999999999999</v>
      </c>
      <c r="J158" s="5">
        <v>0.70699999999999996</v>
      </c>
      <c r="K158" s="5">
        <v>0.67800000000000005</v>
      </c>
      <c r="L158" s="5">
        <v>0.72599999999999998</v>
      </c>
      <c r="M158" s="5">
        <v>0.73</v>
      </c>
      <c r="N158" s="5">
        <v>0.72599999999999998</v>
      </c>
      <c r="O158" s="6">
        <f t="shared" si="13"/>
        <v>0.71339999999999992</v>
      </c>
      <c r="P158" s="15">
        <f t="shared" si="14"/>
        <v>8.0000000000002292E-4</v>
      </c>
    </row>
    <row r="159" spans="1:16" ht="15" customHeight="1" x14ac:dyDescent="0.25">
      <c r="A159" s="3" t="s">
        <v>137</v>
      </c>
      <c r="B159" s="3" t="s">
        <v>125</v>
      </c>
      <c r="C159" s="14">
        <v>0.2</v>
      </c>
      <c r="D159" s="5">
        <v>0.61</v>
      </c>
      <c r="E159" s="5">
        <v>0.57699999999999996</v>
      </c>
      <c r="F159" s="5">
        <v>0.58199999999999996</v>
      </c>
      <c r="G159" s="5">
        <v>0.624</v>
      </c>
      <c r="H159" s="5">
        <v>0.60099999999999998</v>
      </c>
      <c r="I159" s="6">
        <f t="shared" si="12"/>
        <v>0.5988</v>
      </c>
      <c r="J159" s="5">
        <v>0.68799999999999994</v>
      </c>
      <c r="K159" s="5">
        <v>0.65400000000000003</v>
      </c>
      <c r="L159" s="5">
        <v>0.64500000000000002</v>
      </c>
      <c r="M159" s="5">
        <v>0.69199999999999995</v>
      </c>
      <c r="N159" s="5">
        <v>0.63400000000000001</v>
      </c>
      <c r="O159" s="6">
        <f t="shared" si="13"/>
        <v>0.66260000000000008</v>
      </c>
      <c r="P159" s="15">
        <f t="shared" si="14"/>
        <v>6.3800000000000079E-2</v>
      </c>
    </row>
    <row r="160" spans="1:16" ht="15" customHeight="1" x14ac:dyDescent="0.25">
      <c r="A160" s="3" t="s">
        <v>137</v>
      </c>
      <c r="B160" s="3" t="s">
        <v>125</v>
      </c>
      <c r="C160" s="14">
        <v>0.3</v>
      </c>
      <c r="D160" s="5">
        <v>0.56200000000000006</v>
      </c>
      <c r="E160" s="5">
        <v>0.57799999999999996</v>
      </c>
      <c r="F160" s="5">
        <v>0.55800000000000005</v>
      </c>
      <c r="G160" s="5">
        <v>0.57699999999999996</v>
      </c>
      <c r="H160" s="5">
        <v>0.51</v>
      </c>
      <c r="I160" s="6">
        <f t="shared" si="12"/>
        <v>0.55700000000000005</v>
      </c>
      <c r="J160" s="5">
        <v>0.625</v>
      </c>
      <c r="K160" s="5">
        <v>0.625</v>
      </c>
      <c r="L160" s="5">
        <v>0.56200000000000006</v>
      </c>
      <c r="M160" s="5">
        <v>0.55200000000000005</v>
      </c>
      <c r="N160" s="5">
        <v>0.61099999999999999</v>
      </c>
      <c r="O160" s="6">
        <f t="shared" si="13"/>
        <v>0.59499999999999997</v>
      </c>
      <c r="P160" s="15">
        <f t="shared" si="14"/>
        <v>3.7999999999999923E-2</v>
      </c>
    </row>
    <row r="161" spans="1:16" ht="15" customHeight="1" x14ac:dyDescent="0.25">
      <c r="A161" s="3" t="s">
        <v>137</v>
      </c>
      <c r="B161" s="3" t="s">
        <v>125</v>
      </c>
      <c r="C161" s="14">
        <v>0.4</v>
      </c>
      <c r="D161" s="5">
        <v>0.55300000000000005</v>
      </c>
      <c r="E161" s="5">
        <v>0.51400000000000001</v>
      </c>
      <c r="F161" s="5">
        <v>0.53400000000000003</v>
      </c>
      <c r="G161" s="5">
        <v>0.56699999999999995</v>
      </c>
      <c r="H161" s="5">
        <v>0.51900000000000002</v>
      </c>
      <c r="I161" s="6">
        <f t="shared" si="12"/>
        <v>0.5374000000000001</v>
      </c>
      <c r="J161" s="5">
        <v>0.52900000000000003</v>
      </c>
      <c r="K161" s="5">
        <v>0.48099999999999998</v>
      </c>
      <c r="L161" s="5">
        <v>0.55300000000000005</v>
      </c>
      <c r="M161" s="5">
        <v>0.53400000000000003</v>
      </c>
      <c r="N161" s="5">
        <v>0.6</v>
      </c>
      <c r="O161" s="6">
        <f t="shared" si="13"/>
        <v>0.5394000000000001</v>
      </c>
      <c r="P161" s="15">
        <f t="shared" si="14"/>
        <v>2.0000000000000018E-3</v>
      </c>
    </row>
    <row r="162" spans="1:16" ht="15" customHeight="1" x14ac:dyDescent="0.25">
      <c r="A162" s="3" t="s">
        <v>137</v>
      </c>
      <c r="B162" s="3" t="s">
        <v>125</v>
      </c>
      <c r="C162" s="14">
        <v>0.5</v>
      </c>
      <c r="D162" s="5">
        <v>0.46600000000000003</v>
      </c>
      <c r="E162" s="5">
        <v>0.52</v>
      </c>
      <c r="F162" s="5">
        <v>0.50900000000000001</v>
      </c>
      <c r="G162" s="5">
        <v>0.5</v>
      </c>
      <c r="H162" s="5">
        <v>0.57299999999999995</v>
      </c>
      <c r="I162" s="6">
        <f t="shared" si="12"/>
        <v>0.51360000000000006</v>
      </c>
      <c r="J162" s="5">
        <v>0.44700000000000001</v>
      </c>
      <c r="K162" s="5">
        <v>0.55200000000000005</v>
      </c>
      <c r="L162" s="5">
        <v>0.49</v>
      </c>
      <c r="M162" s="5">
        <v>0.52900000000000003</v>
      </c>
      <c r="N162" s="5">
        <v>0.56200000000000006</v>
      </c>
      <c r="O162" s="6">
        <f t="shared" si="13"/>
        <v>0.51600000000000001</v>
      </c>
      <c r="P162" s="15">
        <f t="shared" si="14"/>
        <v>2.3999999999999577E-3</v>
      </c>
    </row>
    <row r="163" spans="1:16" ht="15" customHeight="1" x14ac:dyDescent="0.25">
      <c r="A163" s="3" t="s">
        <v>137</v>
      </c>
      <c r="B163" s="3" t="s">
        <v>126</v>
      </c>
      <c r="C163" s="14">
        <v>0.2</v>
      </c>
      <c r="D163" s="5">
        <v>0.63400000000000001</v>
      </c>
      <c r="E163" s="5">
        <v>0.59199999999999997</v>
      </c>
      <c r="F163" s="5">
        <v>0.60599999999999998</v>
      </c>
      <c r="G163" s="5">
        <v>0.65900000000000003</v>
      </c>
      <c r="H163" s="5">
        <v>0.54400000000000004</v>
      </c>
      <c r="I163" s="6">
        <f t="shared" si="12"/>
        <v>0.60699999999999998</v>
      </c>
      <c r="J163" s="5">
        <v>0.65400000000000003</v>
      </c>
      <c r="K163" s="5">
        <v>0.65500000000000003</v>
      </c>
      <c r="L163" s="5">
        <v>0.62</v>
      </c>
      <c r="M163" s="5">
        <v>0.64800000000000002</v>
      </c>
      <c r="N163" s="5">
        <v>0.60099999999999998</v>
      </c>
      <c r="O163" s="6">
        <f t="shared" si="13"/>
        <v>0.63560000000000005</v>
      </c>
      <c r="P163" s="15">
        <f t="shared" si="14"/>
        <v>2.860000000000007E-2</v>
      </c>
    </row>
    <row r="164" spans="1:16" ht="15" customHeight="1" x14ac:dyDescent="0.25">
      <c r="A164" s="3" t="s">
        <v>137</v>
      </c>
      <c r="B164" s="3" t="s">
        <v>126</v>
      </c>
      <c r="C164" s="14">
        <v>0.3</v>
      </c>
      <c r="D164" s="5">
        <v>0.56299999999999994</v>
      </c>
      <c r="E164" s="5">
        <v>0.59099999999999997</v>
      </c>
      <c r="F164" s="5">
        <v>0.60099999999999998</v>
      </c>
      <c r="G164" s="5">
        <v>0.6</v>
      </c>
      <c r="H164" s="5">
        <v>0.55400000000000005</v>
      </c>
      <c r="I164" s="6">
        <f t="shared" si="12"/>
        <v>0.58179999999999998</v>
      </c>
      <c r="J164" s="5">
        <v>0.65800000000000003</v>
      </c>
      <c r="K164" s="5">
        <v>0.64400000000000002</v>
      </c>
      <c r="L164" s="5">
        <v>0.65900000000000003</v>
      </c>
      <c r="M164" s="5">
        <v>0.68700000000000006</v>
      </c>
      <c r="N164" s="5">
        <v>0.60099999999999998</v>
      </c>
      <c r="O164" s="6">
        <f t="shared" si="13"/>
        <v>0.64980000000000004</v>
      </c>
      <c r="P164" s="15">
        <f t="shared" si="14"/>
        <v>6.800000000000006E-2</v>
      </c>
    </row>
    <row r="165" spans="1:16" ht="15" customHeight="1" x14ac:dyDescent="0.25">
      <c r="A165" s="3" t="s">
        <v>137</v>
      </c>
      <c r="B165" s="3" t="s">
        <v>126</v>
      </c>
      <c r="C165" s="14">
        <v>0.4</v>
      </c>
      <c r="D165" s="5">
        <v>0.56200000000000006</v>
      </c>
      <c r="E165" s="5">
        <v>0.60199999999999998</v>
      </c>
      <c r="F165" s="5">
        <v>0.57199999999999995</v>
      </c>
      <c r="G165" s="5">
        <v>0.56200000000000006</v>
      </c>
      <c r="H165" s="5">
        <v>0.55400000000000005</v>
      </c>
      <c r="I165" s="6">
        <f t="shared" ref="I165:I196" si="15">IFERROR(AVERAGE(D165:H165),"-")</f>
        <v>0.57040000000000002</v>
      </c>
      <c r="J165" s="5">
        <v>0.63</v>
      </c>
      <c r="K165" s="5">
        <v>0.54800000000000004</v>
      </c>
      <c r="L165" s="5">
        <v>0.62</v>
      </c>
      <c r="M165" s="5">
        <v>0.57699999999999996</v>
      </c>
      <c r="N165" s="5">
        <v>0.60599999999999998</v>
      </c>
      <c r="O165" s="6">
        <f t="shared" ref="O165:O196" si="16">IFERROR(AVERAGE(J165:N165),"-")</f>
        <v>0.59619999999999995</v>
      </c>
      <c r="P165" s="15">
        <f t="shared" ref="P165:P196" si="17">IFERROR(O165-I165,"-")</f>
        <v>2.5799999999999934E-2</v>
      </c>
    </row>
    <row r="166" spans="1:16" ht="15" customHeight="1" x14ac:dyDescent="0.25">
      <c r="A166" s="3" t="s">
        <v>137</v>
      </c>
      <c r="B166" s="3" t="s">
        <v>126</v>
      </c>
      <c r="C166" s="14">
        <v>0.5</v>
      </c>
      <c r="D166" s="5">
        <v>0.52900000000000003</v>
      </c>
      <c r="E166" s="5">
        <v>0.53300000000000003</v>
      </c>
      <c r="F166" s="5">
        <v>0.51500000000000001</v>
      </c>
      <c r="G166" s="5">
        <v>0.5</v>
      </c>
      <c r="H166" s="5">
        <v>0.55300000000000005</v>
      </c>
      <c r="I166" s="6">
        <f t="shared" si="15"/>
        <v>0.52600000000000002</v>
      </c>
      <c r="J166" s="5">
        <v>0.58199999999999996</v>
      </c>
      <c r="K166" s="5">
        <v>0.57699999999999996</v>
      </c>
      <c r="L166" s="5">
        <v>0.56699999999999995</v>
      </c>
      <c r="M166" s="5">
        <v>0.60899999999999999</v>
      </c>
      <c r="N166" s="5">
        <v>0.57199999999999995</v>
      </c>
      <c r="O166" s="6">
        <f t="shared" si="16"/>
        <v>0.58140000000000003</v>
      </c>
      <c r="P166" s="15">
        <f t="shared" si="17"/>
        <v>5.5400000000000005E-2</v>
      </c>
    </row>
    <row r="167" spans="1:16" ht="15" customHeight="1" x14ac:dyDescent="0.25">
      <c r="A167" s="3" t="s">
        <v>137</v>
      </c>
      <c r="B167" s="3" t="s">
        <v>127</v>
      </c>
      <c r="C167" s="14">
        <v>0.2</v>
      </c>
      <c r="D167" s="5">
        <v>0.625</v>
      </c>
      <c r="E167" s="5">
        <v>0.62</v>
      </c>
      <c r="F167" s="5">
        <v>0.66400000000000003</v>
      </c>
      <c r="G167" s="5">
        <v>0.69699999999999995</v>
      </c>
      <c r="H167" s="5">
        <v>0.61</v>
      </c>
      <c r="I167" s="6">
        <f t="shared" si="15"/>
        <v>0.64319999999999999</v>
      </c>
      <c r="J167" s="5">
        <v>0.69299999999999995</v>
      </c>
      <c r="K167" s="5">
        <v>0.68300000000000005</v>
      </c>
      <c r="L167" s="5">
        <v>0.77900000000000003</v>
      </c>
      <c r="M167" s="5">
        <v>0.72</v>
      </c>
      <c r="N167" s="5">
        <v>0.71599999999999997</v>
      </c>
      <c r="O167" s="6">
        <f t="shared" si="16"/>
        <v>0.71820000000000006</v>
      </c>
      <c r="P167" s="15">
        <f t="shared" si="17"/>
        <v>7.5000000000000067E-2</v>
      </c>
    </row>
    <row r="168" spans="1:16" ht="15" customHeight="1" x14ac:dyDescent="0.25">
      <c r="A168" s="3" t="s">
        <v>137</v>
      </c>
      <c r="B168" s="3" t="s">
        <v>127</v>
      </c>
      <c r="C168" s="14">
        <v>0.3</v>
      </c>
      <c r="D168" s="5">
        <v>0.60599999999999998</v>
      </c>
      <c r="E168" s="5">
        <v>0.58099999999999996</v>
      </c>
      <c r="F168" s="5">
        <v>0.68300000000000005</v>
      </c>
      <c r="G168" s="5">
        <v>0.68700000000000006</v>
      </c>
      <c r="H168" s="5">
        <v>0.66400000000000003</v>
      </c>
      <c r="I168" s="6">
        <f t="shared" si="15"/>
        <v>0.64419999999999999</v>
      </c>
      <c r="J168" s="5">
        <v>0.65300000000000002</v>
      </c>
      <c r="K168" s="5">
        <v>0.625</v>
      </c>
      <c r="L168" s="5">
        <v>0.69799999999999995</v>
      </c>
      <c r="M168" s="5">
        <v>0.63400000000000001</v>
      </c>
      <c r="N168" s="5">
        <v>0.69199999999999995</v>
      </c>
      <c r="O168" s="6">
        <f t="shared" si="16"/>
        <v>0.66039999999999988</v>
      </c>
      <c r="P168" s="15">
        <f t="shared" si="17"/>
        <v>1.6199999999999881E-2</v>
      </c>
    </row>
    <row r="169" spans="1:16" ht="15" customHeight="1" x14ac:dyDescent="0.25">
      <c r="A169" s="3" t="s">
        <v>137</v>
      </c>
      <c r="B169" s="3" t="s">
        <v>127</v>
      </c>
      <c r="C169" s="14">
        <v>0.4</v>
      </c>
      <c r="D169" s="5">
        <v>0.54800000000000004</v>
      </c>
      <c r="E169" s="5">
        <v>0.54800000000000004</v>
      </c>
      <c r="F169" s="5">
        <v>0.57699999999999996</v>
      </c>
      <c r="G169" s="5">
        <v>0.61099999999999999</v>
      </c>
      <c r="H169" s="5">
        <v>0.60199999999999998</v>
      </c>
      <c r="I169" s="6">
        <f t="shared" si="15"/>
        <v>0.57719999999999994</v>
      </c>
      <c r="J169" s="5">
        <v>0.59099999999999997</v>
      </c>
      <c r="K169" s="5">
        <v>0.625</v>
      </c>
      <c r="L169" s="5">
        <v>0.58199999999999996</v>
      </c>
      <c r="M169" s="5">
        <v>0.63900000000000001</v>
      </c>
      <c r="N169" s="5">
        <v>0.63400000000000001</v>
      </c>
      <c r="O169" s="6">
        <f t="shared" si="16"/>
        <v>0.61420000000000008</v>
      </c>
      <c r="P169" s="15">
        <f t="shared" si="17"/>
        <v>3.7000000000000144E-2</v>
      </c>
    </row>
    <row r="170" spans="1:16" ht="15" customHeight="1" x14ac:dyDescent="0.25">
      <c r="A170" s="3" t="s">
        <v>137</v>
      </c>
      <c r="B170" s="3" t="s">
        <v>127</v>
      </c>
      <c r="C170" s="14">
        <v>0.5</v>
      </c>
      <c r="D170" s="5">
        <v>0.505</v>
      </c>
      <c r="E170" s="5">
        <v>0.55300000000000005</v>
      </c>
      <c r="F170" s="5">
        <v>0.50900000000000001</v>
      </c>
      <c r="G170" s="5">
        <v>0.47499999999999998</v>
      </c>
      <c r="H170" s="5">
        <v>0.49</v>
      </c>
      <c r="I170" s="6">
        <f t="shared" si="15"/>
        <v>0.50639999999999996</v>
      </c>
      <c r="J170" s="5">
        <v>0.52</v>
      </c>
      <c r="K170" s="5">
        <v>0.505</v>
      </c>
      <c r="L170" s="5">
        <v>0.504</v>
      </c>
      <c r="M170" s="5">
        <v>0.48499999999999999</v>
      </c>
      <c r="N170" s="5">
        <v>0.504</v>
      </c>
      <c r="O170" s="6">
        <f t="shared" si="16"/>
        <v>0.50359999999999994</v>
      </c>
      <c r="P170" s="15">
        <f t="shared" si="17"/>
        <v>-2.8000000000000247E-3</v>
      </c>
    </row>
    <row r="171" spans="1:16" ht="15" customHeight="1" x14ac:dyDescent="0.25">
      <c r="A171" s="3" t="s">
        <v>137</v>
      </c>
      <c r="B171" s="3" t="s">
        <v>128</v>
      </c>
      <c r="C171" s="14">
        <v>0.2</v>
      </c>
      <c r="D171" s="5">
        <v>0.59099999999999997</v>
      </c>
      <c r="E171" s="5">
        <v>0.60199999999999998</v>
      </c>
      <c r="F171" s="5">
        <v>0.60099999999999998</v>
      </c>
      <c r="G171" s="5">
        <v>0.54300000000000004</v>
      </c>
      <c r="H171" s="5">
        <v>0.64900000000000002</v>
      </c>
      <c r="I171" s="6">
        <f t="shared" si="15"/>
        <v>0.59720000000000006</v>
      </c>
      <c r="J171" s="5">
        <v>0.59599999999999997</v>
      </c>
      <c r="K171" s="5">
        <v>0.65</v>
      </c>
      <c r="L171" s="5">
        <v>0.69699999999999995</v>
      </c>
      <c r="M171" s="5">
        <v>0.66700000000000004</v>
      </c>
      <c r="N171" s="5">
        <v>0.65900000000000003</v>
      </c>
      <c r="O171" s="6">
        <f t="shared" si="16"/>
        <v>0.65380000000000005</v>
      </c>
      <c r="P171" s="15">
        <f t="shared" si="17"/>
        <v>5.6599999999999984E-2</v>
      </c>
    </row>
    <row r="172" spans="1:16" ht="15" customHeight="1" x14ac:dyDescent="0.25">
      <c r="A172" s="3" t="s">
        <v>137</v>
      </c>
      <c r="B172" s="3" t="s">
        <v>128</v>
      </c>
      <c r="C172" s="14">
        <v>0.3</v>
      </c>
      <c r="D172" s="5">
        <v>0.56799999999999995</v>
      </c>
      <c r="E172" s="5">
        <v>0.57199999999999995</v>
      </c>
      <c r="F172" s="5">
        <v>0.5</v>
      </c>
      <c r="G172" s="5">
        <v>0.56299999999999994</v>
      </c>
      <c r="H172" s="5">
        <v>0.51</v>
      </c>
      <c r="I172" s="6">
        <f t="shared" si="15"/>
        <v>0.54259999999999997</v>
      </c>
      <c r="J172" s="5">
        <v>0.629</v>
      </c>
      <c r="K172" s="5">
        <v>0.60199999999999998</v>
      </c>
      <c r="L172" s="5">
        <v>0.65400000000000003</v>
      </c>
      <c r="M172" s="5">
        <v>0.70199999999999996</v>
      </c>
      <c r="N172" s="5">
        <v>0.57699999999999996</v>
      </c>
      <c r="O172" s="6">
        <f t="shared" si="16"/>
        <v>0.63279999999999992</v>
      </c>
      <c r="P172" s="15">
        <f t="shared" si="17"/>
        <v>9.0199999999999947E-2</v>
      </c>
    </row>
    <row r="173" spans="1:16" ht="15" customHeight="1" x14ac:dyDescent="0.25">
      <c r="A173" s="3" t="s">
        <v>137</v>
      </c>
      <c r="B173" s="3" t="s">
        <v>128</v>
      </c>
      <c r="C173" s="14">
        <v>0.4</v>
      </c>
      <c r="D173" s="5">
        <v>0.499</v>
      </c>
      <c r="E173" s="5">
        <v>0.52400000000000002</v>
      </c>
      <c r="F173" s="5">
        <v>0.57699999999999996</v>
      </c>
      <c r="G173" s="5">
        <v>0.53900000000000003</v>
      </c>
      <c r="H173" s="5">
        <v>0.57299999999999995</v>
      </c>
      <c r="I173" s="6">
        <f t="shared" si="15"/>
        <v>0.54239999999999999</v>
      </c>
      <c r="J173" s="5">
        <v>0.58599999999999997</v>
      </c>
      <c r="K173" s="5">
        <v>0.52300000000000002</v>
      </c>
      <c r="L173" s="5">
        <v>0.58699999999999997</v>
      </c>
      <c r="M173" s="5">
        <v>0.58699999999999997</v>
      </c>
      <c r="N173" s="5">
        <v>0.60599999999999998</v>
      </c>
      <c r="O173" s="6">
        <f t="shared" si="16"/>
        <v>0.57779999999999998</v>
      </c>
      <c r="P173" s="15">
        <f t="shared" si="17"/>
        <v>3.5399999999999987E-2</v>
      </c>
    </row>
    <row r="174" spans="1:16" ht="15" customHeight="1" x14ac:dyDescent="0.25">
      <c r="A174" s="3" t="s">
        <v>137</v>
      </c>
      <c r="B174" s="3" t="s">
        <v>128</v>
      </c>
      <c r="C174" s="14">
        <v>0.5</v>
      </c>
      <c r="D174" s="5">
        <v>0.48499999999999999</v>
      </c>
      <c r="E174" s="5">
        <v>0.52900000000000003</v>
      </c>
      <c r="F174" s="5">
        <v>0.51900000000000002</v>
      </c>
      <c r="G174" s="5">
        <v>0.52900000000000003</v>
      </c>
      <c r="H174" s="5">
        <v>0.496</v>
      </c>
      <c r="I174" s="6">
        <f t="shared" si="15"/>
        <v>0.51159999999999994</v>
      </c>
      <c r="J174" s="5">
        <v>0.50900000000000001</v>
      </c>
      <c r="K174" s="5">
        <v>0.57699999999999996</v>
      </c>
      <c r="L174" s="5">
        <v>0.51400000000000001</v>
      </c>
      <c r="M174" s="5">
        <v>0.55800000000000005</v>
      </c>
      <c r="N174" s="5">
        <v>0.51900000000000002</v>
      </c>
      <c r="O174" s="6">
        <f t="shared" si="16"/>
        <v>0.53539999999999999</v>
      </c>
      <c r="P174" s="15">
        <f t="shared" si="17"/>
        <v>2.3800000000000043E-2</v>
      </c>
    </row>
    <row r="176" spans="1:16" ht="15" customHeight="1" x14ac:dyDescent="0.25">
      <c r="A176" s="4" t="s">
        <v>138</v>
      </c>
    </row>
    <row r="177" spans="1:5" ht="15" customHeight="1" x14ac:dyDescent="0.25">
      <c r="A177" s="16" t="s">
        <v>108</v>
      </c>
      <c r="B177" s="16" t="s">
        <v>109</v>
      </c>
      <c r="C177" s="16" t="s">
        <v>139</v>
      </c>
      <c r="D177" s="16" t="s">
        <v>140</v>
      </c>
      <c r="E177" s="16" t="s">
        <v>141</v>
      </c>
    </row>
    <row r="178" spans="1:5" ht="15" customHeight="1" x14ac:dyDescent="0.25">
      <c r="A178" s="17" t="s">
        <v>124</v>
      </c>
      <c r="B178" s="18">
        <v>0</v>
      </c>
      <c r="C178" s="7">
        <f t="shared" ref="C178:C194" si="18">AVERAGEIFS($I$5:$I$174,$B$5:$B$174,A178,$C$5:$C$174,B178)</f>
        <v>0.82224000000000008</v>
      </c>
      <c r="D178" s="7">
        <f t="shared" ref="D178:D194" si="19">AVERAGEIFS($O$5:$O$174,$B$5:$B$174,A178,$C$5:$C$174,B178)</f>
        <v>0.83050000000000002</v>
      </c>
      <c r="E178" s="8">
        <f t="shared" ref="E178:E194" si="20">D178-C178</f>
        <v>8.2599999999999341E-3</v>
      </c>
    </row>
    <row r="179" spans="1:5" ht="15" customHeight="1" x14ac:dyDescent="0.25">
      <c r="A179" s="17" t="s">
        <v>125</v>
      </c>
      <c r="B179" s="18">
        <v>0.2</v>
      </c>
      <c r="C179" s="7">
        <f t="shared" si="18"/>
        <v>0.77534000000000003</v>
      </c>
      <c r="D179" s="7">
        <f t="shared" si="19"/>
        <v>0.79013999999999995</v>
      </c>
      <c r="E179" s="8">
        <f t="shared" si="20"/>
        <v>1.4799999999999924E-2</v>
      </c>
    </row>
    <row r="180" spans="1:5" ht="15" customHeight="1" x14ac:dyDescent="0.25">
      <c r="A180" s="17" t="s">
        <v>125</v>
      </c>
      <c r="B180" s="18">
        <v>0.3</v>
      </c>
      <c r="C180" s="7">
        <f t="shared" si="18"/>
        <v>0.73401999999999989</v>
      </c>
      <c r="D180" s="7">
        <f t="shared" si="19"/>
        <v>0.75402000000000002</v>
      </c>
      <c r="E180" s="8">
        <f t="shared" si="20"/>
        <v>2.0000000000000129E-2</v>
      </c>
    </row>
    <row r="181" spans="1:5" ht="15" customHeight="1" x14ac:dyDescent="0.25">
      <c r="A181" s="17" t="s">
        <v>125</v>
      </c>
      <c r="B181" s="18">
        <v>0.4</v>
      </c>
      <c r="C181" s="7">
        <f t="shared" si="18"/>
        <v>0.66076000000000001</v>
      </c>
      <c r="D181" s="7">
        <f t="shared" si="19"/>
        <v>0.67554000000000003</v>
      </c>
      <c r="E181" s="8">
        <f t="shared" si="20"/>
        <v>1.4780000000000015E-2</v>
      </c>
    </row>
    <row r="182" spans="1:5" ht="15" customHeight="1" x14ac:dyDescent="0.25">
      <c r="A182" s="17" t="s">
        <v>125</v>
      </c>
      <c r="B182" s="18">
        <v>0.5</v>
      </c>
      <c r="C182" s="7">
        <f t="shared" si="18"/>
        <v>0.48850000000000005</v>
      </c>
      <c r="D182" s="7">
        <f t="shared" si="19"/>
        <v>0.50196000000000007</v>
      </c>
      <c r="E182" s="8">
        <f t="shared" si="20"/>
        <v>1.3460000000000027E-2</v>
      </c>
    </row>
    <row r="183" spans="1:5" ht="15" customHeight="1" x14ac:dyDescent="0.25">
      <c r="A183" s="17" t="s">
        <v>126</v>
      </c>
      <c r="B183" s="18">
        <v>0.2</v>
      </c>
      <c r="C183" s="7">
        <f t="shared" si="18"/>
        <v>0.77805999999999997</v>
      </c>
      <c r="D183" s="7">
        <f t="shared" si="19"/>
        <v>0.78534000000000004</v>
      </c>
      <c r="E183" s="8">
        <f t="shared" si="20"/>
        <v>7.2800000000000642E-3</v>
      </c>
    </row>
    <row r="184" spans="1:5" ht="15" customHeight="1" x14ac:dyDescent="0.25">
      <c r="A184" s="17" t="s">
        <v>126</v>
      </c>
      <c r="B184" s="18">
        <v>0.3</v>
      </c>
      <c r="C184" s="7">
        <f t="shared" si="18"/>
        <v>0.75248000000000004</v>
      </c>
      <c r="D184" s="7">
        <f t="shared" si="19"/>
        <v>0.75975999999999988</v>
      </c>
      <c r="E184" s="8">
        <f t="shared" si="20"/>
        <v>7.2799999999998422E-3</v>
      </c>
    </row>
    <row r="185" spans="1:5" ht="15" customHeight="1" x14ac:dyDescent="0.25">
      <c r="A185" s="17" t="s">
        <v>126</v>
      </c>
      <c r="B185" s="18">
        <v>0.4</v>
      </c>
      <c r="C185" s="7">
        <f t="shared" si="18"/>
        <v>0.70882000000000001</v>
      </c>
      <c r="D185" s="7">
        <f t="shared" si="19"/>
        <v>0.70681999999999989</v>
      </c>
      <c r="E185" s="8">
        <f t="shared" si="20"/>
        <v>-2.0000000000001128E-3</v>
      </c>
    </row>
    <row r="186" spans="1:5" ht="15" customHeight="1" x14ac:dyDescent="0.25">
      <c r="A186" s="17" t="s">
        <v>126</v>
      </c>
      <c r="B186" s="18">
        <v>0.5</v>
      </c>
      <c r="C186" s="7">
        <f t="shared" si="18"/>
        <v>0.64395999999999998</v>
      </c>
      <c r="D186" s="7">
        <f t="shared" si="19"/>
        <v>0.64910000000000001</v>
      </c>
      <c r="E186" s="8">
        <f t="shared" si="20"/>
        <v>5.1400000000000334E-3</v>
      </c>
    </row>
    <row r="187" spans="1:5" ht="15" customHeight="1" x14ac:dyDescent="0.25">
      <c r="A187" s="17" t="s">
        <v>127</v>
      </c>
      <c r="B187" s="18">
        <v>0.2</v>
      </c>
      <c r="C187" s="7">
        <f t="shared" si="18"/>
        <v>0.79183999999999999</v>
      </c>
      <c r="D187" s="7">
        <f t="shared" si="19"/>
        <v>0.81037999999999999</v>
      </c>
      <c r="E187" s="8">
        <f t="shared" si="20"/>
        <v>1.8540000000000001E-2</v>
      </c>
    </row>
    <row r="188" spans="1:5" ht="15" customHeight="1" x14ac:dyDescent="0.25">
      <c r="A188" s="17" t="s">
        <v>127</v>
      </c>
      <c r="B188" s="18">
        <v>0.3</v>
      </c>
      <c r="C188" s="7">
        <f t="shared" si="18"/>
        <v>0.75621999999999989</v>
      </c>
      <c r="D188" s="7">
        <f t="shared" si="19"/>
        <v>0.77200000000000002</v>
      </c>
      <c r="E188" s="8">
        <f t="shared" si="20"/>
        <v>1.5780000000000127E-2</v>
      </c>
    </row>
    <row r="189" spans="1:5" ht="15" customHeight="1" x14ac:dyDescent="0.25">
      <c r="A189" s="17" t="s">
        <v>127</v>
      </c>
      <c r="B189" s="18">
        <v>0.4</v>
      </c>
      <c r="C189" s="7">
        <f t="shared" si="18"/>
        <v>0.70310000000000006</v>
      </c>
      <c r="D189" s="7">
        <f t="shared" si="19"/>
        <v>0.71068000000000009</v>
      </c>
      <c r="E189" s="8">
        <f t="shared" si="20"/>
        <v>7.5800000000000312E-3</v>
      </c>
    </row>
    <row r="190" spans="1:5" ht="15" customHeight="1" x14ac:dyDescent="0.25">
      <c r="A190" s="17" t="s">
        <v>127</v>
      </c>
      <c r="B190" s="18">
        <v>0.5</v>
      </c>
      <c r="C190" s="7">
        <f t="shared" si="18"/>
        <v>0.50080000000000002</v>
      </c>
      <c r="D190" s="7">
        <f t="shared" si="19"/>
        <v>0.50293999999999994</v>
      </c>
      <c r="E190" s="8">
        <f t="shared" si="20"/>
        <v>2.1399999999999197E-3</v>
      </c>
    </row>
    <row r="191" spans="1:5" ht="15" customHeight="1" x14ac:dyDescent="0.25">
      <c r="A191" s="17" t="s">
        <v>128</v>
      </c>
      <c r="B191" s="18">
        <v>0.2</v>
      </c>
      <c r="C191" s="7">
        <f t="shared" si="18"/>
        <v>0.74056</v>
      </c>
      <c r="D191" s="7">
        <f t="shared" si="19"/>
        <v>0.7657400000000002</v>
      </c>
      <c r="E191" s="8">
        <f t="shared" si="20"/>
        <v>2.5180000000000202E-2</v>
      </c>
    </row>
    <row r="192" spans="1:5" ht="15" customHeight="1" x14ac:dyDescent="0.25">
      <c r="A192" s="17" t="s">
        <v>128</v>
      </c>
      <c r="B192" s="18">
        <v>0.3</v>
      </c>
      <c r="C192" s="7">
        <f t="shared" si="18"/>
        <v>0.69813999999999998</v>
      </c>
      <c r="D192" s="7">
        <f t="shared" si="19"/>
        <v>0.7353400000000001</v>
      </c>
      <c r="E192" s="8">
        <f t="shared" si="20"/>
        <v>3.7200000000000122E-2</v>
      </c>
    </row>
    <row r="193" spans="1:5" ht="15" customHeight="1" x14ac:dyDescent="0.25">
      <c r="A193" s="17" t="s">
        <v>128</v>
      </c>
      <c r="B193" s="18">
        <v>0.4</v>
      </c>
      <c r="C193" s="7">
        <f t="shared" si="18"/>
        <v>0.62736000000000003</v>
      </c>
      <c r="D193" s="7">
        <f t="shared" si="19"/>
        <v>0.66787999999999981</v>
      </c>
      <c r="E193" s="8">
        <f t="shared" si="20"/>
        <v>4.0519999999999778E-2</v>
      </c>
    </row>
    <row r="194" spans="1:5" ht="15" customHeight="1" x14ac:dyDescent="0.25">
      <c r="A194" s="17" t="s">
        <v>128</v>
      </c>
      <c r="B194" s="18">
        <v>0.5</v>
      </c>
      <c r="C194" s="7">
        <f t="shared" si="18"/>
        <v>0.49675999999999998</v>
      </c>
      <c r="D194" s="7">
        <f t="shared" si="19"/>
        <v>0.49335999999999991</v>
      </c>
      <c r="E194" s="8">
        <f t="shared" si="20"/>
        <v>-3.4000000000000696E-3</v>
      </c>
    </row>
    <row r="195" spans="1:5" ht="15" customHeight="1" x14ac:dyDescent="0.25">
      <c r="A195" s="9" t="s">
        <v>142</v>
      </c>
      <c r="B195" s="10"/>
      <c r="C195" s="11">
        <f>AVERAGE(C178:C194)</f>
        <v>0.68699764705882349</v>
      </c>
      <c r="D195" s="11">
        <f>AVERAGE(D178:D194)</f>
        <v>0.70067647058823546</v>
      </c>
      <c r="E195" s="12">
        <f>AVERAGE(E178:E194)</f>
        <v>1.3678823529411762E-2</v>
      </c>
    </row>
  </sheetData>
  <mergeCells count="1">
    <mergeCell ref="A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15" customWidth="1"/>
    <col min="2" max="2" width="12" customWidth="1"/>
    <col min="3" max="3" width="6" customWidth="1"/>
    <col min="4" max="16" width="8" customWidth="1"/>
  </cols>
  <sheetData>
    <row r="1" spans="1:16" ht="17.25" customHeight="1" x14ac:dyDescent="0.3">
      <c r="A1" s="1" t="s">
        <v>143</v>
      </c>
    </row>
    <row r="2" spans="1:16" ht="42" customHeight="1" x14ac:dyDescent="0.25">
      <c r="A2" s="68" t="s">
        <v>144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42" customHeight="1" x14ac:dyDescent="0.25">
      <c r="A3" s="67" t="s">
        <v>145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6" ht="24.75" customHeight="1" x14ac:dyDescent="0.25">
      <c r="A4" s="19" t="s">
        <v>107</v>
      </c>
      <c r="B4" s="19" t="s">
        <v>108</v>
      </c>
      <c r="C4" s="19" t="s">
        <v>109</v>
      </c>
      <c r="D4" s="19" t="s">
        <v>110</v>
      </c>
      <c r="E4" s="19" t="s">
        <v>111</v>
      </c>
      <c r="F4" s="19" t="s">
        <v>112</v>
      </c>
      <c r="G4" s="19" t="s">
        <v>113</v>
      </c>
      <c r="H4" s="19" t="s">
        <v>114</v>
      </c>
      <c r="I4" s="19" t="s">
        <v>115</v>
      </c>
      <c r="J4" s="19" t="s">
        <v>116</v>
      </c>
      <c r="K4" s="19" t="s">
        <v>117</v>
      </c>
      <c r="L4" s="19" t="s">
        <v>118</v>
      </c>
      <c r="M4" s="19" t="s">
        <v>119</v>
      </c>
      <c r="N4" s="19" t="s">
        <v>120</v>
      </c>
      <c r="O4" s="19" t="s">
        <v>121</v>
      </c>
      <c r="P4" s="19" t="s">
        <v>122</v>
      </c>
    </row>
    <row r="5" spans="1:16" ht="15" customHeight="1" x14ac:dyDescent="0.25">
      <c r="A5" s="3" t="s">
        <v>123</v>
      </c>
      <c r="B5" s="3" t="s">
        <v>124</v>
      </c>
      <c r="C5" s="14">
        <v>0</v>
      </c>
      <c r="D5" s="5">
        <v>0.80900000000000005</v>
      </c>
      <c r="E5" s="5">
        <v>0.80900000000000005</v>
      </c>
      <c r="F5" s="5">
        <v>0.80200000000000005</v>
      </c>
      <c r="G5" s="5">
        <v>0.78700000000000003</v>
      </c>
      <c r="H5" s="5">
        <v>0.79</v>
      </c>
      <c r="I5" s="6">
        <f t="shared" ref="I5:I36" si="0">IFERROR(AVERAGE(D5:H5),"-")</f>
        <v>0.7994</v>
      </c>
      <c r="J5" s="5">
        <v>0.81299999999999994</v>
      </c>
      <c r="K5" s="5">
        <v>0.71899999999999997</v>
      </c>
      <c r="L5" s="5">
        <v>0.78700000000000003</v>
      </c>
      <c r="M5" s="5">
        <v>0.77900000000000003</v>
      </c>
      <c r="N5" s="5">
        <v>0.78300000000000003</v>
      </c>
      <c r="O5" s="6">
        <f t="shared" ref="O5:O36" si="1">IFERROR(AVERAGE(J5:N5),"-")</f>
        <v>0.7762</v>
      </c>
      <c r="P5" s="15">
        <f t="shared" ref="P5:P36" si="2">IFERROR(O5-I5,"-")</f>
        <v>-2.3199999999999998E-2</v>
      </c>
    </row>
    <row r="6" spans="1:16" ht="15" customHeight="1" x14ac:dyDescent="0.25">
      <c r="A6" s="3" t="s">
        <v>123</v>
      </c>
      <c r="B6" s="3" t="s">
        <v>125</v>
      </c>
      <c r="C6" s="14">
        <v>0.2</v>
      </c>
      <c r="D6" s="5">
        <v>0.753</v>
      </c>
      <c r="E6" s="5">
        <v>0.73799999999999999</v>
      </c>
      <c r="F6" s="5">
        <v>0.73</v>
      </c>
      <c r="G6" s="5">
        <v>0.73399999999999999</v>
      </c>
      <c r="H6" s="5">
        <v>0.71199999999999997</v>
      </c>
      <c r="I6" s="6">
        <f t="shared" si="0"/>
        <v>0.73339999999999994</v>
      </c>
      <c r="J6" s="5">
        <v>0.78300000000000003</v>
      </c>
      <c r="K6" s="5">
        <v>0.67800000000000005</v>
      </c>
      <c r="L6" s="5">
        <v>0.73</v>
      </c>
      <c r="M6" s="5">
        <v>0.68100000000000005</v>
      </c>
      <c r="N6" s="5">
        <v>0.66600000000000004</v>
      </c>
      <c r="O6" s="6">
        <f t="shared" si="1"/>
        <v>0.70760000000000001</v>
      </c>
      <c r="P6" s="15">
        <f t="shared" si="2"/>
        <v>-2.5799999999999934E-2</v>
      </c>
    </row>
    <row r="7" spans="1:16" ht="15" customHeight="1" x14ac:dyDescent="0.25">
      <c r="A7" s="3" t="s">
        <v>123</v>
      </c>
      <c r="B7" s="3" t="s">
        <v>125</v>
      </c>
      <c r="C7" s="14">
        <v>0.3</v>
      </c>
      <c r="D7" s="5">
        <v>0.65600000000000003</v>
      </c>
      <c r="E7" s="5">
        <v>0.65600000000000003</v>
      </c>
      <c r="F7" s="5">
        <v>0.66600000000000004</v>
      </c>
      <c r="G7" s="5">
        <v>0.68600000000000005</v>
      </c>
      <c r="H7" s="5">
        <v>0.61399999999999999</v>
      </c>
      <c r="I7" s="6">
        <f t="shared" si="0"/>
        <v>0.65559999999999996</v>
      </c>
      <c r="J7" s="5">
        <v>0.67800000000000005</v>
      </c>
      <c r="K7" s="5">
        <v>0.70399999999999996</v>
      </c>
      <c r="L7" s="5">
        <v>0.67800000000000005</v>
      </c>
      <c r="M7" s="5">
        <v>0.67</v>
      </c>
      <c r="N7" s="5">
        <v>0.66600000000000004</v>
      </c>
      <c r="O7" s="6">
        <f t="shared" si="1"/>
        <v>0.67920000000000003</v>
      </c>
      <c r="P7" s="15">
        <f t="shared" si="2"/>
        <v>2.3600000000000065E-2</v>
      </c>
    </row>
    <row r="8" spans="1:16" ht="15" customHeight="1" x14ac:dyDescent="0.25">
      <c r="A8" s="3" t="s">
        <v>123</v>
      </c>
      <c r="B8" s="3" t="s">
        <v>125</v>
      </c>
      <c r="C8" s="14">
        <v>0.4</v>
      </c>
      <c r="D8" s="5">
        <v>0.61799999999999999</v>
      </c>
      <c r="E8" s="5">
        <v>0.54300000000000004</v>
      </c>
      <c r="F8" s="5">
        <v>0.54700000000000004</v>
      </c>
      <c r="G8" s="5">
        <v>0.59499999999999997</v>
      </c>
      <c r="H8" s="5">
        <v>0.58799999999999997</v>
      </c>
      <c r="I8" s="6">
        <f t="shared" si="0"/>
        <v>0.57820000000000005</v>
      </c>
      <c r="J8" s="5">
        <v>0.66600000000000004</v>
      </c>
      <c r="K8" s="5">
        <v>0.58399999999999996</v>
      </c>
      <c r="L8" s="5">
        <v>0.63800000000000001</v>
      </c>
      <c r="M8" s="5">
        <v>0.63300000000000001</v>
      </c>
      <c r="N8" s="5">
        <v>0.64</v>
      </c>
      <c r="O8" s="6">
        <f t="shared" si="1"/>
        <v>0.63219999999999998</v>
      </c>
      <c r="P8" s="15">
        <f t="shared" si="2"/>
        <v>5.3999999999999937E-2</v>
      </c>
    </row>
    <row r="9" spans="1:16" ht="15" customHeight="1" x14ac:dyDescent="0.25">
      <c r="A9" s="3" t="s">
        <v>123</v>
      </c>
      <c r="B9" s="3" t="s">
        <v>125</v>
      </c>
      <c r="C9" s="14">
        <v>0.5</v>
      </c>
      <c r="D9" s="5">
        <v>0.54700000000000004</v>
      </c>
      <c r="E9" s="5">
        <v>0.49399999999999999</v>
      </c>
      <c r="F9" s="5">
        <v>0.52800000000000002</v>
      </c>
      <c r="G9" s="5">
        <v>0.44500000000000001</v>
      </c>
      <c r="H9" s="5">
        <v>0.50900000000000001</v>
      </c>
      <c r="I9" s="6">
        <f t="shared" si="0"/>
        <v>0.50459999999999994</v>
      </c>
      <c r="J9" s="5">
        <v>0.59199999999999997</v>
      </c>
      <c r="K9" s="5">
        <v>0.58399999999999996</v>
      </c>
      <c r="L9" s="5">
        <v>0.40799999999999997</v>
      </c>
      <c r="M9" s="5">
        <v>0.55300000000000005</v>
      </c>
      <c r="N9" s="5">
        <v>0.504</v>
      </c>
      <c r="O9" s="6">
        <f t="shared" si="1"/>
        <v>0.5282</v>
      </c>
      <c r="P9" s="15">
        <f t="shared" si="2"/>
        <v>2.3600000000000065E-2</v>
      </c>
    </row>
    <row r="10" spans="1:16" ht="15" customHeight="1" x14ac:dyDescent="0.25">
      <c r="A10" s="3" t="s">
        <v>123</v>
      </c>
      <c r="B10" s="3" t="s">
        <v>126</v>
      </c>
      <c r="C10" s="14">
        <v>0.2</v>
      </c>
      <c r="D10" s="5">
        <v>0.79400000000000004</v>
      </c>
      <c r="E10" s="5">
        <v>0.81299999999999994</v>
      </c>
      <c r="F10" s="5">
        <v>0.82399999999999995</v>
      </c>
      <c r="G10" s="5">
        <v>0.77900000000000003</v>
      </c>
      <c r="H10" s="5">
        <v>0.79800000000000004</v>
      </c>
      <c r="I10" s="6">
        <f t="shared" si="0"/>
        <v>0.80159999999999998</v>
      </c>
      <c r="J10" s="5">
        <v>0.80100000000000005</v>
      </c>
      <c r="K10" s="5">
        <v>0.80100000000000005</v>
      </c>
      <c r="L10" s="5">
        <v>0.78600000000000003</v>
      </c>
      <c r="M10" s="5">
        <v>0.78600000000000003</v>
      </c>
      <c r="N10" s="5">
        <v>0.81699999999999995</v>
      </c>
      <c r="O10" s="6">
        <f t="shared" si="1"/>
        <v>0.79819999999999991</v>
      </c>
      <c r="P10" s="15">
        <f t="shared" si="2"/>
        <v>-3.4000000000000696E-3</v>
      </c>
    </row>
    <row r="11" spans="1:16" ht="15" customHeight="1" x14ac:dyDescent="0.25">
      <c r="A11" s="3" t="s">
        <v>123</v>
      </c>
      <c r="B11" s="3" t="s">
        <v>126</v>
      </c>
      <c r="C11" s="14">
        <v>0.3</v>
      </c>
      <c r="D11" s="5">
        <v>0.78700000000000003</v>
      </c>
      <c r="E11" s="5">
        <v>0.80900000000000005</v>
      </c>
      <c r="F11" s="5">
        <v>0.80900000000000005</v>
      </c>
      <c r="G11" s="5">
        <v>0.79800000000000004</v>
      </c>
      <c r="H11" s="5">
        <v>0.79800000000000004</v>
      </c>
      <c r="I11" s="6">
        <f t="shared" si="0"/>
        <v>0.80020000000000002</v>
      </c>
      <c r="J11" s="5">
        <v>0.79800000000000004</v>
      </c>
      <c r="K11" s="5">
        <v>0.79800000000000004</v>
      </c>
      <c r="L11" s="5">
        <v>0.79400000000000004</v>
      </c>
      <c r="M11" s="5">
        <v>0.77100000000000002</v>
      </c>
      <c r="N11" s="5">
        <v>0.79800000000000004</v>
      </c>
      <c r="O11" s="6">
        <f t="shared" si="1"/>
        <v>0.79180000000000006</v>
      </c>
      <c r="P11" s="15">
        <f t="shared" si="2"/>
        <v>-8.3999999999999631E-3</v>
      </c>
    </row>
    <row r="12" spans="1:16" ht="15" customHeight="1" x14ac:dyDescent="0.25">
      <c r="A12" s="3" t="s">
        <v>123</v>
      </c>
      <c r="B12" s="3" t="s">
        <v>126</v>
      </c>
      <c r="C12" s="14">
        <v>0.4</v>
      </c>
      <c r="D12" s="5">
        <v>0.77100000000000002</v>
      </c>
      <c r="E12" s="5">
        <v>0.82799999999999996</v>
      </c>
      <c r="F12" s="5">
        <v>0.78700000000000003</v>
      </c>
      <c r="G12" s="5">
        <v>0.79</v>
      </c>
      <c r="H12" s="5">
        <v>0.80900000000000005</v>
      </c>
      <c r="I12" s="6">
        <f t="shared" si="0"/>
        <v>0.79700000000000004</v>
      </c>
      <c r="J12" s="5">
        <v>0.79</v>
      </c>
      <c r="K12" s="5">
        <v>0.81299999999999994</v>
      </c>
      <c r="L12" s="5">
        <v>0.80500000000000005</v>
      </c>
      <c r="M12" s="5">
        <v>0.81299999999999994</v>
      </c>
      <c r="N12" s="5">
        <v>0.79800000000000004</v>
      </c>
      <c r="O12" s="6">
        <f t="shared" si="1"/>
        <v>0.80380000000000007</v>
      </c>
      <c r="P12" s="15">
        <f t="shared" si="2"/>
        <v>6.8000000000000282E-3</v>
      </c>
    </row>
    <row r="13" spans="1:16" ht="15" customHeight="1" x14ac:dyDescent="0.25">
      <c r="A13" s="3" t="s">
        <v>123</v>
      </c>
      <c r="B13" s="3" t="s">
        <v>126</v>
      </c>
      <c r="C13" s="14">
        <v>0.5</v>
      </c>
      <c r="D13" s="5">
        <v>0.80900000000000005</v>
      </c>
      <c r="E13" s="5">
        <v>0.81299999999999994</v>
      </c>
      <c r="F13" s="5">
        <v>0.78300000000000003</v>
      </c>
      <c r="G13" s="5">
        <v>0.79</v>
      </c>
      <c r="H13" s="5">
        <v>0.80900000000000005</v>
      </c>
      <c r="I13" s="6">
        <f t="shared" si="0"/>
        <v>0.80079999999999996</v>
      </c>
      <c r="J13" s="5">
        <v>0.78300000000000003</v>
      </c>
      <c r="K13" s="5">
        <v>0.79800000000000004</v>
      </c>
      <c r="L13" s="5">
        <v>0.80100000000000005</v>
      </c>
      <c r="M13" s="5">
        <v>0.83199999999999996</v>
      </c>
      <c r="N13" s="5">
        <v>0.80500000000000005</v>
      </c>
      <c r="O13" s="6">
        <f t="shared" si="1"/>
        <v>0.80380000000000007</v>
      </c>
      <c r="P13" s="15">
        <f t="shared" si="2"/>
        <v>3.0000000000001137E-3</v>
      </c>
    </row>
    <row r="14" spans="1:16" ht="15" customHeight="1" x14ac:dyDescent="0.25">
      <c r="A14" s="3" t="s">
        <v>123</v>
      </c>
      <c r="B14" s="3" t="s">
        <v>127</v>
      </c>
      <c r="C14" s="14">
        <v>0.2</v>
      </c>
      <c r="D14" s="5">
        <v>0.78300000000000003</v>
      </c>
      <c r="E14" s="5">
        <v>0.78700000000000003</v>
      </c>
      <c r="F14" s="5">
        <v>0.77900000000000003</v>
      </c>
      <c r="G14" s="5">
        <v>0.79800000000000004</v>
      </c>
      <c r="H14" s="5">
        <v>0.78600000000000003</v>
      </c>
      <c r="I14" s="6">
        <f t="shared" si="0"/>
        <v>0.78660000000000008</v>
      </c>
      <c r="J14" s="5">
        <v>0.77500000000000002</v>
      </c>
      <c r="K14" s="5">
        <v>0.77900000000000003</v>
      </c>
      <c r="L14" s="5">
        <v>0.77900000000000003</v>
      </c>
      <c r="M14" s="5">
        <v>0.78200000000000003</v>
      </c>
      <c r="N14" s="5">
        <v>0.749</v>
      </c>
      <c r="O14" s="6">
        <f t="shared" si="1"/>
        <v>0.77280000000000004</v>
      </c>
      <c r="P14" s="15">
        <f t="shared" si="2"/>
        <v>-1.3800000000000034E-2</v>
      </c>
    </row>
    <row r="15" spans="1:16" ht="15" customHeight="1" x14ac:dyDescent="0.25">
      <c r="A15" s="3" t="s">
        <v>123</v>
      </c>
      <c r="B15" s="3" t="s">
        <v>127</v>
      </c>
      <c r="C15" s="14">
        <v>0.3</v>
      </c>
      <c r="D15" s="5">
        <v>0.77900000000000003</v>
      </c>
      <c r="E15" s="5">
        <v>0.74199999999999999</v>
      </c>
      <c r="F15" s="5">
        <v>0.73</v>
      </c>
      <c r="G15" s="5">
        <v>0.69299999999999995</v>
      </c>
      <c r="H15" s="5">
        <v>0.73399999999999999</v>
      </c>
      <c r="I15" s="6">
        <f t="shared" si="0"/>
        <v>0.73560000000000003</v>
      </c>
      <c r="J15" s="5">
        <v>0.79400000000000004</v>
      </c>
      <c r="K15" s="5">
        <v>0.77900000000000003</v>
      </c>
      <c r="L15" s="5">
        <v>0.69299999999999995</v>
      </c>
      <c r="M15" s="5">
        <v>0.76</v>
      </c>
      <c r="N15" s="5">
        <v>0.72699999999999998</v>
      </c>
      <c r="O15" s="6">
        <f t="shared" si="1"/>
        <v>0.75059999999999993</v>
      </c>
      <c r="P15" s="15">
        <f t="shared" si="2"/>
        <v>1.4999999999999902E-2</v>
      </c>
    </row>
    <row r="16" spans="1:16" ht="15" customHeight="1" x14ac:dyDescent="0.25">
      <c r="A16" s="3" t="s">
        <v>123</v>
      </c>
      <c r="B16" s="3" t="s">
        <v>127</v>
      </c>
      <c r="C16" s="14">
        <v>0.4</v>
      </c>
      <c r="D16" s="5">
        <v>0.61</v>
      </c>
      <c r="E16" s="5">
        <v>0.64800000000000002</v>
      </c>
      <c r="F16" s="5">
        <v>0.67100000000000004</v>
      </c>
      <c r="G16" s="5">
        <v>0.67</v>
      </c>
      <c r="H16" s="5">
        <v>0.67</v>
      </c>
      <c r="I16" s="6">
        <f t="shared" si="0"/>
        <v>0.65380000000000005</v>
      </c>
      <c r="J16" s="5">
        <v>0.70099999999999996</v>
      </c>
      <c r="K16" s="5">
        <v>0.61</v>
      </c>
      <c r="L16" s="5">
        <v>0.59199999999999997</v>
      </c>
      <c r="M16" s="5">
        <v>0.67</v>
      </c>
      <c r="N16" s="5">
        <v>0.61799999999999999</v>
      </c>
      <c r="O16" s="6">
        <f t="shared" si="1"/>
        <v>0.63819999999999999</v>
      </c>
      <c r="P16" s="15">
        <f t="shared" si="2"/>
        <v>-1.5600000000000058E-2</v>
      </c>
    </row>
    <row r="17" spans="1:16" ht="15" customHeight="1" x14ac:dyDescent="0.25">
      <c r="A17" s="3" t="s">
        <v>123</v>
      </c>
      <c r="B17" s="3" t="s">
        <v>127</v>
      </c>
      <c r="C17" s="14">
        <v>0.5</v>
      </c>
      <c r="D17" s="5">
        <v>0.52400000000000002</v>
      </c>
      <c r="E17" s="5">
        <v>0.54300000000000004</v>
      </c>
      <c r="F17" s="5">
        <v>0.498</v>
      </c>
      <c r="G17" s="5">
        <v>0.57299999999999995</v>
      </c>
      <c r="H17" s="5">
        <v>0.39700000000000002</v>
      </c>
      <c r="I17" s="6">
        <f t="shared" si="0"/>
        <v>0.50700000000000001</v>
      </c>
      <c r="J17" s="5">
        <v>0.56100000000000005</v>
      </c>
      <c r="K17" s="5">
        <v>0.435</v>
      </c>
      <c r="L17" s="5">
        <v>0.505</v>
      </c>
      <c r="M17" s="5">
        <v>0.59299999999999997</v>
      </c>
      <c r="N17" s="5">
        <v>0.54300000000000004</v>
      </c>
      <c r="O17" s="6">
        <f t="shared" si="1"/>
        <v>0.52739999999999998</v>
      </c>
      <c r="P17" s="15">
        <f t="shared" si="2"/>
        <v>2.0399999999999974E-2</v>
      </c>
    </row>
    <row r="18" spans="1:16" ht="15" customHeight="1" x14ac:dyDescent="0.25">
      <c r="A18" s="3" t="s">
        <v>123</v>
      </c>
      <c r="B18" s="3" t="s">
        <v>128</v>
      </c>
      <c r="C18" s="14">
        <v>0.2</v>
      </c>
      <c r="D18" s="5">
        <v>0.622</v>
      </c>
      <c r="E18" s="5">
        <v>0.622</v>
      </c>
      <c r="F18" s="5">
        <v>0.66700000000000004</v>
      </c>
      <c r="G18" s="5">
        <v>0.58799999999999997</v>
      </c>
      <c r="H18" s="5">
        <v>0.63300000000000001</v>
      </c>
      <c r="I18" s="6">
        <f t="shared" si="0"/>
        <v>0.62640000000000007</v>
      </c>
      <c r="J18" s="5">
        <v>0.70399999999999996</v>
      </c>
      <c r="K18" s="5">
        <v>0.64500000000000002</v>
      </c>
      <c r="L18" s="5">
        <v>0.64800000000000002</v>
      </c>
      <c r="M18" s="5">
        <v>0.64400000000000002</v>
      </c>
      <c r="N18" s="5">
        <v>0.626</v>
      </c>
      <c r="O18" s="6">
        <f t="shared" si="1"/>
        <v>0.65339999999999998</v>
      </c>
      <c r="P18" s="15">
        <f t="shared" si="2"/>
        <v>2.6999999999999913E-2</v>
      </c>
    </row>
    <row r="19" spans="1:16" ht="15" customHeight="1" x14ac:dyDescent="0.25">
      <c r="A19" s="3" t="s">
        <v>123</v>
      </c>
      <c r="B19" s="3" t="s">
        <v>128</v>
      </c>
      <c r="C19" s="14">
        <v>0.3</v>
      </c>
      <c r="D19" s="5">
        <v>0.59199999999999997</v>
      </c>
      <c r="E19" s="5">
        <v>0.54</v>
      </c>
      <c r="F19" s="5">
        <v>0.56599999999999995</v>
      </c>
      <c r="G19" s="5">
        <v>0.55500000000000005</v>
      </c>
      <c r="H19" s="5">
        <v>0.58099999999999996</v>
      </c>
      <c r="I19" s="6">
        <f t="shared" si="0"/>
        <v>0.56679999999999997</v>
      </c>
      <c r="J19" s="5">
        <v>0.58099999999999996</v>
      </c>
      <c r="K19" s="5">
        <v>0.51800000000000002</v>
      </c>
      <c r="L19" s="5">
        <v>0.55100000000000005</v>
      </c>
      <c r="M19" s="5">
        <v>0.61099999999999999</v>
      </c>
      <c r="N19" s="5">
        <v>0.502</v>
      </c>
      <c r="O19" s="6">
        <f t="shared" si="1"/>
        <v>0.55259999999999998</v>
      </c>
      <c r="P19" s="15">
        <f t="shared" si="2"/>
        <v>-1.419999999999999E-2</v>
      </c>
    </row>
    <row r="20" spans="1:16" ht="15" customHeight="1" x14ac:dyDescent="0.25">
      <c r="A20" s="3" t="s">
        <v>123</v>
      </c>
      <c r="B20" s="3" t="s">
        <v>128</v>
      </c>
      <c r="C20" s="14">
        <v>0.4</v>
      </c>
      <c r="D20" s="5">
        <v>0.52400000000000002</v>
      </c>
      <c r="E20" s="5">
        <v>0.50600000000000001</v>
      </c>
      <c r="F20" s="5">
        <v>0.503</v>
      </c>
      <c r="G20" s="5">
        <v>0.52500000000000002</v>
      </c>
      <c r="H20" s="5">
        <v>0.55400000000000005</v>
      </c>
      <c r="I20" s="6">
        <f t="shared" si="0"/>
        <v>0.52239999999999998</v>
      </c>
      <c r="J20" s="5">
        <v>0.52</v>
      </c>
      <c r="K20" s="5">
        <v>0.49099999999999999</v>
      </c>
      <c r="L20" s="5">
        <v>0.41299999999999998</v>
      </c>
      <c r="M20" s="5">
        <v>0.53200000000000003</v>
      </c>
      <c r="N20" s="5">
        <v>0.36399999999999999</v>
      </c>
      <c r="O20" s="6">
        <f t="shared" si="1"/>
        <v>0.46400000000000008</v>
      </c>
      <c r="P20" s="15">
        <f t="shared" si="2"/>
        <v>-5.8399999999999896E-2</v>
      </c>
    </row>
    <row r="21" spans="1:16" ht="15" customHeight="1" x14ac:dyDescent="0.25">
      <c r="A21" s="3" t="s">
        <v>123</v>
      </c>
      <c r="B21" s="3" t="s">
        <v>128</v>
      </c>
      <c r="C21" s="14">
        <v>0.5</v>
      </c>
      <c r="D21" s="5">
        <v>0.52400000000000002</v>
      </c>
      <c r="E21" s="5">
        <v>0.48599999999999999</v>
      </c>
      <c r="F21" s="5">
        <v>0.50600000000000001</v>
      </c>
      <c r="G21" s="5">
        <v>0.53200000000000003</v>
      </c>
      <c r="H21" s="5">
        <v>0.53100000000000003</v>
      </c>
      <c r="I21" s="6">
        <f t="shared" si="0"/>
        <v>0.51580000000000004</v>
      </c>
      <c r="J21" s="5">
        <v>0.39300000000000002</v>
      </c>
      <c r="K21" s="5">
        <v>0.32200000000000001</v>
      </c>
      <c r="L21" s="5">
        <v>0.54800000000000004</v>
      </c>
      <c r="M21" s="5">
        <v>0.47699999999999998</v>
      </c>
      <c r="N21" s="5">
        <v>0.44900000000000001</v>
      </c>
      <c r="O21" s="6">
        <f t="shared" si="1"/>
        <v>0.43780000000000002</v>
      </c>
      <c r="P21" s="15">
        <f t="shared" si="2"/>
        <v>-7.8000000000000014E-2</v>
      </c>
    </row>
    <row r="22" spans="1:16" ht="15" customHeight="1" x14ac:dyDescent="0.25">
      <c r="A22" s="3" t="s">
        <v>129</v>
      </c>
      <c r="B22" s="3" t="s">
        <v>124</v>
      </c>
      <c r="C22" s="14">
        <v>0</v>
      </c>
      <c r="D22" s="5">
        <v>0.82799999999999996</v>
      </c>
      <c r="E22" s="5">
        <v>0.84099999999999997</v>
      </c>
      <c r="F22" s="5">
        <v>0.81599999999999995</v>
      </c>
      <c r="G22" s="5">
        <v>0.82899999999999996</v>
      </c>
      <c r="H22" s="5">
        <v>0.85699999999999998</v>
      </c>
      <c r="I22" s="6">
        <f t="shared" si="0"/>
        <v>0.83420000000000005</v>
      </c>
      <c r="J22" s="5">
        <v>0.84899999999999998</v>
      </c>
      <c r="K22" s="5">
        <v>0.84199999999999997</v>
      </c>
      <c r="L22" s="5">
        <v>0.83499999999999996</v>
      </c>
      <c r="M22" s="5">
        <v>0.81899999999999995</v>
      </c>
      <c r="N22" s="5">
        <v>0.83899999999999997</v>
      </c>
      <c r="O22" s="6">
        <f t="shared" si="1"/>
        <v>0.83679999999999988</v>
      </c>
      <c r="P22" s="15">
        <f t="shared" si="2"/>
        <v>2.5999999999998247E-3</v>
      </c>
    </row>
    <row r="23" spans="1:16" ht="15" customHeight="1" x14ac:dyDescent="0.25">
      <c r="A23" s="3" t="s">
        <v>129</v>
      </c>
      <c r="B23" s="3" t="s">
        <v>125</v>
      </c>
      <c r="C23" s="14">
        <v>0.2</v>
      </c>
      <c r="D23" s="5">
        <v>0.79700000000000004</v>
      </c>
      <c r="E23" s="5">
        <v>0.72499999999999998</v>
      </c>
      <c r="F23" s="5">
        <v>0.73499999999999999</v>
      </c>
      <c r="G23" s="5">
        <v>0.72299999999999998</v>
      </c>
      <c r="H23" s="5">
        <v>0.78100000000000003</v>
      </c>
      <c r="I23" s="6">
        <f t="shared" si="0"/>
        <v>0.75219999999999998</v>
      </c>
      <c r="J23" s="5">
        <v>0.74099999999999999</v>
      </c>
      <c r="K23" s="5">
        <v>0.76500000000000001</v>
      </c>
      <c r="L23" s="5">
        <v>0.71299999999999997</v>
      </c>
      <c r="M23" s="5">
        <v>0.68799999999999994</v>
      </c>
      <c r="N23" s="5">
        <v>0.80600000000000005</v>
      </c>
      <c r="O23" s="6">
        <f t="shared" si="1"/>
        <v>0.74260000000000004</v>
      </c>
      <c r="P23" s="15">
        <f t="shared" si="2"/>
        <v>-9.5999999999999419E-3</v>
      </c>
    </row>
    <row r="24" spans="1:16" ht="15" customHeight="1" x14ac:dyDescent="0.25">
      <c r="A24" s="3" t="s">
        <v>129</v>
      </c>
      <c r="B24" s="3" t="s">
        <v>125</v>
      </c>
      <c r="C24" s="14">
        <v>0.3</v>
      </c>
      <c r="D24" s="5">
        <v>0.69599999999999995</v>
      </c>
      <c r="E24" s="5">
        <v>0.69399999999999995</v>
      </c>
      <c r="F24" s="5">
        <v>0.69399999999999995</v>
      </c>
      <c r="G24" s="5">
        <v>0.64300000000000002</v>
      </c>
      <c r="H24" s="5">
        <v>0.71399999999999997</v>
      </c>
      <c r="I24" s="6">
        <f t="shared" si="0"/>
        <v>0.68819999999999992</v>
      </c>
      <c r="J24" s="5">
        <v>0.66800000000000004</v>
      </c>
      <c r="K24" s="5">
        <v>0.748</v>
      </c>
      <c r="L24" s="5">
        <v>0.67800000000000005</v>
      </c>
      <c r="M24" s="5">
        <v>0.59599999999999997</v>
      </c>
      <c r="N24" s="5">
        <v>0.64800000000000002</v>
      </c>
      <c r="O24" s="6">
        <f t="shared" si="1"/>
        <v>0.66759999999999997</v>
      </c>
      <c r="P24" s="15">
        <f t="shared" si="2"/>
        <v>-2.0599999999999952E-2</v>
      </c>
    </row>
    <row r="25" spans="1:16" ht="15" customHeight="1" x14ac:dyDescent="0.25">
      <c r="A25" s="3" t="s">
        <v>129</v>
      </c>
      <c r="B25" s="3" t="s">
        <v>125</v>
      </c>
      <c r="C25" s="14">
        <v>0.4</v>
      </c>
      <c r="D25" s="5">
        <v>0.623</v>
      </c>
      <c r="E25" s="5">
        <v>0.59</v>
      </c>
      <c r="F25" s="5">
        <v>0.61399999999999999</v>
      </c>
      <c r="G25" s="5">
        <v>0.58799999999999997</v>
      </c>
      <c r="H25" s="5">
        <v>0.57499999999999996</v>
      </c>
      <c r="I25" s="6">
        <f t="shared" si="0"/>
        <v>0.59800000000000009</v>
      </c>
      <c r="J25" s="5">
        <v>0.55500000000000005</v>
      </c>
      <c r="K25" s="5">
        <v>0.56499999999999995</v>
      </c>
      <c r="L25" s="5">
        <v>0.55400000000000005</v>
      </c>
      <c r="M25" s="5">
        <v>0.57499999999999996</v>
      </c>
      <c r="N25" s="5">
        <v>0.59299999999999997</v>
      </c>
      <c r="O25" s="6">
        <f t="shared" si="1"/>
        <v>0.56840000000000002</v>
      </c>
      <c r="P25" s="15">
        <f t="shared" si="2"/>
        <v>-2.9600000000000071E-2</v>
      </c>
    </row>
    <row r="26" spans="1:16" ht="15" customHeight="1" x14ac:dyDescent="0.25">
      <c r="A26" s="3" t="s">
        <v>129</v>
      </c>
      <c r="B26" s="3" t="s">
        <v>125</v>
      </c>
      <c r="C26" s="14">
        <v>0.5</v>
      </c>
      <c r="D26" s="5">
        <v>0.47399999999999998</v>
      </c>
      <c r="E26" s="5">
        <v>0.48599999999999999</v>
      </c>
      <c r="F26" s="5">
        <v>0.496</v>
      </c>
      <c r="G26" s="5">
        <v>0.54200000000000004</v>
      </c>
      <c r="H26" s="5">
        <v>0.41299999999999998</v>
      </c>
      <c r="I26" s="6">
        <f t="shared" si="0"/>
        <v>0.48220000000000002</v>
      </c>
      <c r="J26" s="5">
        <v>0.497</v>
      </c>
      <c r="K26" s="5">
        <v>0.503</v>
      </c>
      <c r="L26" s="5">
        <v>0.52900000000000003</v>
      </c>
      <c r="M26" s="5">
        <v>0.47</v>
      </c>
      <c r="N26" s="5">
        <v>0.47</v>
      </c>
      <c r="O26" s="6">
        <f t="shared" si="1"/>
        <v>0.49379999999999996</v>
      </c>
      <c r="P26" s="15">
        <f t="shared" si="2"/>
        <v>1.1599999999999944E-2</v>
      </c>
    </row>
    <row r="27" spans="1:16" ht="15" customHeight="1" x14ac:dyDescent="0.25">
      <c r="A27" s="3" t="s">
        <v>129</v>
      </c>
      <c r="B27" s="3" t="s">
        <v>126</v>
      </c>
      <c r="C27" s="14">
        <v>0.2</v>
      </c>
      <c r="D27" s="5">
        <v>0.77100000000000002</v>
      </c>
      <c r="E27" s="5">
        <v>0.79100000000000004</v>
      </c>
      <c r="F27" s="5">
        <v>0.76400000000000001</v>
      </c>
      <c r="G27" s="5">
        <v>0.752</v>
      </c>
      <c r="H27" s="5">
        <v>0.78100000000000003</v>
      </c>
      <c r="I27" s="6">
        <f t="shared" si="0"/>
        <v>0.77180000000000004</v>
      </c>
      <c r="J27" s="5">
        <v>0.76800000000000002</v>
      </c>
      <c r="K27" s="5">
        <v>0.81</v>
      </c>
      <c r="L27" s="5">
        <v>0.84099999999999997</v>
      </c>
      <c r="M27" s="5">
        <v>0.77</v>
      </c>
      <c r="N27" s="5">
        <v>0.71199999999999997</v>
      </c>
      <c r="O27" s="6">
        <f t="shared" si="1"/>
        <v>0.7802</v>
      </c>
      <c r="P27" s="15">
        <f t="shared" si="2"/>
        <v>8.3999999999999631E-3</v>
      </c>
    </row>
    <row r="28" spans="1:16" ht="15" customHeight="1" x14ac:dyDescent="0.25">
      <c r="A28" s="3" t="s">
        <v>129</v>
      </c>
      <c r="B28" s="3" t="s">
        <v>126</v>
      </c>
      <c r="C28" s="14">
        <v>0.3</v>
      </c>
      <c r="D28" s="5">
        <v>0.751</v>
      </c>
      <c r="E28" s="5">
        <v>0.755</v>
      </c>
      <c r="F28" s="5">
        <v>0.73799999999999999</v>
      </c>
      <c r="G28" s="5">
        <v>0.69599999999999995</v>
      </c>
      <c r="H28" s="5">
        <v>0.71399999999999997</v>
      </c>
      <c r="I28" s="6">
        <f t="shared" si="0"/>
        <v>0.73079999999999989</v>
      </c>
      <c r="J28" s="5">
        <v>0.67800000000000005</v>
      </c>
      <c r="K28" s="5">
        <v>0.749</v>
      </c>
      <c r="L28" s="5">
        <v>0.68</v>
      </c>
      <c r="M28" s="5">
        <v>0.70099999999999996</v>
      </c>
      <c r="N28" s="5">
        <v>0.75800000000000001</v>
      </c>
      <c r="O28" s="6">
        <f t="shared" si="1"/>
        <v>0.71320000000000006</v>
      </c>
      <c r="P28" s="15">
        <f t="shared" si="2"/>
        <v>-1.7599999999999838E-2</v>
      </c>
    </row>
    <row r="29" spans="1:16" ht="15" customHeight="1" x14ac:dyDescent="0.25">
      <c r="A29" s="3" t="s">
        <v>129</v>
      </c>
      <c r="B29" s="3" t="s">
        <v>126</v>
      </c>
      <c r="C29" s="14">
        <v>0.4</v>
      </c>
      <c r="D29" s="5">
        <v>0.67200000000000004</v>
      </c>
      <c r="E29" s="5">
        <v>0.69599999999999995</v>
      </c>
      <c r="F29" s="5">
        <v>0.67200000000000004</v>
      </c>
      <c r="G29" s="5">
        <v>0.67</v>
      </c>
      <c r="H29" s="5">
        <v>0.72199999999999998</v>
      </c>
      <c r="I29" s="6">
        <f t="shared" si="0"/>
        <v>0.68640000000000001</v>
      </c>
      <c r="J29" s="5">
        <v>0.73199999999999998</v>
      </c>
      <c r="K29" s="5">
        <v>0.57999999999999996</v>
      </c>
      <c r="L29" s="5">
        <v>0.63600000000000001</v>
      </c>
      <c r="M29" s="5">
        <v>0.68100000000000005</v>
      </c>
      <c r="N29" s="5">
        <v>0.70699999999999996</v>
      </c>
      <c r="O29" s="6">
        <f t="shared" si="1"/>
        <v>0.66720000000000002</v>
      </c>
      <c r="P29" s="15">
        <f t="shared" si="2"/>
        <v>-1.9199999999999995E-2</v>
      </c>
    </row>
    <row r="30" spans="1:16" ht="15" customHeight="1" x14ac:dyDescent="0.25">
      <c r="A30" s="3" t="s">
        <v>129</v>
      </c>
      <c r="B30" s="3" t="s">
        <v>126</v>
      </c>
      <c r="C30" s="14">
        <v>0.5</v>
      </c>
      <c r="D30" s="5">
        <v>0.64500000000000002</v>
      </c>
      <c r="E30" s="5">
        <v>0.628</v>
      </c>
      <c r="F30" s="5">
        <v>0.622</v>
      </c>
      <c r="G30" s="5">
        <v>0.64300000000000002</v>
      </c>
      <c r="H30" s="5">
        <v>0.63600000000000001</v>
      </c>
      <c r="I30" s="6">
        <f t="shared" si="0"/>
        <v>0.63480000000000003</v>
      </c>
      <c r="J30" s="5">
        <v>0.65700000000000003</v>
      </c>
      <c r="K30" s="5">
        <v>0.70599999999999996</v>
      </c>
      <c r="L30" s="5">
        <v>0.58299999999999996</v>
      </c>
      <c r="M30" s="5">
        <v>0.65900000000000003</v>
      </c>
      <c r="N30" s="5">
        <v>0.61899999999999999</v>
      </c>
      <c r="O30" s="6">
        <f t="shared" si="1"/>
        <v>0.64480000000000004</v>
      </c>
      <c r="P30" s="15">
        <f t="shared" si="2"/>
        <v>1.0000000000000009E-2</v>
      </c>
    </row>
    <row r="31" spans="1:16" ht="15" customHeight="1" x14ac:dyDescent="0.25">
      <c r="A31" s="3" t="s">
        <v>129</v>
      </c>
      <c r="B31" s="3" t="s">
        <v>127</v>
      </c>
      <c r="C31" s="14">
        <v>0.2</v>
      </c>
      <c r="D31" s="5">
        <v>0.81</v>
      </c>
      <c r="E31" s="5">
        <v>0.78800000000000003</v>
      </c>
      <c r="F31" s="5">
        <v>0.79400000000000004</v>
      </c>
      <c r="G31" s="5">
        <v>0.79300000000000004</v>
      </c>
      <c r="H31" s="5">
        <v>0.78300000000000003</v>
      </c>
      <c r="I31" s="6">
        <f t="shared" si="0"/>
        <v>0.79360000000000008</v>
      </c>
      <c r="J31" s="5">
        <v>0.80400000000000005</v>
      </c>
      <c r="K31" s="5">
        <v>0.80600000000000005</v>
      </c>
      <c r="L31" s="5">
        <v>0.79900000000000004</v>
      </c>
      <c r="M31" s="5">
        <v>0.81</v>
      </c>
      <c r="N31" s="5">
        <v>0.77500000000000002</v>
      </c>
      <c r="O31" s="6">
        <f t="shared" si="1"/>
        <v>0.79880000000000007</v>
      </c>
      <c r="P31" s="15">
        <f t="shared" si="2"/>
        <v>5.1999999999999824E-3</v>
      </c>
    </row>
    <row r="32" spans="1:16" ht="15" customHeight="1" x14ac:dyDescent="0.25">
      <c r="A32" s="3" t="s">
        <v>129</v>
      </c>
      <c r="B32" s="3" t="s">
        <v>127</v>
      </c>
      <c r="C32" s="14">
        <v>0.3</v>
      </c>
      <c r="D32" s="5">
        <v>0.71399999999999997</v>
      </c>
      <c r="E32" s="5">
        <v>0.71399999999999997</v>
      </c>
      <c r="F32" s="5">
        <v>0.71599999999999997</v>
      </c>
      <c r="G32" s="5">
        <v>0.749</v>
      </c>
      <c r="H32" s="5">
        <v>0.72199999999999998</v>
      </c>
      <c r="I32" s="6">
        <f t="shared" si="0"/>
        <v>0.72300000000000009</v>
      </c>
      <c r="J32" s="5">
        <v>0.77</v>
      </c>
      <c r="K32" s="5">
        <v>0.745</v>
      </c>
      <c r="L32" s="5">
        <v>0.72</v>
      </c>
      <c r="M32" s="5">
        <v>0.751</v>
      </c>
      <c r="N32" s="5">
        <v>0.65700000000000003</v>
      </c>
      <c r="O32" s="6">
        <f t="shared" si="1"/>
        <v>0.72860000000000003</v>
      </c>
      <c r="P32" s="15">
        <f t="shared" si="2"/>
        <v>5.5999999999999384E-3</v>
      </c>
    </row>
    <row r="33" spans="1:16" ht="15" customHeight="1" x14ac:dyDescent="0.25">
      <c r="A33" s="3" t="s">
        <v>129</v>
      </c>
      <c r="B33" s="3" t="s">
        <v>127</v>
      </c>
      <c r="C33" s="14">
        <v>0.4</v>
      </c>
      <c r="D33" s="5">
        <v>0.628</v>
      </c>
      <c r="E33" s="5">
        <v>0.65400000000000003</v>
      </c>
      <c r="F33" s="5">
        <v>0.65400000000000003</v>
      </c>
      <c r="G33" s="5">
        <v>0.63800000000000001</v>
      </c>
      <c r="H33" s="5">
        <v>0.64200000000000002</v>
      </c>
      <c r="I33" s="6">
        <f t="shared" si="0"/>
        <v>0.64319999999999999</v>
      </c>
      <c r="J33" s="5">
        <v>0.66400000000000003</v>
      </c>
      <c r="K33" s="5">
        <v>0.63500000000000001</v>
      </c>
      <c r="L33" s="5">
        <v>0.61699999999999999</v>
      </c>
      <c r="M33" s="5">
        <v>0.60899999999999999</v>
      </c>
      <c r="N33" s="5">
        <v>0.68</v>
      </c>
      <c r="O33" s="6">
        <f t="shared" si="1"/>
        <v>0.64100000000000001</v>
      </c>
      <c r="P33" s="15">
        <f t="shared" si="2"/>
        <v>-2.1999999999999797E-3</v>
      </c>
    </row>
    <row r="34" spans="1:16" ht="15" customHeight="1" x14ac:dyDescent="0.25">
      <c r="A34" s="3" t="s">
        <v>129</v>
      </c>
      <c r="B34" s="3" t="s">
        <v>127</v>
      </c>
      <c r="C34" s="14">
        <v>0.5</v>
      </c>
      <c r="D34" s="5">
        <v>0.51700000000000002</v>
      </c>
      <c r="E34" s="5">
        <v>0.48299999999999998</v>
      </c>
      <c r="F34" s="5">
        <v>0.5</v>
      </c>
      <c r="G34" s="5">
        <v>0.50600000000000001</v>
      </c>
      <c r="H34" s="5">
        <v>0.48599999999999999</v>
      </c>
      <c r="I34" s="6">
        <f t="shared" si="0"/>
        <v>0.49840000000000001</v>
      </c>
      <c r="J34" s="5">
        <v>0.53800000000000003</v>
      </c>
      <c r="K34" s="5">
        <v>0.51</v>
      </c>
      <c r="L34" s="5">
        <v>0.52300000000000002</v>
      </c>
      <c r="M34" s="5">
        <v>0.49</v>
      </c>
      <c r="N34" s="5">
        <v>0.503</v>
      </c>
      <c r="O34" s="6">
        <f t="shared" si="1"/>
        <v>0.51280000000000003</v>
      </c>
      <c r="P34" s="15">
        <f t="shared" si="2"/>
        <v>1.4400000000000024E-2</v>
      </c>
    </row>
    <row r="35" spans="1:16" ht="15" customHeight="1" x14ac:dyDescent="0.25">
      <c r="A35" s="3" t="s">
        <v>129</v>
      </c>
      <c r="B35" s="3" t="s">
        <v>128</v>
      </c>
      <c r="C35" s="14">
        <v>0.2</v>
      </c>
      <c r="D35" s="5">
        <v>0.749</v>
      </c>
      <c r="E35" s="5">
        <v>0.754</v>
      </c>
      <c r="F35" s="5">
        <v>0.72799999999999998</v>
      </c>
      <c r="G35" s="5">
        <v>0.70899999999999996</v>
      </c>
      <c r="H35" s="5">
        <v>0.73499999999999999</v>
      </c>
      <c r="I35" s="6">
        <f t="shared" si="0"/>
        <v>0.73499999999999999</v>
      </c>
      <c r="J35" s="5">
        <v>0.81200000000000006</v>
      </c>
      <c r="K35" s="5">
        <v>0.76200000000000001</v>
      </c>
      <c r="L35" s="5">
        <v>0.73799999999999999</v>
      </c>
      <c r="M35" s="5">
        <v>0.73299999999999998</v>
      </c>
      <c r="N35" s="5">
        <v>0.73</v>
      </c>
      <c r="O35" s="6">
        <f t="shared" si="1"/>
        <v>0.75500000000000012</v>
      </c>
      <c r="P35" s="15">
        <f t="shared" si="2"/>
        <v>2.0000000000000129E-2</v>
      </c>
    </row>
    <row r="36" spans="1:16" ht="15" customHeight="1" x14ac:dyDescent="0.25">
      <c r="A36" s="3" t="s">
        <v>129</v>
      </c>
      <c r="B36" s="3" t="s">
        <v>128</v>
      </c>
      <c r="C36" s="14">
        <v>0.3</v>
      </c>
      <c r="D36" s="5">
        <v>0.67700000000000005</v>
      </c>
      <c r="E36" s="5">
        <v>0.67200000000000004</v>
      </c>
      <c r="F36" s="5">
        <v>0.66500000000000004</v>
      </c>
      <c r="G36" s="5">
        <v>0.65800000000000003</v>
      </c>
      <c r="H36" s="5">
        <v>0.68400000000000005</v>
      </c>
      <c r="I36" s="6">
        <f t="shared" si="0"/>
        <v>0.67120000000000002</v>
      </c>
      <c r="J36" s="5">
        <v>0.66400000000000003</v>
      </c>
      <c r="K36" s="5">
        <v>0.56100000000000005</v>
      </c>
      <c r="L36" s="5">
        <v>0.63200000000000001</v>
      </c>
      <c r="M36" s="5">
        <v>0.63900000000000001</v>
      </c>
      <c r="N36" s="5">
        <v>0.73599999999999999</v>
      </c>
      <c r="O36" s="6">
        <f t="shared" si="1"/>
        <v>0.64640000000000009</v>
      </c>
      <c r="P36" s="15">
        <f t="shared" si="2"/>
        <v>-2.4799999999999933E-2</v>
      </c>
    </row>
    <row r="37" spans="1:16" ht="15" customHeight="1" x14ac:dyDescent="0.25">
      <c r="A37" s="3" t="s">
        <v>129</v>
      </c>
      <c r="B37" s="3" t="s">
        <v>128</v>
      </c>
      <c r="C37" s="14">
        <v>0.4</v>
      </c>
      <c r="D37" s="5">
        <v>0.62</v>
      </c>
      <c r="E37" s="5">
        <v>0.6</v>
      </c>
      <c r="F37" s="5">
        <v>0.628</v>
      </c>
      <c r="G37" s="5">
        <v>0.60299999999999998</v>
      </c>
      <c r="H37" s="5">
        <v>0.61199999999999999</v>
      </c>
      <c r="I37" s="6">
        <f t="shared" ref="I37:I68" si="3">IFERROR(AVERAGE(D37:H37),"-")</f>
        <v>0.61259999999999992</v>
      </c>
      <c r="J37" s="5">
        <v>0.61299999999999999</v>
      </c>
      <c r="K37" s="5">
        <v>0.61599999999999999</v>
      </c>
      <c r="L37" s="5">
        <v>0.53300000000000003</v>
      </c>
      <c r="M37" s="5">
        <v>0.58799999999999997</v>
      </c>
      <c r="N37" s="5">
        <v>0.54100000000000004</v>
      </c>
      <c r="O37" s="6">
        <f t="shared" ref="O37:O68" si="4">IFERROR(AVERAGE(J37:N37),"-")</f>
        <v>0.57820000000000005</v>
      </c>
      <c r="P37" s="15">
        <f t="shared" ref="P37:P68" si="5">IFERROR(O37-I37,"-")</f>
        <v>-3.4399999999999875E-2</v>
      </c>
    </row>
    <row r="38" spans="1:16" ht="15" customHeight="1" x14ac:dyDescent="0.25">
      <c r="A38" s="3" t="s">
        <v>129</v>
      </c>
      <c r="B38" s="3" t="s">
        <v>128</v>
      </c>
      <c r="C38" s="14">
        <v>0.5</v>
      </c>
      <c r="D38" s="5">
        <v>0.50900000000000001</v>
      </c>
      <c r="E38" s="5">
        <v>0.52200000000000002</v>
      </c>
      <c r="F38" s="5">
        <v>0.50700000000000001</v>
      </c>
      <c r="G38" s="5">
        <v>0.48099999999999998</v>
      </c>
      <c r="H38" s="5">
        <v>0.5</v>
      </c>
      <c r="I38" s="6">
        <f t="shared" si="3"/>
        <v>0.50380000000000003</v>
      </c>
      <c r="J38" s="5">
        <v>0.50600000000000001</v>
      </c>
      <c r="K38" s="5">
        <v>0.51400000000000001</v>
      </c>
      <c r="L38" s="5">
        <v>0.501</v>
      </c>
      <c r="M38" s="5">
        <v>0.47499999999999998</v>
      </c>
      <c r="N38" s="5">
        <v>0.47499999999999998</v>
      </c>
      <c r="O38" s="6">
        <f t="shared" si="4"/>
        <v>0.49420000000000003</v>
      </c>
      <c r="P38" s="15">
        <f t="shared" si="5"/>
        <v>-9.5999999999999974E-3</v>
      </c>
    </row>
    <row r="39" spans="1:16" ht="15" customHeight="1" x14ac:dyDescent="0.25">
      <c r="A39" s="3" t="s">
        <v>130</v>
      </c>
      <c r="B39" s="3" t="s">
        <v>124</v>
      </c>
      <c r="C39" s="14">
        <v>0</v>
      </c>
      <c r="D39" s="5">
        <v>0.995</v>
      </c>
      <c r="E39" s="5">
        <v>0.99099999999999999</v>
      </c>
      <c r="F39" s="5">
        <v>0.98599999999999999</v>
      </c>
      <c r="G39" s="5">
        <v>0.99</v>
      </c>
      <c r="H39" s="5">
        <v>0.98799999999999999</v>
      </c>
      <c r="I39" s="6">
        <f t="shared" si="3"/>
        <v>0.98999999999999988</v>
      </c>
      <c r="J39" s="5">
        <v>0.98599999999999999</v>
      </c>
      <c r="K39" s="5">
        <v>0.97199999999999998</v>
      </c>
      <c r="L39" s="5">
        <v>0.97199999999999998</v>
      </c>
      <c r="M39" s="5">
        <v>0.97199999999999998</v>
      </c>
      <c r="N39" s="5">
        <v>0.97399999999999998</v>
      </c>
      <c r="O39" s="6">
        <f t="shared" si="4"/>
        <v>0.97519999999999984</v>
      </c>
      <c r="P39" s="15">
        <f t="shared" si="5"/>
        <v>-1.4800000000000035E-2</v>
      </c>
    </row>
    <row r="40" spans="1:16" ht="15" customHeight="1" x14ac:dyDescent="0.25">
      <c r="A40" s="3" t="s">
        <v>130</v>
      </c>
      <c r="B40" s="3" t="s">
        <v>125</v>
      </c>
      <c r="C40" s="14">
        <v>0.2</v>
      </c>
      <c r="D40" s="5">
        <v>0.86299999999999999</v>
      </c>
      <c r="E40" s="5">
        <v>0.81599999999999995</v>
      </c>
      <c r="F40" s="5">
        <v>0.84199999999999997</v>
      </c>
      <c r="G40" s="5">
        <v>0.84199999999999997</v>
      </c>
      <c r="H40" s="5">
        <v>0.84399999999999997</v>
      </c>
      <c r="I40" s="6">
        <f t="shared" si="3"/>
        <v>0.84139999999999993</v>
      </c>
      <c r="J40" s="5">
        <v>0.89600000000000002</v>
      </c>
      <c r="K40" s="5">
        <v>0.89100000000000001</v>
      </c>
      <c r="L40" s="5">
        <v>0.88200000000000001</v>
      </c>
      <c r="M40" s="5">
        <v>0.88200000000000001</v>
      </c>
      <c r="N40" s="5">
        <v>0.88200000000000001</v>
      </c>
      <c r="O40" s="6">
        <f t="shared" si="4"/>
        <v>0.88659999999999994</v>
      </c>
      <c r="P40" s="15">
        <f t="shared" si="5"/>
        <v>4.5200000000000018E-2</v>
      </c>
    </row>
    <row r="41" spans="1:16" ht="15" customHeight="1" x14ac:dyDescent="0.25">
      <c r="A41" s="3" t="s">
        <v>130</v>
      </c>
      <c r="B41" s="3" t="s">
        <v>125</v>
      </c>
      <c r="C41" s="14">
        <v>0.3</v>
      </c>
      <c r="D41" s="5">
        <v>0.76900000000000002</v>
      </c>
      <c r="E41" s="5">
        <v>0.77900000000000003</v>
      </c>
      <c r="F41" s="5">
        <v>0.72</v>
      </c>
      <c r="G41" s="5">
        <v>0.748</v>
      </c>
      <c r="H41" s="5">
        <v>0.77800000000000002</v>
      </c>
      <c r="I41" s="6">
        <f t="shared" si="3"/>
        <v>0.75880000000000003</v>
      </c>
      <c r="J41" s="5">
        <v>0.79900000000000004</v>
      </c>
      <c r="K41" s="5">
        <v>0.746</v>
      </c>
      <c r="L41" s="5">
        <v>0.81899999999999995</v>
      </c>
      <c r="M41" s="5">
        <v>0.78500000000000003</v>
      </c>
      <c r="N41" s="5">
        <v>0.77800000000000002</v>
      </c>
      <c r="O41" s="6">
        <f t="shared" si="4"/>
        <v>0.78539999999999999</v>
      </c>
      <c r="P41" s="15">
        <f t="shared" si="5"/>
        <v>2.6599999999999957E-2</v>
      </c>
    </row>
    <row r="42" spans="1:16" ht="15" customHeight="1" x14ac:dyDescent="0.25">
      <c r="A42" s="3" t="s">
        <v>130</v>
      </c>
      <c r="B42" s="3" t="s">
        <v>125</v>
      </c>
      <c r="C42" s="14">
        <v>0.4</v>
      </c>
      <c r="D42" s="5">
        <v>0.58299999999999996</v>
      </c>
      <c r="E42" s="5">
        <v>0.66500000000000004</v>
      </c>
      <c r="F42" s="5">
        <v>0.66</v>
      </c>
      <c r="G42" s="5">
        <v>0.65100000000000002</v>
      </c>
      <c r="H42" s="5">
        <v>0.71499999999999997</v>
      </c>
      <c r="I42" s="6">
        <f t="shared" si="3"/>
        <v>0.65480000000000005</v>
      </c>
      <c r="J42" s="5">
        <v>0.59199999999999997</v>
      </c>
      <c r="K42" s="5">
        <v>0.65600000000000003</v>
      </c>
      <c r="L42" s="5">
        <v>0.66300000000000003</v>
      </c>
      <c r="M42" s="5">
        <v>0.60799999999999998</v>
      </c>
      <c r="N42" s="5">
        <v>0.66300000000000003</v>
      </c>
      <c r="O42" s="6">
        <f t="shared" si="4"/>
        <v>0.63640000000000008</v>
      </c>
      <c r="P42" s="15">
        <f t="shared" si="5"/>
        <v>-1.8399999999999972E-2</v>
      </c>
    </row>
    <row r="43" spans="1:16" ht="15" customHeight="1" x14ac:dyDescent="0.25">
      <c r="A43" s="3" t="s">
        <v>130</v>
      </c>
      <c r="B43" s="3" t="s">
        <v>125</v>
      </c>
      <c r="C43" s="14">
        <v>0.5</v>
      </c>
      <c r="D43" s="5">
        <v>0.52600000000000002</v>
      </c>
      <c r="E43" s="5">
        <v>0.48299999999999998</v>
      </c>
      <c r="F43" s="5">
        <v>0.54200000000000004</v>
      </c>
      <c r="G43" s="5">
        <v>0.53800000000000003</v>
      </c>
      <c r="H43" s="5">
        <v>0.47599999999999998</v>
      </c>
      <c r="I43" s="6">
        <f t="shared" si="3"/>
        <v>0.51300000000000001</v>
      </c>
      <c r="J43" s="5">
        <v>0.56100000000000005</v>
      </c>
      <c r="K43" s="5">
        <v>0.46400000000000002</v>
      </c>
      <c r="L43" s="5">
        <v>0.51600000000000001</v>
      </c>
      <c r="M43" s="5">
        <v>0.49099999999999999</v>
      </c>
      <c r="N43" s="5">
        <v>0.46300000000000002</v>
      </c>
      <c r="O43" s="6">
        <f t="shared" si="4"/>
        <v>0.499</v>
      </c>
      <c r="P43" s="15">
        <f t="shared" si="5"/>
        <v>-1.4000000000000012E-2</v>
      </c>
    </row>
    <row r="44" spans="1:16" ht="15" customHeight="1" x14ac:dyDescent="0.25">
      <c r="A44" s="3" t="s">
        <v>130</v>
      </c>
      <c r="B44" s="3" t="s">
        <v>126</v>
      </c>
      <c r="C44" s="14">
        <v>0.2</v>
      </c>
      <c r="D44" s="5">
        <v>0.91500000000000004</v>
      </c>
      <c r="E44" s="5">
        <v>0.91</v>
      </c>
      <c r="F44" s="5">
        <v>0.89900000000000002</v>
      </c>
      <c r="G44" s="5">
        <v>0.87</v>
      </c>
      <c r="H44" s="5">
        <v>0.86599999999999999</v>
      </c>
      <c r="I44" s="6">
        <f t="shared" si="3"/>
        <v>0.89200000000000002</v>
      </c>
      <c r="J44" s="5">
        <v>0.90800000000000003</v>
      </c>
      <c r="K44" s="5">
        <v>0.90400000000000003</v>
      </c>
      <c r="L44" s="5">
        <v>0.91700000000000004</v>
      </c>
      <c r="M44" s="5">
        <v>0.91200000000000003</v>
      </c>
      <c r="N44" s="5">
        <v>0.91200000000000003</v>
      </c>
      <c r="O44" s="6">
        <f t="shared" si="4"/>
        <v>0.91059999999999997</v>
      </c>
      <c r="P44" s="15">
        <f t="shared" si="5"/>
        <v>1.859999999999995E-2</v>
      </c>
    </row>
    <row r="45" spans="1:16" ht="15" customHeight="1" x14ac:dyDescent="0.25">
      <c r="A45" s="3" t="s">
        <v>130</v>
      </c>
      <c r="B45" s="3" t="s">
        <v>126</v>
      </c>
      <c r="C45" s="14">
        <v>0.3</v>
      </c>
      <c r="D45" s="5">
        <v>0.86299999999999999</v>
      </c>
      <c r="E45" s="5">
        <v>0.82599999999999996</v>
      </c>
      <c r="F45" s="5">
        <v>0.82299999999999995</v>
      </c>
      <c r="G45" s="5">
        <v>0.84899999999999998</v>
      </c>
      <c r="H45" s="5">
        <v>0.81599999999999995</v>
      </c>
      <c r="I45" s="6">
        <f t="shared" si="3"/>
        <v>0.83539999999999992</v>
      </c>
      <c r="J45" s="5">
        <v>0.80700000000000005</v>
      </c>
      <c r="K45" s="5">
        <v>0.85899999999999999</v>
      </c>
      <c r="L45" s="5">
        <v>0.875</v>
      </c>
      <c r="M45" s="5">
        <v>0.89200000000000002</v>
      </c>
      <c r="N45" s="5">
        <v>0.88</v>
      </c>
      <c r="O45" s="6">
        <f t="shared" si="4"/>
        <v>0.86259999999999992</v>
      </c>
      <c r="P45" s="15">
        <f t="shared" si="5"/>
        <v>2.7200000000000002E-2</v>
      </c>
    </row>
    <row r="46" spans="1:16" ht="15" customHeight="1" x14ac:dyDescent="0.25">
      <c r="A46" s="3" t="s">
        <v>130</v>
      </c>
      <c r="B46" s="3" t="s">
        <v>126</v>
      </c>
      <c r="C46" s="14">
        <v>0.4</v>
      </c>
      <c r="D46" s="5">
        <v>0.8</v>
      </c>
      <c r="E46" s="5">
        <v>0.77800000000000002</v>
      </c>
      <c r="F46" s="5">
        <v>0.80600000000000005</v>
      </c>
      <c r="G46" s="5">
        <v>0.79700000000000004</v>
      </c>
      <c r="H46" s="5">
        <v>0.80900000000000005</v>
      </c>
      <c r="I46" s="6">
        <f t="shared" si="3"/>
        <v>0.79800000000000015</v>
      </c>
      <c r="J46" s="5">
        <v>0.84399999999999997</v>
      </c>
      <c r="K46" s="5">
        <v>0.78500000000000003</v>
      </c>
      <c r="L46" s="5">
        <v>0.82299999999999995</v>
      </c>
      <c r="M46" s="5">
        <v>0.79700000000000004</v>
      </c>
      <c r="N46" s="5">
        <v>0.79900000000000004</v>
      </c>
      <c r="O46" s="6">
        <f t="shared" si="4"/>
        <v>0.80959999999999999</v>
      </c>
      <c r="P46" s="15">
        <f t="shared" si="5"/>
        <v>1.1599999999999833E-2</v>
      </c>
    </row>
    <row r="47" spans="1:16" ht="15" customHeight="1" x14ac:dyDescent="0.25">
      <c r="A47" s="3" t="s">
        <v>130</v>
      </c>
      <c r="B47" s="3" t="s">
        <v>126</v>
      </c>
      <c r="C47" s="14">
        <v>0.5</v>
      </c>
      <c r="D47" s="5">
        <v>0.71899999999999997</v>
      </c>
      <c r="E47" s="5">
        <v>0.71499999999999997</v>
      </c>
      <c r="F47" s="5">
        <v>0.73299999999999998</v>
      </c>
      <c r="G47" s="5">
        <v>0.74099999999999999</v>
      </c>
      <c r="H47" s="5">
        <v>0.73399999999999999</v>
      </c>
      <c r="I47" s="6">
        <f t="shared" si="3"/>
        <v>0.72839999999999994</v>
      </c>
      <c r="J47" s="5">
        <v>0.68100000000000005</v>
      </c>
      <c r="K47" s="5">
        <v>0.70499999999999996</v>
      </c>
      <c r="L47" s="5">
        <v>0.70499999999999996</v>
      </c>
      <c r="M47" s="5">
        <v>0.61599999999999999</v>
      </c>
      <c r="N47" s="5">
        <v>0.68899999999999995</v>
      </c>
      <c r="O47" s="6">
        <f t="shared" si="4"/>
        <v>0.67920000000000003</v>
      </c>
      <c r="P47" s="15">
        <f t="shared" si="5"/>
        <v>-4.919999999999991E-2</v>
      </c>
    </row>
    <row r="48" spans="1:16" ht="15" customHeight="1" x14ac:dyDescent="0.25">
      <c r="A48" s="3" t="s">
        <v>130</v>
      </c>
      <c r="B48" s="3" t="s">
        <v>127</v>
      </c>
      <c r="C48" s="14">
        <v>0.2</v>
      </c>
      <c r="D48" s="5">
        <v>0.91700000000000004</v>
      </c>
      <c r="E48" s="5">
        <v>0.90400000000000003</v>
      </c>
      <c r="F48" s="5">
        <v>0.90100000000000002</v>
      </c>
      <c r="G48" s="5">
        <v>0.89100000000000001</v>
      </c>
      <c r="H48" s="5">
        <v>0.90400000000000003</v>
      </c>
      <c r="I48" s="6">
        <f t="shared" si="3"/>
        <v>0.90340000000000009</v>
      </c>
      <c r="J48" s="5">
        <v>0.86599999999999999</v>
      </c>
      <c r="K48" s="5">
        <v>0.89600000000000002</v>
      </c>
      <c r="L48" s="5">
        <v>0.86599999999999999</v>
      </c>
      <c r="M48" s="5">
        <v>0.89800000000000002</v>
      </c>
      <c r="N48" s="5">
        <v>0.90500000000000003</v>
      </c>
      <c r="O48" s="6">
        <f t="shared" si="4"/>
        <v>0.88619999999999999</v>
      </c>
      <c r="P48" s="15">
        <f t="shared" si="5"/>
        <v>-1.7200000000000104E-2</v>
      </c>
    </row>
    <row r="49" spans="1:16" ht="15" customHeight="1" x14ac:dyDescent="0.25">
      <c r="A49" s="3" t="s">
        <v>130</v>
      </c>
      <c r="B49" s="3" t="s">
        <v>127</v>
      </c>
      <c r="C49" s="14">
        <v>0.3</v>
      </c>
      <c r="D49" s="5">
        <v>0.79200000000000004</v>
      </c>
      <c r="E49" s="5">
        <v>0.77300000000000002</v>
      </c>
      <c r="F49" s="5">
        <v>0.77600000000000002</v>
      </c>
      <c r="G49" s="5">
        <v>0.77800000000000002</v>
      </c>
      <c r="H49" s="5">
        <v>0.80200000000000005</v>
      </c>
      <c r="I49" s="6">
        <f t="shared" si="3"/>
        <v>0.78420000000000001</v>
      </c>
      <c r="J49" s="5">
        <v>0.81100000000000005</v>
      </c>
      <c r="K49" s="5">
        <v>0.81799999999999995</v>
      </c>
      <c r="L49" s="5">
        <v>0.78800000000000003</v>
      </c>
      <c r="M49" s="5">
        <v>0.79200000000000004</v>
      </c>
      <c r="N49" s="5">
        <v>0.79200000000000004</v>
      </c>
      <c r="O49" s="6">
        <f t="shared" si="4"/>
        <v>0.80019999999999991</v>
      </c>
      <c r="P49" s="15">
        <f t="shared" si="5"/>
        <v>1.5999999999999903E-2</v>
      </c>
    </row>
    <row r="50" spans="1:16" ht="15" customHeight="1" x14ac:dyDescent="0.25">
      <c r="A50" s="3" t="s">
        <v>130</v>
      </c>
      <c r="B50" s="3" t="s">
        <v>127</v>
      </c>
      <c r="C50" s="14">
        <v>0.4</v>
      </c>
      <c r="D50" s="5">
        <v>0.56100000000000005</v>
      </c>
      <c r="E50" s="5">
        <v>0.60099999999999998</v>
      </c>
      <c r="F50" s="5">
        <v>0.55900000000000005</v>
      </c>
      <c r="G50" s="5">
        <v>0.56599999999999995</v>
      </c>
      <c r="H50" s="5">
        <v>0.57499999999999996</v>
      </c>
      <c r="I50" s="6">
        <f t="shared" si="3"/>
        <v>0.57240000000000002</v>
      </c>
      <c r="J50" s="5">
        <v>0.63900000000000001</v>
      </c>
      <c r="K50" s="5">
        <v>0.64800000000000002</v>
      </c>
      <c r="L50" s="5">
        <v>0.627</v>
      </c>
      <c r="M50" s="5">
        <v>0.61299999999999999</v>
      </c>
      <c r="N50" s="5">
        <v>0.621</v>
      </c>
      <c r="O50" s="6">
        <f t="shared" si="4"/>
        <v>0.62960000000000005</v>
      </c>
      <c r="P50" s="15">
        <f t="shared" si="5"/>
        <v>5.7200000000000029E-2</v>
      </c>
    </row>
    <row r="51" spans="1:16" ht="15" customHeight="1" x14ac:dyDescent="0.25">
      <c r="A51" s="3" t="s">
        <v>130</v>
      </c>
      <c r="B51" s="3" t="s">
        <v>127</v>
      </c>
      <c r="C51" s="14">
        <v>0.5</v>
      </c>
      <c r="D51" s="5">
        <v>0.496</v>
      </c>
      <c r="E51" s="5">
        <v>0.55200000000000005</v>
      </c>
      <c r="F51" s="5">
        <v>0.48099999999999998</v>
      </c>
      <c r="G51" s="5">
        <v>0.48499999999999999</v>
      </c>
      <c r="H51" s="5">
        <v>0.51900000000000002</v>
      </c>
      <c r="I51" s="6">
        <f t="shared" si="3"/>
        <v>0.50659999999999994</v>
      </c>
      <c r="J51" s="5">
        <v>0.54700000000000004</v>
      </c>
      <c r="K51" s="5">
        <v>0.53800000000000003</v>
      </c>
      <c r="L51" s="5">
        <v>0.47099999999999997</v>
      </c>
      <c r="M51" s="5">
        <v>0.44800000000000001</v>
      </c>
      <c r="N51" s="5">
        <v>0.496</v>
      </c>
      <c r="O51" s="6">
        <f t="shared" si="4"/>
        <v>0.5</v>
      </c>
      <c r="P51" s="15">
        <f t="shared" si="5"/>
        <v>-6.5999999999999392E-3</v>
      </c>
    </row>
    <row r="52" spans="1:16" ht="15" customHeight="1" x14ac:dyDescent="0.25">
      <c r="A52" s="3" t="s">
        <v>130</v>
      </c>
      <c r="B52" s="3" t="s">
        <v>128</v>
      </c>
      <c r="C52" s="14">
        <v>0.2</v>
      </c>
      <c r="D52" s="5">
        <v>0.86299999999999999</v>
      </c>
      <c r="E52" s="5">
        <v>0.86299999999999999</v>
      </c>
      <c r="F52" s="5">
        <v>0.86299999999999999</v>
      </c>
      <c r="G52" s="5">
        <v>0.84899999999999998</v>
      </c>
      <c r="H52" s="5">
        <v>0.873</v>
      </c>
      <c r="I52" s="6">
        <f t="shared" si="3"/>
        <v>0.86219999999999997</v>
      </c>
      <c r="J52" s="5">
        <v>0.82599999999999996</v>
      </c>
      <c r="K52" s="5">
        <v>0.83699999999999997</v>
      </c>
      <c r="L52" s="5">
        <v>0.84899999999999998</v>
      </c>
      <c r="M52" s="5">
        <v>0.8</v>
      </c>
      <c r="N52" s="5">
        <v>0.83499999999999996</v>
      </c>
      <c r="O52" s="6">
        <f t="shared" si="4"/>
        <v>0.82939999999999992</v>
      </c>
      <c r="P52" s="15">
        <f t="shared" si="5"/>
        <v>-3.2800000000000051E-2</v>
      </c>
    </row>
    <row r="53" spans="1:16" ht="15" customHeight="1" x14ac:dyDescent="0.25">
      <c r="A53" s="3" t="s">
        <v>130</v>
      </c>
      <c r="B53" s="3" t="s">
        <v>128</v>
      </c>
      <c r="C53" s="14">
        <v>0.3</v>
      </c>
      <c r="D53" s="5">
        <v>0.76400000000000001</v>
      </c>
      <c r="E53" s="5">
        <v>0.75900000000000001</v>
      </c>
      <c r="F53" s="5">
        <v>0.80400000000000005</v>
      </c>
      <c r="G53" s="5">
        <v>0.74</v>
      </c>
      <c r="H53" s="5">
        <v>0.755</v>
      </c>
      <c r="I53" s="6">
        <f t="shared" si="3"/>
        <v>0.76439999999999997</v>
      </c>
      <c r="J53" s="5">
        <v>0.81100000000000005</v>
      </c>
      <c r="K53" s="5">
        <v>0.75700000000000001</v>
      </c>
      <c r="L53" s="5">
        <v>0.8</v>
      </c>
      <c r="M53" s="5">
        <v>0.78100000000000003</v>
      </c>
      <c r="N53" s="5">
        <v>0.79300000000000004</v>
      </c>
      <c r="O53" s="6">
        <f t="shared" si="4"/>
        <v>0.7884000000000001</v>
      </c>
      <c r="P53" s="15">
        <f t="shared" si="5"/>
        <v>2.4000000000000132E-2</v>
      </c>
    </row>
    <row r="54" spans="1:16" ht="15" customHeight="1" x14ac:dyDescent="0.25">
      <c r="A54" s="3" t="s">
        <v>130</v>
      </c>
      <c r="B54" s="3" t="s">
        <v>128</v>
      </c>
      <c r="C54" s="14">
        <v>0.4</v>
      </c>
      <c r="D54" s="5">
        <v>0.69799999999999995</v>
      </c>
      <c r="E54" s="5">
        <v>0.64900000000000002</v>
      </c>
      <c r="F54" s="5">
        <v>0.68899999999999995</v>
      </c>
      <c r="G54" s="5">
        <v>0.66700000000000004</v>
      </c>
      <c r="H54" s="5">
        <v>0.64400000000000002</v>
      </c>
      <c r="I54" s="6">
        <f t="shared" si="3"/>
        <v>0.66940000000000011</v>
      </c>
      <c r="J54" s="5">
        <v>0.70099999999999996</v>
      </c>
      <c r="K54" s="5">
        <v>0.66300000000000003</v>
      </c>
      <c r="L54" s="5">
        <v>0.65300000000000002</v>
      </c>
      <c r="M54" s="5">
        <v>0.71499999999999997</v>
      </c>
      <c r="N54" s="5">
        <v>0.63700000000000001</v>
      </c>
      <c r="O54" s="6">
        <f t="shared" si="4"/>
        <v>0.67379999999999995</v>
      </c>
      <c r="P54" s="15">
        <f t="shared" si="5"/>
        <v>4.3999999999998485E-3</v>
      </c>
    </row>
    <row r="55" spans="1:16" ht="15" customHeight="1" x14ac:dyDescent="0.25">
      <c r="A55" s="3" t="s">
        <v>130</v>
      </c>
      <c r="B55" s="3" t="s">
        <v>128</v>
      </c>
      <c r="C55" s="14">
        <v>0.5</v>
      </c>
      <c r="D55" s="5">
        <v>0.55000000000000004</v>
      </c>
      <c r="E55" s="5">
        <v>0.46300000000000002</v>
      </c>
      <c r="F55" s="5">
        <v>0.53800000000000003</v>
      </c>
      <c r="G55" s="5">
        <v>0.45</v>
      </c>
      <c r="H55" s="5">
        <v>0.495</v>
      </c>
      <c r="I55" s="6">
        <f t="shared" si="3"/>
        <v>0.49920000000000009</v>
      </c>
      <c r="J55" s="5">
        <v>0.51100000000000001</v>
      </c>
      <c r="K55" s="5">
        <v>0.48299999999999998</v>
      </c>
      <c r="L55" s="5">
        <v>0.49099999999999999</v>
      </c>
      <c r="M55" s="5">
        <v>0.497</v>
      </c>
      <c r="N55" s="5">
        <v>0.53100000000000003</v>
      </c>
      <c r="O55" s="6">
        <f t="shared" si="4"/>
        <v>0.50259999999999994</v>
      </c>
      <c r="P55" s="15">
        <f t="shared" si="5"/>
        <v>3.3999999999998476E-3</v>
      </c>
    </row>
    <row r="56" spans="1:16" ht="15" customHeight="1" x14ac:dyDescent="0.25">
      <c r="A56" s="3" t="s">
        <v>131</v>
      </c>
      <c r="B56" s="3" t="s">
        <v>124</v>
      </c>
      <c r="C56" s="14">
        <v>0</v>
      </c>
      <c r="D56" s="5">
        <v>1</v>
      </c>
      <c r="E56" s="5">
        <v>1</v>
      </c>
      <c r="F56" s="5">
        <v>1</v>
      </c>
      <c r="G56" s="5">
        <v>1</v>
      </c>
      <c r="H56" s="5">
        <v>0.999</v>
      </c>
      <c r="I56" s="6">
        <f t="shared" si="3"/>
        <v>0.99979999999999991</v>
      </c>
      <c r="J56" s="5">
        <v>0.99099999999999999</v>
      </c>
      <c r="K56" s="5">
        <v>0.98799999999999999</v>
      </c>
      <c r="L56" s="5">
        <v>0.98499999999999999</v>
      </c>
      <c r="M56" s="5">
        <v>0.99099999999999999</v>
      </c>
      <c r="N56" s="5">
        <v>0.998</v>
      </c>
      <c r="O56" s="6">
        <f t="shared" si="4"/>
        <v>0.99060000000000004</v>
      </c>
      <c r="P56" s="15">
        <f t="shared" si="5"/>
        <v>-9.1999999999998749E-3</v>
      </c>
    </row>
    <row r="57" spans="1:16" ht="15" customHeight="1" x14ac:dyDescent="0.25">
      <c r="A57" s="3" t="s">
        <v>131</v>
      </c>
      <c r="B57" s="3" t="s">
        <v>125</v>
      </c>
      <c r="C57" s="14">
        <v>0.2</v>
      </c>
      <c r="D57" s="5">
        <v>0.98299999999999998</v>
      </c>
      <c r="E57" s="5">
        <v>0.99199999999999999</v>
      </c>
      <c r="F57" s="5">
        <v>0.98699999999999999</v>
      </c>
      <c r="G57" s="5">
        <v>0.97699999999999998</v>
      </c>
      <c r="H57" s="5">
        <v>0.98499999999999999</v>
      </c>
      <c r="I57" s="6">
        <f t="shared" si="3"/>
        <v>0.98480000000000012</v>
      </c>
      <c r="J57" s="5">
        <v>0.75700000000000001</v>
      </c>
      <c r="K57" s="5">
        <v>0.77400000000000002</v>
      </c>
      <c r="L57" s="5">
        <v>0.59</v>
      </c>
      <c r="M57" s="5">
        <v>0.61099999999999999</v>
      </c>
      <c r="N57" s="5">
        <v>0.72299999999999998</v>
      </c>
      <c r="O57" s="6">
        <f t="shared" si="4"/>
        <v>0.69100000000000006</v>
      </c>
      <c r="P57" s="15">
        <f t="shared" si="5"/>
        <v>-0.29380000000000006</v>
      </c>
    </row>
    <row r="58" spans="1:16" ht="15" customHeight="1" x14ac:dyDescent="0.25">
      <c r="A58" s="3" t="s">
        <v>131</v>
      </c>
      <c r="B58" s="3" t="s">
        <v>125</v>
      </c>
      <c r="C58" s="14">
        <v>0.3</v>
      </c>
      <c r="D58" s="5">
        <v>0.95499999999999996</v>
      </c>
      <c r="E58" s="5">
        <v>0.97399999999999998</v>
      </c>
      <c r="F58" s="5">
        <v>0.96499999999999997</v>
      </c>
      <c r="G58" s="5">
        <v>0.97</v>
      </c>
      <c r="H58" s="5">
        <v>0.94899999999999995</v>
      </c>
      <c r="I58" s="6">
        <f t="shared" si="3"/>
        <v>0.9625999999999999</v>
      </c>
      <c r="J58" s="5">
        <v>0.71799999999999997</v>
      </c>
      <c r="K58" s="5">
        <v>0.52500000000000002</v>
      </c>
      <c r="L58" s="5">
        <v>0.58399999999999996</v>
      </c>
      <c r="M58" s="5">
        <v>0.51200000000000001</v>
      </c>
      <c r="N58" s="5">
        <v>0.753</v>
      </c>
      <c r="O58" s="6">
        <f t="shared" si="4"/>
        <v>0.61840000000000006</v>
      </c>
      <c r="P58" s="15">
        <f t="shared" si="5"/>
        <v>-0.34419999999999984</v>
      </c>
    </row>
    <row r="59" spans="1:16" ht="15" customHeight="1" x14ac:dyDescent="0.25">
      <c r="A59" s="3" t="s">
        <v>131</v>
      </c>
      <c r="B59" s="3" t="s">
        <v>125</v>
      </c>
      <c r="C59" s="14">
        <v>0.4</v>
      </c>
      <c r="D59" s="5">
        <v>0.86699999999999999</v>
      </c>
      <c r="E59" s="5">
        <v>0.84599999999999997</v>
      </c>
      <c r="F59" s="5">
        <v>0.83399999999999996</v>
      </c>
      <c r="G59" s="5">
        <v>0.81499999999999995</v>
      </c>
      <c r="H59" s="5">
        <v>0.85199999999999998</v>
      </c>
      <c r="I59" s="6">
        <f t="shared" si="3"/>
        <v>0.8428000000000001</v>
      </c>
      <c r="J59" s="5">
        <v>0.65200000000000002</v>
      </c>
      <c r="K59" s="5">
        <v>0.67200000000000004</v>
      </c>
      <c r="L59" s="5">
        <v>0.57099999999999995</v>
      </c>
      <c r="M59" s="5">
        <v>0.73</v>
      </c>
      <c r="N59" s="5">
        <v>0.47799999999999998</v>
      </c>
      <c r="O59" s="6">
        <f t="shared" si="4"/>
        <v>0.62059999999999993</v>
      </c>
      <c r="P59" s="15">
        <f t="shared" si="5"/>
        <v>-0.22220000000000018</v>
      </c>
    </row>
    <row r="60" spans="1:16" ht="15" customHeight="1" x14ac:dyDescent="0.25">
      <c r="A60" s="3" t="s">
        <v>131</v>
      </c>
      <c r="B60" s="3" t="s">
        <v>125</v>
      </c>
      <c r="C60" s="14">
        <v>0.5</v>
      </c>
      <c r="D60" s="5">
        <v>0.47599999999999998</v>
      </c>
      <c r="E60" s="5">
        <v>0.52</v>
      </c>
      <c r="F60" s="5">
        <v>0.47199999999999998</v>
      </c>
      <c r="G60" s="5">
        <v>0.45300000000000001</v>
      </c>
      <c r="H60" s="5">
        <v>0.499</v>
      </c>
      <c r="I60" s="6">
        <f t="shared" si="3"/>
        <v>0.48399999999999999</v>
      </c>
      <c r="J60" s="5">
        <v>0.45</v>
      </c>
      <c r="K60" s="5">
        <v>0.496</v>
      </c>
      <c r="L60" s="5">
        <v>0.51500000000000001</v>
      </c>
      <c r="M60" s="5">
        <v>0.55600000000000005</v>
      </c>
      <c r="N60" s="5">
        <v>0.47699999999999998</v>
      </c>
      <c r="O60" s="6">
        <f t="shared" si="4"/>
        <v>0.49879999999999997</v>
      </c>
      <c r="P60" s="15">
        <f t="shared" si="5"/>
        <v>1.479999999999998E-2</v>
      </c>
    </row>
    <row r="61" spans="1:16" ht="15" customHeight="1" x14ac:dyDescent="0.25">
      <c r="A61" s="3" t="s">
        <v>131</v>
      </c>
      <c r="B61" s="3" t="s">
        <v>126</v>
      </c>
      <c r="C61" s="14">
        <v>0.2</v>
      </c>
      <c r="D61" s="5">
        <v>0.94799999999999995</v>
      </c>
      <c r="E61" s="5">
        <v>0.94799999999999995</v>
      </c>
      <c r="F61" s="5">
        <v>0.93799999999999994</v>
      </c>
      <c r="G61" s="5">
        <v>0.95899999999999996</v>
      </c>
      <c r="H61" s="5">
        <v>0.95</v>
      </c>
      <c r="I61" s="6">
        <f t="shared" si="3"/>
        <v>0.94859999999999989</v>
      </c>
      <c r="J61" s="5">
        <v>0.83</v>
      </c>
      <c r="K61" s="5">
        <v>0.75600000000000001</v>
      </c>
      <c r="L61" s="5">
        <v>0.79500000000000004</v>
      </c>
      <c r="M61" s="5">
        <v>0.89100000000000001</v>
      </c>
      <c r="N61" s="5">
        <v>0.78400000000000003</v>
      </c>
      <c r="O61" s="6">
        <f t="shared" si="4"/>
        <v>0.81120000000000003</v>
      </c>
      <c r="P61" s="15">
        <f t="shared" si="5"/>
        <v>-0.13739999999999986</v>
      </c>
    </row>
    <row r="62" spans="1:16" ht="15" customHeight="1" x14ac:dyDescent="0.25">
      <c r="A62" s="3" t="s">
        <v>131</v>
      </c>
      <c r="B62" s="3" t="s">
        <v>126</v>
      </c>
      <c r="C62" s="14">
        <v>0.3</v>
      </c>
      <c r="D62" s="5">
        <v>0.91800000000000004</v>
      </c>
      <c r="E62" s="5">
        <v>0.91300000000000003</v>
      </c>
      <c r="F62" s="5">
        <v>0.91500000000000004</v>
      </c>
      <c r="G62" s="5">
        <v>0.91100000000000003</v>
      </c>
      <c r="H62" s="5">
        <v>0.90300000000000002</v>
      </c>
      <c r="I62" s="6">
        <f t="shared" si="3"/>
        <v>0.91200000000000014</v>
      </c>
      <c r="J62" s="5">
        <v>0.65</v>
      </c>
      <c r="K62" s="5">
        <v>0.754</v>
      </c>
      <c r="L62" s="5">
        <v>0.56599999999999995</v>
      </c>
      <c r="M62" s="5">
        <v>0.87</v>
      </c>
      <c r="N62" s="5">
        <v>0.70099999999999996</v>
      </c>
      <c r="O62" s="6">
        <f t="shared" si="4"/>
        <v>0.70819999999999994</v>
      </c>
      <c r="P62" s="15">
        <f t="shared" si="5"/>
        <v>-0.2038000000000002</v>
      </c>
    </row>
    <row r="63" spans="1:16" ht="15" customHeight="1" x14ac:dyDescent="0.25">
      <c r="A63" s="3" t="s">
        <v>131</v>
      </c>
      <c r="B63" s="3" t="s">
        <v>126</v>
      </c>
      <c r="C63" s="14">
        <v>0.4</v>
      </c>
      <c r="D63" s="5">
        <v>0.85699999999999998</v>
      </c>
      <c r="E63" s="5">
        <v>0.86099999999999999</v>
      </c>
      <c r="F63" s="5">
        <v>0.83599999999999997</v>
      </c>
      <c r="G63" s="5">
        <v>0.86</v>
      </c>
      <c r="H63" s="5">
        <v>0.85499999999999998</v>
      </c>
      <c r="I63" s="6">
        <f t="shared" si="3"/>
        <v>0.8538</v>
      </c>
      <c r="J63" s="5">
        <v>0.71799999999999997</v>
      </c>
      <c r="K63" s="5">
        <v>0.73399999999999999</v>
      </c>
      <c r="L63" s="5">
        <v>0.88100000000000001</v>
      </c>
      <c r="M63" s="5">
        <v>0.80500000000000005</v>
      </c>
      <c r="N63" s="5">
        <v>0.71199999999999997</v>
      </c>
      <c r="O63" s="6">
        <f t="shared" si="4"/>
        <v>0.77000000000000013</v>
      </c>
      <c r="P63" s="15">
        <f t="shared" si="5"/>
        <v>-8.3799999999999875E-2</v>
      </c>
    </row>
    <row r="64" spans="1:16" ht="15" customHeight="1" x14ac:dyDescent="0.25">
      <c r="A64" s="3" t="s">
        <v>131</v>
      </c>
      <c r="B64" s="3" t="s">
        <v>126</v>
      </c>
      <c r="C64" s="14">
        <v>0.5</v>
      </c>
      <c r="D64" s="5">
        <v>0.73199999999999998</v>
      </c>
      <c r="E64" s="5">
        <v>0.71599999999999997</v>
      </c>
      <c r="F64" s="5">
        <v>0.73</v>
      </c>
      <c r="G64" s="5">
        <v>0.69199999999999995</v>
      </c>
      <c r="H64" s="5">
        <v>0.71</v>
      </c>
      <c r="I64" s="6">
        <f t="shared" si="3"/>
        <v>0.71599999999999997</v>
      </c>
      <c r="J64" s="5">
        <v>0.95799999999999996</v>
      </c>
      <c r="K64" s="5">
        <v>0.76500000000000001</v>
      </c>
      <c r="L64" s="5">
        <v>0.61299999999999999</v>
      </c>
      <c r="M64" s="5">
        <v>0.73799999999999999</v>
      </c>
      <c r="N64" s="5">
        <v>0.80800000000000005</v>
      </c>
      <c r="O64" s="6">
        <f t="shared" si="4"/>
        <v>0.77639999999999998</v>
      </c>
      <c r="P64" s="15">
        <f t="shared" si="5"/>
        <v>6.0400000000000009E-2</v>
      </c>
    </row>
    <row r="65" spans="1:16" ht="15" customHeight="1" x14ac:dyDescent="0.25">
      <c r="A65" s="3" t="s">
        <v>131</v>
      </c>
      <c r="B65" s="3" t="s">
        <v>127</v>
      </c>
      <c r="C65" s="14">
        <v>0.2</v>
      </c>
      <c r="D65" s="5">
        <v>0.89100000000000001</v>
      </c>
      <c r="E65" s="5">
        <v>0.90500000000000003</v>
      </c>
      <c r="F65" s="5">
        <v>0.89100000000000001</v>
      </c>
      <c r="G65" s="5">
        <v>0.90200000000000002</v>
      </c>
      <c r="H65" s="5">
        <v>0.89100000000000001</v>
      </c>
      <c r="I65" s="6">
        <f t="shared" si="3"/>
        <v>0.89600000000000013</v>
      </c>
      <c r="J65" s="5">
        <v>0.81</v>
      </c>
      <c r="K65" s="5">
        <v>0.83</v>
      </c>
      <c r="L65" s="5">
        <v>0.88900000000000001</v>
      </c>
      <c r="M65" s="5">
        <v>0.89400000000000002</v>
      </c>
      <c r="N65" s="5">
        <v>0.71399999999999997</v>
      </c>
      <c r="O65" s="6">
        <f t="shared" si="4"/>
        <v>0.82740000000000014</v>
      </c>
      <c r="P65" s="15">
        <f t="shared" si="5"/>
        <v>-6.8599999999999994E-2</v>
      </c>
    </row>
    <row r="66" spans="1:16" ht="15" customHeight="1" x14ac:dyDescent="0.25">
      <c r="A66" s="3" t="s">
        <v>131</v>
      </c>
      <c r="B66" s="3" t="s">
        <v>127</v>
      </c>
      <c r="C66" s="14">
        <v>0.3</v>
      </c>
      <c r="D66" s="5">
        <v>0.81899999999999995</v>
      </c>
      <c r="E66" s="5">
        <v>0.76100000000000001</v>
      </c>
      <c r="F66" s="5">
        <v>0.80400000000000005</v>
      </c>
      <c r="G66" s="5">
        <v>0.79100000000000004</v>
      </c>
      <c r="H66" s="5">
        <v>0.80500000000000005</v>
      </c>
      <c r="I66" s="6">
        <f t="shared" si="3"/>
        <v>0.79600000000000004</v>
      </c>
      <c r="J66" s="5">
        <v>0.77100000000000002</v>
      </c>
      <c r="K66" s="5">
        <v>0.79600000000000004</v>
      </c>
      <c r="L66" s="5">
        <v>0.84299999999999997</v>
      </c>
      <c r="M66" s="5">
        <v>0.70199999999999996</v>
      </c>
      <c r="N66" s="5">
        <v>0.746</v>
      </c>
      <c r="O66" s="6">
        <f t="shared" si="4"/>
        <v>0.77160000000000006</v>
      </c>
      <c r="P66" s="15">
        <f t="shared" si="5"/>
        <v>-2.4399999999999977E-2</v>
      </c>
    </row>
    <row r="67" spans="1:16" ht="15" customHeight="1" x14ac:dyDescent="0.25">
      <c r="A67" s="3" t="s">
        <v>131</v>
      </c>
      <c r="B67" s="3" t="s">
        <v>127</v>
      </c>
      <c r="C67" s="14">
        <v>0.4</v>
      </c>
      <c r="D67" s="5">
        <v>0.67800000000000005</v>
      </c>
      <c r="E67" s="5">
        <v>0.67400000000000004</v>
      </c>
      <c r="F67" s="5">
        <v>0.67600000000000005</v>
      </c>
      <c r="G67" s="5">
        <v>0.66900000000000004</v>
      </c>
      <c r="H67" s="5">
        <v>0.67300000000000004</v>
      </c>
      <c r="I67" s="6">
        <f t="shared" si="3"/>
        <v>0.67400000000000004</v>
      </c>
      <c r="J67" s="5">
        <v>0.54500000000000004</v>
      </c>
      <c r="K67" s="5">
        <v>0.65100000000000002</v>
      </c>
      <c r="L67" s="5">
        <v>0.63300000000000001</v>
      </c>
      <c r="M67" s="5">
        <v>0.63700000000000001</v>
      </c>
      <c r="N67" s="5">
        <v>0.54</v>
      </c>
      <c r="O67" s="6">
        <f t="shared" si="4"/>
        <v>0.60120000000000007</v>
      </c>
      <c r="P67" s="15">
        <f t="shared" si="5"/>
        <v>-7.2799999999999976E-2</v>
      </c>
    </row>
    <row r="68" spans="1:16" ht="15" customHeight="1" x14ac:dyDescent="0.25">
      <c r="A68" s="3" t="s">
        <v>131</v>
      </c>
      <c r="B68" s="3" t="s">
        <v>127</v>
      </c>
      <c r="C68" s="14">
        <v>0.5</v>
      </c>
      <c r="D68" s="5">
        <v>0.504</v>
      </c>
      <c r="E68" s="5">
        <v>0.48299999999999998</v>
      </c>
      <c r="F68" s="5">
        <v>0.47299999999999998</v>
      </c>
      <c r="G68" s="5">
        <v>0.48499999999999999</v>
      </c>
      <c r="H68" s="5">
        <v>0.48299999999999998</v>
      </c>
      <c r="I68" s="6">
        <f t="shared" si="3"/>
        <v>0.48559999999999998</v>
      </c>
      <c r="J68" s="5">
        <v>0.56499999999999995</v>
      </c>
      <c r="K68" s="5">
        <v>0.6</v>
      </c>
      <c r="L68" s="5">
        <v>0.497</v>
      </c>
      <c r="M68" s="5">
        <v>0.499</v>
      </c>
      <c r="N68" s="5">
        <v>0.49399999999999999</v>
      </c>
      <c r="O68" s="6">
        <f t="shared" si="4"/>
        <v>0.53100000000000003</v>
      </c>
      <c r="P68" s="15">
        <f t="shared" si="5"/>
        <v>4.5400000000000051E-2</v>
      </c>
    </row>
    <row r="69" spans="1:16" ht="15" customHeight="1" x14ac:dyDescent="0.25">
      <c r="A69" s="3" t="s">
        <v>131</v>
      </c>
      <c r="B69" s="3" t="s">
        <v>128</v>
      </c>
      <c r="C69" s="14">
        <v>0.2</v>
      </c>
      <c r="D69" s="5">
        <v>0.81200000000000006</v>
      </c>
      <c r="E69" s="5">
        <v>0.81899999999999995</v>
      </c>
      <c r="F69" s="5">
        <v>0.80900000000000005</v>
      </c>
      <c r="G69" s="5">
        <v>0.80100000000000005</v>
      </c>
      <c r="H69" s="5">
        <v>0.81100000000000005</v>
      </c>
      <c r="I69" s="6">
        <f t="shared" ref="I69:I100" si="6">IFERROR(AVERAGE(D69:H69),"-")</f>
        <v>0.81040000000000012</v>
      </c>
      <c r="J69" s="5">
        <v>0.79500000000000004</v>
      </c>
      <c r="K69" s="5">
        <v>0.80100000000000005</v>
      </c>
      <c r="L69" s="5">
        <v>0.78800000000000003</v>
      </c>
      <c r="M69" s="5">
        <v>0.80300000000000005</v>
      </c>
      <c r="N69" s="5">
        <v>0.747</v>
      </c>
      <c r="O69" s="6">
        <f t="shared" ref="O69:O100" si="7">IFERROR(AVERAGE(J69:N69),"-")</f>
        <v>0.78680000000000005</v>
      </c>
      <c r="P69" s="15">
        <f t="shared" ref="P69:P100" si="8">IFERROR(O69-I69,"-")</f>
        <v>-2.3600000000000065E-2</v>
      </c>
    </row>
    <row r="70" spans="1:16" ht="15" customHeight="1" x14ac:dyDescent="0.25">
      <c r="A70" s="3" t="s">
        <v>131</v>
      </c>
      <c r="B70" s="3" t="s">
        <v>128</v>
      </c>
      <c r="C70" s="14">
        <v>0.3</v>
      </c>
      <c r="D70" s="5">
        <v>0.77300000000000002</v>
      </c>
      <c r="E70" s="5">
        <v>0.72699999999999998</v>
      </c>
      <c r="F70" s="5">
        <v>0.68899999999999995</v>
      </c>
      <c r="G70" s="5">
        <v>0.73899999999999999</v>
      </c>
      <c r="H70" s="5">
        <v>0.71299999999999997</v>
      </c>
      <c r="I70" s="6">
        <f t="shared" si="6"/>
        <v>0.72819999999999996</v>
      </c>
      <c r="J70" s="5">
        <v>0.57099999999999995</v>
      </c>
      <c r="K70" s="5">
        <v>0.63700000000000001</v>
      </c>
      <c r="L70" s="5">
        <v>0.68200000000000005</v>
      </c>
      <c r="M70" s="5">
        <v>0.66300000000000003</v>
      </c>
      <c r="N70" s="5">
        <v>0.61099999999999999</v>
      </c>
      <c r="O70" s="6">
        <f t="shared" si="7"/>
        <v>0.63279999999999992</v>
      </c>
      <c r="P70" s="15">
        <f t="shared" si="8"/>
        <v>-9.540000000000004E-2</v>
      </c>
    </row>
    <row r="71" spans="1:16" ht="15" customHeight="1" x14ac:dyDescent="0.25">
      <c r="A71" s="3" t="s">
        <v>131</v>
      </c>
      <c r="B71" s="3" t="s">
        <v>128</v>
      </c>
      <c r="C71" s="14">
        <v>0.4</v>
      </c>
      <c r="D71" s="5">
        <v>0.66300000000000003</v>
      </c>
      <c r="E71" s="5">
        <v>0.64600000000000002</v>
      </c>
      <c r="F71" s="5">
        <v>0.69399999999999995</v>
      </c>
      <c r="G71" s="5">
        <v>0.67600000000000005</v>
      </c>
      <c r="H71" s="5">
        <v>0.68700000000000006</v>
      </c>
      <c r="I71" s="6">
        <f t="shared" si="6"/>
        <v>0.67320000000000013</v>
      </c>
      <c r="J71" s="5">
        <v>0.621</v>
      </c>
      <c r="K71" s="5">
        <v>0.57099999999999995</v>
      </c>
      <c r="L71" s="5">
        <v>0.68400000000000005</v>
      </c>
      <c r="M71" s="5">
        <v>0.56599999999999995</v>
      </c>
      <c r="N71" s="5">
        <v>0.65400000000000003</v>
      </c>
      <c r="O71" s="6">
        <f t="shared" si="7"/>
        <v>0.61919999999999997</v>
      </c>
      <c r="P71" s="15">
        <f t="shared" si="8"/>
        <v>-5.4000000000000159E-2</v>
      </c>
    </row>
    <row r="72" spans="1:16" ht="15" customHeight="1" x14ac:dyDescent="0.25">
      <c r="A72" s="3" t="s">
        <v>131</v>
      </c>
      <c r="B72" s="3" t="s">
        <v>128</v>
      </c>
      <c r="C72" s="14">
        <v>0.5</v>
      </c>
      <c r="D72" s="5">
        <v>0.46700000000000003</v>
      </c>
      <c r="E72" s="5">
        <v>0.47299999999999998</v>
      </c>
      <c r="F72" s="5">
        <v>0.57699999999999996</v>
      </c>
      <c r="G72" s="5">
        <v>0.51500000000000001</v>
      </c>
      <c r="H72" s="5">
        <v>0.52300000000000002</v>
      </c>
      <c r="I72" s="6">
        <f t="shared" si="6"/>
        <v>0.51100000000000001</v>
      </c>
      <c r="J72" s="5">
        <v>0.51600000000000001</v>
      </c>
      <c r="K72" s="5">
        <v>0.53400000000000003</v>
      </c>
      <c r="L72" s="5">
        <v>0.45300000000000001</v>
      </c>
      <c r="M72" s="5">
        <v>0.50900000000000001</v>
      </c>
      <c r="N72" s="5">
        <v>0.48</v>
      </c>
      <c r="O72" s="6">
        <f t="shared" si="7"/>
        <v>0.49840000000000001</v>
      </c>
      <c r="P72" s="15">
        <f t="shared" si="8"/>
        <v>-1.26E-2</v>
      </c>
    </row>
    <row r="73" spans="1:16" ht="15" customHeight="1" x14ac:dyDescent="0.25">
      <c r="A73" s="3" t="s">
        <v>132</v>
      </c>
      <c r="B73" s="3" t="s">
        <v>124</v>
      </c>
      <c r="C73" s="14">
        <v>0</v>
      </c>
      <c r="D73" s="5">
        <v>0.96699999999999997</v>
      </c>
      <c r="E73" s="5">
        <v>0.96499999999999997</v>
      </c>
      <c r="F73" s="5">
        <v>0.96499999999999997</v>
      </c>
      <c r="G73" s="5">
        <v>0.96299999999999997</v>
      </c>
      <c r="H73" s="5">
        <v>0.96499999999999997</v>
      </c>
      <c r="I73" s="6">
        <f t="shared" si="6"/>
        <v>0.96500000000000008</v>
      </c>
      <c r="J73" s="5">
        <v>0.96</v>
      </c>
      <c r="K73" s="5">
        <v>0.95599999999999996</v>
      </c>
      <c r="L73" s="5">
        <v>0.97199999999999998</v>
      </c>
      <c r="M73" s="5">
        <v>0.95099999999999996</v>
      </c>
      <c r="N73" s="5">
        <v>0.96</v>
      </c>
      <c r="O73" s="6">
        <f t="shared" si="7"/>
        <v>0.95979999999999988</v>
      </c>
      <c r="P73" s="15">
        <f t="shared" si="8"/>
        <v>-5.2000000000002045E-3</v>
      </c>
    </row>
    <row r="74" spans="1:16" ht="15" customHeight="1" x14ac:dyDescent="0.25">
      <c r="A74" s="3" t="s">
        <v>132</v>
      </c>
      <c r="B74" s="3" t="s">
        <v>125</v>
      </c>
      <c r="C74" s="14">
        <v>0.2</v>
      </c>
      <c r="D74" s="5">
        <v>0.83799999999999997</v>
      </c>
      <c r="E74" s="5">
        <v>0.81200000000000006</v>
      </c>
      <c r="F74" s="5">
        <v>0.81899999999999995</v>
      </c>
      <c r="G74" s="5">
        <v>0.82599999999999996</v>
      </c>
      <c r="H74" s="5">
        <v>0.83699999999999997</v>
      </c>
      <c r="I74" s="6">
        <f t="shared" si="6"/>
        <v>0.82639999999999991</v>
      </c>
      <c r="J74" s="5">
        <v>0.90300000000000002</v>
      </c>
      <c r="K74" s="5">
        <v>0.88600000000000001</v>
      </c>
      <c r="L74" s="5">
        <v>0.80500000000000005</v>
      </c>
      <c r="M74" s="5">
        <v>0.79500000000000004</v>
      </c>
      <c r="N74" s="5">
        <v>0.88</v>
      </c>
      <c r="O74" s="6">
        <f t="shared" si="7"/>
        <v>0.8538</v>
      </c>
      <c r="P74" s="15">
        <f t="shared" si="8"/>
        <v>2.7400000000000091E-2</v>
      </c>
    </row>
    <row r="75" spans="1:16" ht="15" customHeight="1" x14ac:dyDescent="0.25">
      <c r="A75" s="3" t="s">
        <v>132</v>
      </c>
      <c r="B75" s="3" t="s">
        <v>125</v>
      </c>
      <c r="C75" s="14">
        <v>0.3</v>
      </c>
      <c r="D75" s="5">
        <v>0.72099999999999997</v>
      </c>
      <c r="E75" s="5">
        <v>0.78600000000000003</v>
      </c>
      <c r="F75" s="5">
        <v>0.754</v>
      </c>
      <c r="G75" s="5">
        <v>0.752</v>
      </c>
      <c r="H75" s="5">
        <v>0.77500000000000002</v>
      </c>
      <c r="I75" s="6">
        <f t="shared" si="6"/>
        <v>0.75759999999999994</v>
      </c>
      <c r="J75" s="5">
        <v>0.79600000000000004</v>
      </c>
      <c r="K75" s="5">
        <v>0.60299999999999998</v>
      </c>
      <c r="L75" s="5">
        <v>0.60199999999999998</v>
      </c>
      <c r="M75" s="5">
        <v>0.68400000000000005</v>
      </c>
      <c r="N75" s="5">
        <v>0.77300000000000002</v>
      </c>
      <c r="O75" s="6">
        <f t="shared" si="7"/>
        <v>0.69159999999999999</v>
      </c>
      <c r="P75" s="15">
        <f t="shared" si="8"/>
        <v>-6.5999999999999948E-2</v>
      </c>
    </row>
    <row r="76" spans="1:16" ht="15" customHeight="1" x14ac:dyDescent="0.25">
      <c r="A76" s="3" t="s">
        <v>132</v>
      </c>
      <c r="B76" s="3" t="s">
        <v>125</v>
      </c>
      <c r="C76" s="14">
        <v>0.4</v>
      </c>
      <c r="D76" s="5">
        <v>0.64300000000000002</v>
      </c>
      <c r="E76" s="5">
        <v>0.627</v>
      </c>
      <c r="F76" s="5">
        <v>0.69899999999999995</v>
      </c>
      <c r="G76" s="5">
        <v>0.65600000000000003</v>
      </c>
      <c r="H76" s="5">
        <v>0.60799999999999998</v>
      </c>
      <c r="I76" s="6">
        <f t="shared" si="6"/>
        <v>0.64660000000000006</v>
      </c>
      <c r="J76" s="5">
        <v>0.65900000000000003</v>
      </c>
      <c r="K76" s="5">
        <v>0.76600000000000001</v>
      </c>
      <c r="L76" s="5">
        <v>0.73699999999999999</v>
      </c>
      <c r="M76" s="5">
        <v>0.52</v>
      </c>
      <c r="N76" s="5">
        <v>0.66100000000000003</v>
      </c>
      <c r="O76" s="6">
        <f t="shared" si="7"/>
        <v>0.66859999999999997</v>
      </c>
      <c r="P76" s="15">
        <f t="shared" si="8"/>
        <v>2.1999999999999909E-2</v>
      </c>
    </row>
    <row r="77" spans="1:16" ht="15" customHeight="1" x14ac:dyDescent="0.25">
      <c r="A77" s="3" t="s">
        <v>132</v>
      </c>
      <c r="B77" s="3" t="s">
        <v>125</v>
      </c>
      <c r="C77" s="14">
        <v>0.5</v>
      </c>
      <c r="D77" s="5">
        <v>0.499</v>
      </c>
      <c r="E77" s="5">
        <v>0.53400000000000003</v>
      </c>
      <c r="F77" s="5">
        <v>0.501</v>
      </c>
      <c r="G77" s="5">
        <v>0.501</v>
      </c>
      <c r="H77" s="5">
        <v>0.48</v>
      </c>
      <c r="I77" s="6">
        <f t="shared" si="6"/>
        <v>0.50299999999999989</v>
      </c>
      <c r="J77" s="5">
        <v>0.47099999999999997</v>
      </c>
      <c r="K77" s="5">
        <v>0.47299999999999998</v>
      </c>
      <c r="L77" s="5">
        <v>0.51300000000000001</v>
      </c>
      <c r="M77" s="5">
        <v>0.45500000000000002</v>
      </c>
      <c r="N77" s="5">
        <v>0.42499999999999999</v>
      </c>
      <c r="O77" s="6">
        <f t="shared" si="7"/>
        <v>0.46739999999999993</v>
      </c>
      <c r="P77" s="15">
        <f t="shared" si="8"/>
        <v>-3.5599999999999965E-2</v>
      </c>
    </row>
    <row r="78" spans="1:16" ht="15" customHeight="1" x14ac:dyDescent="0.25">
      <c r="A78" s="3" t="s">
        <v>132</v>
      </c>
      <c r="B78" s="3" t="s">
        <v>126</v>
      </c>
      <c r="C78" s="14">
        <v>0.2</v>
      </c>
      <c r="D78" s="5">
        <v>0.89100000000000001</v>
      </c>
      <c r="E78" s="5">
        <v>0.89300000000000002</v>
      </c>
      <c r="F78" s="5">
        <v>0.89800000000000002</v>
      </c>
      <c r="G78" s="5">
        <v>0.90500000000000003</v>
      </c>
      <c r="H78" s="5">
        <v>0.90100000000000002</v>
      </c>
      <c r="I78" s="6">
        <f t="shared" si="6"/>
        <v>0.89759999999999995</v>
      </c>
      <c r="J78" s="5">
        <v>0.91400000000000003</v>
      </c>
      <c r="K78" s="5">
        <v>0.92100000000000004</v>
      </c>
      <c r="L78" s="5">
        <v>0.93500000000000005</v>
      </c>
      <c r="M78" s="5">
        <v>0.91700000000000004</v>
      </c>
      <c r="N78" s="5">
        <v>0.90300000000000002</v>
      </c>
      <c r="O78" s="6">
        <f t="shared" si="7"/>
        <v>0.91799999999999993</v>
      </c>
      <c r="P78" s="15">
        <f t="shared" si="8"/>
        <v>2.0399999999999974E-2</v>
      </c>
    </row>
    <row r="79" spans="1:16" ht="15" customHeight="1" x14ac:dyDescent="0.25">
      <c r="A79" s="3" t="s">
        <v>132</v>
      </c>
      <c r="B79" s="3" t="s">
        <v>126</v>
      </c>
      <c r="C79" s="14">
        <v>0.3</v>
      </c>
      <c r="D79" s="5">
        <v>0.88</v>
      </c>
      <c r="E79" s="5">
        <v>0.85899999999999999</v>
      </c>
      <c r="F79" s="5">
        <v>0.86799999999999999</v>
      </c>
      <c r="G79" s="5">
        <v>0.85599999999999998</v>
      </c>
      <c r="H79" s="5">
        <v>0.86099999999999999</v>
      </c>
      <c r="I79" s="6">
        <f t="shared" si="6"/>
        <v>0.86480000000000001</v>
      </c>
      <c r="J79" s="5">
        <v>0.875</v>
      </c>
      <c r="K79" s="5">
        <v>0.85099999999999998</v>
      </c>
      <c r="L79" s="5">
        <v>0.80700000000000005</v>
      </c>
      <c r="M79" s="5">
        <v>0.8</v>
      </c>
      <c r="N79" s="5">
        <v>0.84699999999999998</v>
      </c>
      <c r="O79" s="6">
        <f t="shared" si="7"/>
        <v>0.83599999999999997</v>
      </c>
      <c r="P79" s="15">
        <f t="shared" si="8"/>
        <v>-2.8800000000000048E-2</v>
      </c>
    </row>
    <row r="80" spans="1:16" ht="15" customHeight="1" x14ac:dyDescent="0.25">
      <c r="A80" s="3" t="s">
        <v>132</v>
      </c>
      <c r="B80" s="3" t="s">
        <v>126</v>
      </c>
      <c r="C80" s="14">
        <v>0.4</v>
      </c>
      <c r="D80" s="5">
        <v>0.82099999999999995</v>
      </c>
      <c r="E80" s="5">
        <v>0.84199999999999997</v>
      </c>
      <c r="F80" s="5">
        <v>0.82399999999999995</v>
      </c>
      <c r="G80" s="5">
        <v>0.82099999999999995</v>
      </c>
      <c r="H80" s="5">
        <v>0.82099999999999995</v>
      </c>
      <c r="I80" s="6">
        <f t="shared" si="6"/>
        <v>0.82579999999999987</v>
      </c>
      <c r="J80" s="5">
        <v>0.80200000000000005</v>
      </c>
      <c r="K80" s="5">
        <v>0.82299999999999995</v>
      </c>
      <c r="L80" s="5">
        <v>0.83499999999999996</v>
      </c>
      <c r="M80" s="5">
        <v>0.75800000000000001</v>
      </c>
      <c r="N80" s="5">
        <v>0.81899999999999995</v>
      </c>
      <c r="O80" s="6">
        <f t="shared" si="7"/>
        <v>0.80740000000000001</v>
      </c>
      <c r="P80" s="15">
        <f t="shared" si="8"/>
        <v>-1.8399999999999861E-2</v>
      </c>
    </row>
    <row r="81" spans="1:16" ht="15" customHeight="1" x14ac:dyDescent="0.25">
      <c r="A81" s="3" t="s">
        <v>132</v>
      </c>
      <c r="B81" s="3" t="s">
        <v>126</v>
      </c>
      <c r="C81" s="14">
        <v>0.5</v>
      </c>
      <c r="D81" s="5">
        <v>0.77700000000000002</v>
      </c>
      <c r="E81" s="5">
        <v>0.80800000000000005</v>
      </c>
      <c r="F81" s="5">
        <v>0.79400000000000004</v>
      </c>
      <c r="G81" s="5">
        <v>0.79100000000000004</v>
      </c>
      <c r="H81" s="5">
        <v>0.78600000000000003</v>
      </c>
      <c r="I81" s="6">
        <f t="shared" si="6"/>
        <v>0.79120000000000001</v>
      </c>
      <c r="J81" s="5">
        <v>0.73799999999999999</v>
      </c>
      <c r="K81" s="5">
        <v>0.80100000000000005</v>
      </c>
      <c r="L81" s="5">
        <v>0.84399999999999997</v>
      </c>
      <c r="M81" s="5">
        <v>0.77500000000000002</v>
      </c>
      <c r="N81" s="5">
        <v>0.73599999999999999</v>
      </c>
      <c r="O81" s="6">
        <f t="shared" si="7"/>
        <v>0.77880000000000005</v>
      </c>
      <c r="P81" s="15">
        <f t="shared" si="8"/>
        <v>-1.2399999999999967E-2</v>
      </c>
    </row>
    <row r="82" spans="1:16" ht="15" customHeight="1" x14ac:dyDescent="0.25">
      <c r="A82" s="3" t="s">
        <v>132</v>
      </c>
      <c r="B82" s="3" t="s">
        <v>127</v>
      </c>
      <c r="C82" s="14">
        <v>0.2</v>
      </c>
      <c r="D82" s="5">
        <v>0.86099999999999999</v>
      </c>
      <c r="E82" s="5">
        <v>0.86599999999999999</v>
      </c>
      <c r="F82" s="5">
        <v>0.85399999999999998</v>
      </c>
      <c r="G82" s="5">
        <v>0.86799999999999999</v>
      </c>
      <c r="H82" s="5">
        <v>0.85799999999999998</v>
      </c>
      <c r="I82" s="6">
        <f t="shared" si="6"/>
        <v>0.86139999999999994</v>
      </c>
      <c r="J82" s="5">
        <v>0.83499999999999996</v>
      </c>
      <c r="K82" s="5">
        <v>0.754</v>
      </c>
      <c r="L82" s="5">
        <v>0.85799999999999998</v>
      </c>
      <c r="M82" s="5">
        <v>0.82099999999999995</v>
      </c>
      <c r="N82" s="5">
        <v>0.78800000000000003</v>
      </c>
      <c r="O82" s="6">
        <f t="shared" si="7"/>
        <v>0.81120000000000003</v>
      </c>
      <c r="P82" s="15">
        <f t="shared" si="8"/>
        <v>-5.0199999999999911E-2</v>
      </c>
    </row>
    <row r="83" spans="1:16" ht="15" customHeight="1" x14ac:dyDescent="0.25">
      <c r="A83" s="3" t="s">
        <v>132</v>
      </c>
      <c r="B83" s="3" t="s">
        <v>127</v>
      </c>
      <c r="C83" s="14">
        <v>0.3</v>
      </c>
      <c r="D83" s="5">
        <v>0.73299999999999998</v>
      </c>
      <c r="E83" s="5">
        <v>0.77700000000000002</v>
      </c>
      <c r="F83" s="5">
        <v>0.75600000000000001</v>
      </c>
      <c r="G83" s="5">
        <v>0.75700000000000001</v>
      </c>
      <c r="H83" s="5">
        <v>0.74199999999999999</v>
      </c>
      <c r="I83" s="6">
        <f t="shared" si="6"/>
        <v>0.753</v>
      </c>
      <c r="J83" s="5">
        <v>0.754</v>
      </c>
      <c r="K83" s="5">
        <v>0.69</v>
      </c>
      <c r="L83" s="5">
        <v>0.77700000000000002</v>
      </c>
      <c r="M83" s="5">
        <v>0.752</v>
      </c>
      <c r="N83" s="5">
        <v>0.73599999999999999</v>
      </c>
      <c r="O83" s="6">
        <f t="shared" si="7"/>
        <v>0.7417999999999999</v>
      </c>
      <c r="P83" s="15">
        <f t="shared" si="8"/>
        <v>-1.1200000000000099E-2</v>
      </c>
    </row>
    <row r="84" spans="1:16" ht="15" customHeight="1" x14ac:dyDescent="0.25">
      <c r="A84" s="3" t="s">
        <v>132</v>
      </c>
      <c r="B84" s="3" t="s">
        <v>127</v>
      </c>
      <c r="C84" s="14">
        <v>0.4</v>
      </c>
      <c r="D84" s="5">
        <v>0.67800000000000005</v>
      </c>
      <c r="E84" s="5">
        <v>0.64100000000000001</v>
      </c>
      <c r="F84" s="5">
        <v>0.59599999999999997</v>
      </c>
      <c r="G84" s="5">
        <v>0.68600000000000005</v>
      </c>
      <c r="H84" s="5">
        <v>0.63400000000000001</v>
      </c>
      <c r="I84" s="6">
        <f t="shared" si="6"/>
        <v>0.64700000000000002</v>
      </c>
      <c r="J84" s="5">
        <v>0.67</v>
      </c>
      <c r="K84" s="5">
        <v>0.69799999999999995</v>
      </c>
      <c r="L84" s="5">
        <v>0.67700000000000005</v>
      </c>
      <c r="M84" s="5">
        <v>0.51500000000000001</v>
      </c>
      <c r="N84" s="5">
        <v>0.49399999999999999</v>
      </c>
      <c r="O84" s="6">
        <f t="shared" si="7"/>
        <v>0.61080000000000001</v>
      </c>
      <c r="P84" s="15">
        <f t="shared" si="8"/>
        <v>-3.620000000000001E-2</v>
      </c>
    </row>
    <row r="85" spans="1:16" ht="15" customHeight="1" x14ac:dyDescent="0.25">
      <c r="A85" s="3" t="s">
        <v>132</v>
      </c>
      <c r="B85" s="3" t="s">
        <v>127</v>
      </c>
      <c r="C85" s="14">
        <v>0.5</v>
      </c>
      <c r="D85" s="5">
        <v>0.53400000000000003</v>
      </c>
      <c r="E85" s="5">
        <v>0.495</v>
      </c>
      <c r="F85" s="5">
        <v>0.497</v>
      </c>
      <c r="G85" s="5">
        <v>0.497</v>
      </c>
      <c r="H85" s="5">
        <v>0.45200000000000001</v>
      </c>
      <c r="I85" s="6">
        <f t="shared" si="6"/>
        <v>0.49499999999999994</v>
      </c>
      <c r="J85" s="5">
        <v>0.51800000000000002</v>
      </c>
      <c r="K85" s="5">
        <v>0.496</v>
      </c>
      <c r="L85" s="5">
        <v>0.61699999999999999</v>
      </c>
      <c r="M85" s="5">
        <v>0.438</v>
      </c>
      <c r="N85" s="5">
        <v>0.58499999999999996</v>
      </c>
      <c r="O85" s="6">
        <f t="shared" si="7"/>
        <v>0.53079999999999994</v>
      </c>
      <c r="P85" s="15">
        <f t="shared" si="8"/>
        <v>3.5799999999999998E-2</v>
      </c>
    </row>
    <row r="86" spans="1:16" ht="15" customHeight="1" x14ac:dyDescent="0.25">
      <c r="A86" s="3" t="s">
        <v>132</v>
      </c>
      <c r="B86" s="3" t="s">
        <v>128</v>
      </c>
      <c r="C86" s="14">
        <v>0.2</v>
      </c>
      <c r="D86" s="5">
        <v>0.81399999999999995</v>
      </c>
      <c r="E86" s="5">
        <v>0.84</v>
      </c>
      <c r="F86" s="5">
        <v>0.80100000000000005</v>
      </c>
      <c r="G86" s="5">
        <v>0.85399999999999998</v>
      </c>
      <c r="H86" s="5">
        <v>0.83499999999999996</v>
      </c>
      <c r="I86" s="6">
        <f t="shared" si="6"/>
        <v>0.82879999999999998</v>
      </c>
      <c r="J86" s="5">
        <v>0.82799999999999996</v>
      </c>
      <c r="K86" s="5">
        <v>0.78700000000000003</v>
      </c>
      <c r="L86" s="5">
        <v>0.81200000000000006</v>
      </c>
      <c r="M86" s="5">
        <v>0.85799999999999998</v>
      </c>
      <c r="N86" s="5">
        <v>0.872</v>
      </c>
      <c r="O86" s="6">
        <f t="shared" si="7"/>
        <v>0.83140000000000003</v>
      </c>
      <c r="P86" s="15">
        <f t="shared" si="8"/>
        <v>2.6000000000000467E-3</v>
      </c>
    </row>
    <row r="87" spans="1:16" ht="15" customHeight="1" x14ac:dyDescent="0.25">
      <c r="A87" s="3" t="s">
        <v>132</v>
      </c>
      <c r="B87" s="3" t="s">
        <v>128</v>
      </c>
      <c r="C87" s="14">
        <v>0.3</v>
      </c>
      <c r="D87" s="5">
        <v>0.74399999999999999</v>
      </c>
      <c r="E87" s="5">
        <v>0.72799999999999998</v>
      </c>
      <c r="F87" s="5">
        <v>0.747</v>
      </c>
      <c r="G87" s="5">
        <v>0.73299999999999998</v>
      </c>
      <c r="H87" s="5">
        <v>0.75800000000000001</v>
      </c>
      <c r="I87" s="6">
        <f t="shared" si="6"/>
        <v>0.74199999999999999</v>
      </c>
      <c r="J87" s="5">
        <v>0.69099999999999995</v>
      </c>
      <c r="K87" s="5">
        <v>0.75900000000000001</v>
      </c>
      <c r="L87" s="5">
        <v>0.63100000000000001</v>
      </c>
      <c r="M87" s="5">
        <v>0.76400000000000001</v>
      </c>
      <c r="N87" s="5">
        <v>0.68899999999999995</v>
      </c>
      <c r="O87" s="6">
        <f t="shared" si="7"/>
        <v>0.70679999999999998</v>
      </c>
      <c r="P87" s="15">
        <f t="shared" si="8"/>
        <v>-3.5200000000000009E-2</v>
      </c>
    </row>
    <row r="88" spans="1:16" ht="15" customHeight="1" x14ac:dyDescent="0.25">
      <c r="A88" s="3" t="s">
        <v>132</v>
      </c>
      <c r="B88" s="3" t="s">
        <v>128</v>
      </c>
      <c r="C88" s="14">
        <v>0.4</v>
      </c>
      <c r="D88" s="5">
        <v>0.61</v>
      </c>
      <c r="E88" s="5">
        <v>0.64700000000000002</v>
      </c>
      <c r="F88" s="5">
        <v>0.67100000000000004</v>
      </c>
      <c r="G88" s="5">
        <v>0.66100000000000003</v>
      </c>
      <c r="H88" s="5">
        <v>0.63400000000000001</v>
      </c>
      <c r="I88" s="6">
        <f t="shared" si="6"/>
        <v>0.64460000000000006</v>
      </c>
      <c r="J88" s="5">
        <v>0.70899999999999996</v>
      </c>
      <c r="K88" s="5">
        <v>0.54900000000000004</v>
      </c>
      <c r="L88" s="5">
        <v>0.56299999999999994</v>
      </c>
      <c r="M88" s="5">
        <v>0.55800000000000005</v>
      </c>
      <c r="N88" s="5">
        <v>0.65900000000000003</v>
      </c>
      <c r="O88" s="6">
        <f t="shared" si="7"/>
        <v>0.60760000000000003</v>
      </c>
      <c r="P88" s="15">
        <f t="shared" si="8"/>
        <v>-3.7000000000000033E-2</v>
      </c>
    </row>
    <row r="89" spans="1:16" ht="15" customHeight="1" x14ac:dyDescent="0.25">
      <c r="A89" s="3" t="s">
        <v>132</v>
      </c>
      <c r="B89" s="3" t="s">
        <v>128</v>
      </c>
      <c r="C89" s="14">
        <v>0.5</v>
      </c>
      <c r="D89" s="5">
        <v>0.48199999999999998</v>
      </c>
      <c r="E89" s="5">
        <v>0.48499999999999999</v>
      </c>
      <c r="F89" s="5">
        <v>0.499</v>
      </c>
      <c r="G89" s="5">
        <v>0.45</v>
      </c>
      <c r="H89" s="5">
        <v>0.47599999999999998</v>
      </c>
      <c r="I89" s="6">
        <f t="shared" si="6"/>
        <v>0.47839999999999999</v>
      </c>
      <c r="J89" s="5">
        <v>0.47299999999999998</v>
      </c>
      <c r="K89" s="5">
        <v>0.54300000000000004</v>
      </c>
      <c r="L89" s="5">
        <v>0.49199999999999999</v>
      </c>
      <c r="M89" s="5">
        <v>0.39600000000000002</v>
      </c>
      <c r="N89" s="5">
        <v>0.53800000000000003</v>
      </c>
      <c r="O89" s="6">
        <f t="shared" si="7"/>
        <v>0.48840000000000006</v>
      </c>
      <c r="P89" s="15">
        <f t="shared" si="8"/>
        <v>1.0000000000000064E-2</v>
      </c>
    </row>
    <row r="90" spans="1:16" ht="15" customHeight="1" x14ac:dyDescent="0.25">
      <c r="A90" s="3" t="s">
        <v>133</v>
      </c>
      <c r="B90" s="3" t="s">
        <v>124</v>
      </c>
      <c r="C90" s="14">
        <v>0</v>
      </c>
      <c r="D90" s="5">
        <v>0.73899999999999999</v>
      </c>
      <c r="E90" s="5">
        <v>0.72699999999999998</v>
      </c>
      <c r="F90" s="5">
        <v>0.73</v>
      </c>
      <c r="G90" s="5">
        <v>0.74</v>
      </c>
      <c r="H90" s="5">
        <v>0.74</v>
      </c>
      <c r="I90" s="6">
        <f t="shared" si="6"/>
        <v>0.73520000000000008</v>
      </c>
      <c r="J90" s="5">
        <v>0.72699999999999998</v>
      </c>
      <c r="K90" s="5">
        <v>0.72799999999999998</v>
      </c>
      <c r="L90" s="5">
        <v>0.73499999999999999</v>
      </c>
      <c r="M90" s="5">
        <v>0.65</v>
      </c>
      <c r="N90" s="5">
        <v>0.72499999999999998</v>
      </c>
      <c r="O90" s="6">
        <f t="shared" si="7"/>
        <v>0.71299999999999997</v>
      </c>
      <c r="P90" s="15">
        <f t="shared" si="8"/>
        <v>-2.2200000000000109E-2</v>
      </c>
    </row>
    <row r="91" spans="1:16" ht="15" customHeight="1" x14ac:dyDescent="0.25">
      <c r="A91" s="3" t="s">
        <v>133</v>
      </c>
      <c r="B91" s="3" t="s">
        <v>125</v>
      </c>
      <c r="C91" s="14">
        <v>0.2</v>
      </c>
      <c r="D91" s="5">
        <v>0.67100000000000004</v>
      </c>
      <c r="E91" s="5">
        <v>0.64900000000000002</v>
      </c>
      <c r="F91" s="5">
        <v>0.66300000000000003</v>
      </c>
      <c r="G91" s="5">
        <v>0.68300000000000005</v>
      </c>
      <c r="H91" s="5">
        <v>0.63600000000000001</v>
      </c>
      <c r="I91" s="6">
        <f t="shared" si="6"/>
        <v>0.6604000000000001</v>
      </c>
      <c r="J91" s="5">
        <v>0.64400000000000002</v>
      </c>
      <c r="K91" s="5">
        <v>0.66</v>
      </c>
      <c r="L91" s="5">
        <v>0.61699999999999999</v>
      </c>
      <c r="M91" s="5">
        <v>0.69599999999999995</v>
      </c>
      <c r="N91" s="5">
        <v>0.66700000000000004</v>
      </c>
      <c r="O91" s="6">
        <f t="shared" si="7"/>
        <v>0.65679999999999994</v>
      </c>
      <c r="P91" s="15">
        <f t="shared" si="8"/>
        <v>-3.6000000000001586E-3</v>
      </c>
    </row>
    <row r="92" spans="1:16" ht="15" customHeight="1" x14ac:dyDescent="0.25">
      <c r="A92" s="3" t="s">
        <v>133</v>
      </c>
      <c r="B92" s="3" t="s">
        <v>125</v>
      </c>
      <c r="C92" s="14">
        <v>0.3</v>
      </c>
      <c r="D92" s="5">
        <v>0.61499999999999999</v>
      </c>
      <c r="E92" s="5">
        <v>0.623</v>
      </c>
      <c r="F92" s="5">
        <v>0.61199999999999999</v>
      </c>
      <c r="G92" s="5">
        <v>0.60299999999999998</v>
      </c>
      <c r="H92" s="5">
        <v>0.63100000000000001</v>
      </c>
      <c r="I92" s="6">
        <f t="shared" si="6"/>
        <v>0.61680000000000013</v>
      </c>
      <c r="J92" s="5">
        <v>0.59699999999999998</v>
      </c>
      <c r="K92" s="5">
        <v>0.59599999999999997</v>
      </c>
      <c r="L92" s="5">
        <v>0.58299999999999996</v>
      </c>
      <c r="M92" s="5">
        <v>0.66900000000000004</v>
      </c>
      <c r="N92" s="5">
        <v>0.58099999999999996</v>
      </c>
      <c r="O92" s="6">
        <f t="shared" si="7"/>
        <v>0.60520000000000007</v>
      </c>
      <c r="P92" s="15">
        <f t="shared" si="8"/>
        <v>-1.1600000000000055E-2</v>
      </c>
    </row>
    <row r="93" spans="1:16" ht="15" customHeight="1" x14ac:dyDescent="0.25">
      <c r="A93" s="3" t="s">
        <v>133</v>
      </c>
      <c r="B93" s="3" t="s">
        <v>125</v>
      </c>
      <c r="C93" s="14">
        <v>0.4</v>
      </c>
      <c r="D93" s="5">
        <v>0.55900000000000005</v>
      </c>
      <c r="E93" s="5">
        <v>0.55400000000000005</v>
      </c>
      <c r="F93" s="5">
        <v>0.6</v>
      </c>
      <c r="G93" s="5">
        <v>0.57199999999999995</v>
      </c>
      <c r="H93" s="5">
        <v>0.53400000000000003</v>
      </c>
      <c r="I93" s="6">
        <f t="shared" si="6"/>
        <v>0.56379999999999997</v>
      </c>
      <c r="J93" s="5">
        <v>0.57199999999999995</v>
      </c>
      <c r="K93" s="5">
        <v>0.57499999999999996</v>
      </c>
      <c r="L93" s="5">
        <v>0.47599999999999998</v>
      </c>
      <c r="M93" s="5">
        <v>0.58599999999999997</v>
      </c>
      <c r="N93" s="5">
        <v>0.60299999999999998</v>
      </c>
      <c r="O93" s="6">
        <f t="shared" si="7"/>
        <v>0.5623999999999999</v>
      </c>
      <c r="P93" s="15">
        <f t="shared" si="8"/>
        <v>-1.4000000000000679E-3</v>
      </c>
    </row>
    <row r="94" spans="1:16" ht="15" customHeight="1" x14ac:dyDescent="0.25">
      <c r="A94" s="3" t="s">
        <v>133</v>
      </c>
      <c r="B94" s="3" t="s">
        <v>125</v>
      </c>
      <c r="C94" s="14">
        <v>0.5</v>
      </c>
      <c r="D94" s="5">
        <v>0.48799999999999999</v>
      </c>
      <c r="E94" s="5">
        <v>0.53200000000000003</v>
      </c>
      <c r="F94" s="5">
        <v>0.498</v>
      </c>
      <c r="G94" s="5">
        <v>0.48099999999999998</v>
      </c>
      <c r="H94" s="5">
        <v>0.51500000000000001</v>
      </c>
      <c r="I94" s="6">
        <f t="shared" si="6"/>
        <v>0.50280000000000002</v>
      </c>
      <c r="J94" s="5">
        <v>0.503</v>
      </c>
      <c r="K94" s="5">
        <v>0.45100000000000001</v>
      </c>
      <c r="L94" s="5">
        <v>0.499</v>
      </c>
      <c r="M94" s="5">
        <v>0.52400000000000002</v>
      </c>
      <c r="N94" s="5">
        <v>0.437</v>
      </c>
      <c r="O94" s="6">
        <f t="shared" si="7"/>
        <v>0.48279999999999995</v>
      </c>
      <c r="P94" s="15">
        <f t="shared" si="8"/>
        <v>-2.0000000000000073E-2</v>
      </c>
    </row>
    <row r="95" spans="1:16" ht="15" customHeight="1" x14ac:dyDescent="0.25">
      <c r="A95" s="3" t="s">
        <v>133</v>
      </c>
      <c r="B95" s="3" t="s">
        <v>126</v>
      </c>
      <c r="C95" s="14">
        <v>0.2</v>
      </c>
      <c r="D95" s="5">
        <v>0.73499999999999999</v>
      </c>
      <c r="E95" s="5">
        <v>0.70499999999999996</v>
      </c>
      <c r="F95" s="5">
        <v>0.72399999999999998</v>
      </c>
      <c r="G95" s="5">
        <v>0.73499999999999999</v>
      </c>
      <c r="H95" s="5">
        <v>0.71499999999999997</v>
      </c>
      <c r="I95" s="6">
        <f t="shared" si="6"/>
        <v>0.72279999999999989</v>
      </c>
      <c r="J95" s="5">
        <v>0.72799999999999998</v>
      </c>
      <c r="K95" s="5">
        <v>0.71699999999999997</v>
      </c>
      <c r="L95" s="5">
        <v>0.72299999999999998</v>
      </c>
      <c r="M95" s="5">
        <v>0.73299999999999998</v>
      </c>
      <c r="N95" s="5">
        <v>0.71899999999999997</v>
      </c>
      <c r="O95" s="6">
        <f t="shared" si="7"/>
        <v>0.72399999999999998</v>
      </c>
      <c r="P95" s="15">
        <f t="shared" si="8"/>
        <v>1.2000000000000899E-3</v>
      </c>
    </row>
    <row r="96" spans="1:16" ht="15" customHeight="1" x14ac:dyDescent="0.25">
      <c r="A96" s="3" t="s">
        <v>133</v>
      </c>
      <c r="B96" s="3" t="s">
        <v>126</v>
      </c>
      <c r="C96" s="14">
        <v>0.3</v>
      </c>
      <c r="D96" s="5">
        <v>0.71599999999999997</v>
      </c>
      <c r="E96" s="5">
        <v>0.72499999999999998</v>
      </c>
      <c r="F96" s="5">
        <v>0.71399999999999997</v>
      </c>
      <c r="G96" s="5">
        <v>0.71499999999999997</v>
      </c>
      <c r="H96" s="5">
        <v>0.73499999999999999</v>
      </c>
      <c r="I96" s="6">
        <f t="shared" si="6"/>
        <v>0.72099999999999986</v>
      </c>
      <c r="J96" s="5">
        <v>0.71199999999999997</v>
      </c>
      <c r="K96" s="5">
        <v>0.73399999999999999</v>
      </c>
      <c r="L96" s="5">
        <v>0.72499999999999998</v>
      </c>
      <c r="M96" s="5">
        <v>0.71599999999999997</v>
      </c>
      <c r="N96" s="5">
        <v>0.72199999999999998</v>
      </c>
      <c r="O96" s="6">
        <f t="shared" si="7"/>
        <v>0.72179999999999989</v>
      </c>
      <c r="P96" s="15">
        <f t="shared" si="8"/>
        <v>8.0000000000002292E-4</v>
      </c>
    </row>
    <row r="97" spans="1:16" ht="15" customHeight="1" x14ac:dyDescent="0.25">
      <c r="A97" s="3" t="s">
        <v>133</v>
      </c>
      <c r="B97" s="3" t="s">
        <v>126</v>
      </c>
      <c r="C97" s="14">
        <v>0.4</v>
      </c>
      <c r="D97" s="5">
        <v>0.72699999999999998</v>
      </c>
      <c r="E97" s="5">
        <v>0.72599999999999998</v>
      </c>
      <c r="F97" s="5">
        <v>0.71699999999999997</v>
      </c>
      <c r="G97" s="5">
        <v>0.72799999999999998</v>
      </c>
      <c r="H97" s="5">
        <v>0.71</v>
      </c>
      <c r="I97" s="6">
        <f t="shared" si="6"/>
        <v>0.72159999999999991</v>
      </c>
      <c r="J97" s="5">
        <v>0.70899999999999996</v>
      </c>
      <c r="K97" s="5">
        <v>0.71499999999999997</v>
      </c>
      <c r="L97" s="5">
        <v>0.71399999999999997</v>
      </c>
      <c r="M97" s="5">
        <v>0.72299999999999998</v>
      </c>
      <c r="N97" s="5">
        <v>0.71899999999999997</v>
      </c>
      <c r="O97" s="6">
        <f t="shared" si="7"/>
        <v>0.71599999999999997</v>
      </c>
      <c r="P97" s="15">
        <f t="shared" si="8"/>
        <v>-5.5999999999999384E-3</v>
      </c>
    </row>
    <row r="98" spans="1:16" ht="15" customHeight="1" x14ac:dyDescent="0.25">
      <c r="A98" s="3" t="s">
        <v>133</v>
      </c>
      <c r="B98" s="3" t="s">
        <v>126</v>
      </c>
      <c r="C98" s="14">
        <v>0.5</v>
      </c>
      <c r="D98" s="5">
        <v>0.71799999999999997</v>
      </c>
      <c r="E98" s="5">
        <v>0.70499999999999996</v>
      </c>
      <c r="F98" s="5">
        <v>0.73799999999999999</v>
      </c>
      <c r="G98" s="5">
        <v>0.72899999999999998</v>
      </c>
      <c r="H98" s="5">
        <v>0.71899999999999997</v>
      </c>
      <c r="I98" s="6">
        <f t="shared" si="6"/>
        <v>0.7218</v>
      </c>
      <c r="J98" s="5">
        <v>0.71699999999999997</v>
      </c>
      <c r="K98" s="5">
        <v>0.70799999999999996</v>
      </c>
      <c r="L98" s="5">
        <v>0.71</v>
      </c>
      <c r="M98" s="5">
        <v>0.70299999999999996</v>
      </c>
      <c r="N98" s="5">
        <v>0.71099999999999997</v>
      </c>
      <c r="O98" s="6">
        <f t="shared" si="7"/>
        <v>0.70979999999999988</v>
      </c>
      <c r="P98" s="15">
        <f t="shared" si="8"/>
        <v>-1.2000000000000122E-2</v>
      </c>
    </row>
    <row r="99" spans="1:16" ht="15" customHeight="1" x14ac:dyDescent="0.25">
      <c r="A99" s="3" t="s">
        <v>133</v>
      </c>
      <c r="B99" s="3" t="s">
        <v>127</v>
      </c>
      <c r="C99" s="14">
        <v>0.2</v>
      </c>
      <c r="D99" s="5">
        <v>0.72899999999999998</v>
      </c>
      <c r="E99" s="5">
        <v>0.70599999999999996</v>
      </c>
      <c r="F99" s="5">
        <v>0.70699999999999996</v>
      </c>
      <c r="G99" s="5">
        <v>0.70299999999999996</v>
      </c>
      <c r="H99" s="5">
        <v>0.72199999999999998</v>
      </c>
      <c r="I99" s="6">
        <f t="shared" si="6"/>
        <v>0.71339999999999992</v>
      </c>
      <c r="J99" s="5">
        <v>0.73299999999999998</v>
      </c>
      <c r="K99" s="5">
        <v>0.71799999999999997</v>
      </c>
      <c r="L99" s="5">
        <v>0.72799999999999998</v>
      </c>
      <c r="M99" s="5">
        <v>0.72799999999999998</v>
      </c>
      <c r="N99" s="5">
        <v>0.72399999999999998</v>
      </c>
      <c r="O99" s="6">
        <f t="shared" si="7"/>
        <v>0.72620000000000007</v>
      </c>
      <c r="P99" s="15">
        <f t="shared" si="8"/>
        <v>1.2800000000000145E-2</v>
      </c>
    </row>
    <row r="100" spans="1:16" ht="15" customHeight="1" x14ac:dyDescent="0.25">
      <c r="A100" s="3" t="s">
        <v>133</v>
      </c>
      <c r="B100" s="3" t="s">
        <v>127</v>
      </c>
      <c r="C100" s="14">
        <v>0.3</v>
      </c>
      <c r="D100" s="5">
        <v>0.70199999999999996</v>
      </c>
      <c r="E100" s="5">
        <v>0.69599999999999995</v>
      </c>
      <c r="F100" s="5">
        <v>0.70299999999999996</v>
      </c>
      <c r="G100" s="5">
        <v>0.66800000000000004</v>
      </c>
      <c r="H100" s="5">
        <v>0.70799999999999996</v>
      </c>
      <c r="I100" s="6">
        <f t="shared" si="6"/>
        <v>0.69540000000000002</v>
      </c>
      <c r="J100" s="5">
        <v>0.67800000000000005</v>
      </c>
      <c r="K100" s="5">
        <v>0.69299999999999995</v>
      </c>
      <c r="L100" s="5">
        <v>0.67800000000000005</v>
      </c>
      <c r="M100" s="5">
        <v>0.68600000000000005</v>
      </c>
      <c r="N100" s="5">
        <v>0.629</v>
      </c>
      <c r="O100" s="6">
        <f t="shared" si="7"/>
        <v>0.67279999999999995</v>
      </c>
      <c r="P100" s="15">
        <f t="shared" si="8"/>
        <v>-2.2600000000000064E-2</v>
      </c>
    </row>
    <row r="101" spans="1:16" ht="15" customHeight="1" x14ac:dyDescent="0.25">
      <c r="A101" s="3" t="s">
        <v>133</v>
      </c>
      <c r="B101" s="3" t="s">
        <v>127</v>
      </c>
      <c r="C101" s="14">
        <v>0.4</v>
      </c>
      <c r="D101" s="5">
        <v>0.67400000000000004</v>
      </c>
      <c r="E101" s="5">
        <v>0.65100000000000002</v>
      </c>
      <c r="F101" s="5">
        <v>0.65500000000000003</v>
      </c>
      <c r="G101" s="5">
        <v>0.64100000000000001</v>
      </c>
      <c r="H101" s="5">
        <v>0.64200000000000002</v>
      </c>
      <c r="I101" s="6">
        <f t="shared" ref="I101:I132" si="9">IFERROR(AVERAGE(D101:H101),"-")</f>
        <v>0.65260000000000007</v>
      </c>
      <c r="J101" s="5">
        <v>0.71</v>
      </c>
      <c r="K101" s="5">
        <v>0.56799999999999995</v>
      </c>
      <c r="L101" s="5">
        <v>0.66600000000000004</v>
      </c>
      <c r="M101" s="5">
        <v>0.69099999999999995</v>
      </c>
      <c r="N101" s="5">
        <v>0.69899999999999995</v>
      </c>
      <c r="O101" s="6">
        <f t="shared" ref="O101:O132" si="10">IFERROR(AVERAGE(J101:N101),"-")</f>
        <v>0.66679999999999995</v>
      </c>
      <c r="P101" s="15">
        <f t="shared" ref="P101:P132" si="11">IFERROR(O101-I101,"-")</f>
        <v>1.4199999999999879E-2</v>
      </c>
    </row>
    <row r="102" spans="1:16" ht="15" customHeight="1" x14ac:dyDescent="0.25">
      <c r="A102" s="3" t="s">
        <v>133</v>
      </c>
      <c r="B102" s="3" t="s">
        <v>127</v>
      </c>
      <c r="C102" s="14">
        <v>0.5</v>
      </c>
      <c r="D102" s="5">
        <v>0.47799999999999998</v>
      </c>
      <c r="E102" s="5">
        <v>0.51</v>
      </c>
      <c r="F102" s="5">
        <v>0.50700000000000001</v>
      </c>
      <c r="G102" s="5">
        <v>0.499</v>
      </c>
      <c r="H102" s="5">
        <v>0.45200000000000001</v>
      </c>
      <c r="I102" s="6">
        <f t="shared" si="9"/>
        <v>0.48920000000000002</v>
      </c>
      <c r="J102" s="5">
        <v>0.50900000000000001</v>
      </c>
      <c r="K102" s="5">
        <v>0.55900000000000005</v>
      </c>
      <c r="L102" s="5">
        <v>0.40400000000000003</v>
      </c>
      <c r="M102" s="5">
        <v>0.379</v>
      </c>
      <c r="N102" s="5">
        <v>0.46200000000000002</v>
      </c>
      <c r="O102" s="6">
        <f t="shared" si="10"/>
        <v>0.46260000000000001</v>
      </c>
      <c r="P102" s="15">
        <f t="shared" si="11"/>
        <v>-2.6600000000000013E-2</v>
      </c>
    </row>
    <row r="103" spans="1:16" ht="15" customHeight="1" x14ac:dyDescent="0.25">
      <c r="A103" s="3" t="s">
        <v>133</v>
      </c>
      <c r="B103" s="3" t="s">
        <v>128</v>
      </c>
      <c r="C103" s="14">
        <v>0.2</v>
      </c>
      <c r="D103" s="5">
        <v>0.69799999999999995</v>
      </c>
      <c r="E103" s="5">
        <v>0.67400000000000004</v>
      </c>
      <c r="F103" s="5">
        <v>0.67800000000000005</v>
      </c>
      <c r="G103" s="5">
        <v>0.69099999999999995</v>
      </c>
      <c r="H103" s="5">
        <v>0.70399999999999996</v>
      </c>
      <c r="I103" s="6">
        <f t="shared" si="9"/>
        <v>0.68899999999999983</v>
      </c>
      <c r="J103" s="5">
        <v>0.69899999999999995</v>
      </c>
      <c r="K103" s="5">
        <v>0.69699999999999995</v>
      </c>
      <c r="L103" s="5">
        <v>0.71199999999999997</v>
      </c>
      <c r="M103" s="5">
        <v>0.623</v>
      </c>
      <c r="N103" s="5">
        <v>0.71099999999999997</v>
      </c>
      <c r="O103" s="6">
        <f t="shared" si="10"/>
        <v>0.6883999999999999</v>
      </c>
      <c r="P103" s="15">
        <f t="shared" si="11"/>
        <v>-5.9999999999993392E-4</v>
      </c>
    </row>
    <row r="104" spans="1:16" ht="15" customHeight="1" x14ac:dyDescent="0.25">
      <c r="A104" s="3" t="s">
        <v>133</v>
      </c>
      <c r="B104" s="3" t="s">
        <v>128</v>
      </c>
      <c r="C104" s="14">
        <v>0.3</v>
      </c>
      <c r="D104" s="5">
        <v>0.625</v>
      </c>
      <c r="E104" s="5">
        <v>0.64800000000000002</v>
      </c>
      <c r="F104" s="5">
        <v>0.65200000000000002</v>
      </c>
      <c r="G104" s="5">
        <v>0.64400000000000002</v>
      </c>
      <c r="H104" s="5">
        <v>0.621</v>
      </c>
      <c r="I104" s="6">
        <f t="shared" si="9"/>
        <v>0.63800000000000012</v>
      </c>
      <c r="J104" s="5">
        <v>0.57699999999999996</v>
      </c>
      <c r="K104" s="5">
        <v>0.63</v>
      </c>
      <c r="L104" s="5">
        <v>0.68100000000000005</v>
      </c>
      <c r="M104" s="5">
        <v>0.623</v>
      </c>
      <c r="N104" s="5">
        <v>0.68</v>
      </c>
      <c r="O104" s="6">
        <f t="shared" si="10"/>
        <v>0.6382000000000001</v>
      </c>
      <c r="P104" s="15">
        <f t="shared" si="11"/>
        <v>1.9999999999997797E-4</v>
      </c>
    </row>
    <row r="105" spans="1:16" ht="15" customHeight="1" x14ac:dyDescent="0.25">
      <c r="A105" s="3" t="s">
        <v>133</v>
      </c>
      <c r="B105" s="3" t="s">
        <v>128</v>
      </c>
      <c r="C105" s="14">
        <v>0.4</v>
      </c>
      <c r="D105" s="5">
        <v>0.58299999999999996</v>
      </c>
      <c r="E105" s="5">
        <v>0.53500000000000003</v>
      </c>
      <c r="F105" s="5">
        <v>0.55900000000000005</v>
      </c>
      <c r="G105" s="5">
        <v>0.56999999999999995</v>
      </c>
      <c r="H105" s="5">
        <v>0.57999999999999996</v>
      </c>
      <c r="I105" s="6">
        <f t="shared" si="9"/>
        <v>0.56540000000000001</v>
      </c>
      <c r="J105" s="5">
        <v>0.66800000000000004</v>
      </c>
      <c r="K105" s="5">
        <v>0.54900000000000004</v>
      </c>
      <c r="L105" s="5">
        <v>0.62</v>
      </c>
      <c r="M105" s="5">
        <v>0.51100000000000001</v>
      </c>
      <c r="N105" s="5">
        <v>0.63800000000000001</v>
      </c>
      <c r="O105" s="6">
        <f t="shared" si="10"/>
        <v>0.59720000000000006</v>
      </c>
      <c r="P105" s="15">
        <f t="shared" si="11"/>
        <v>3.180000000000005E-2</v>
      </c>
    </row>
    <row r="106" spans="1:16" ht="15" customHeight="1" x14ac:dyDescent="0.25">
      <c r="A106" s="3" t="s">
        <v>133</v>
      </c>
      <c r="B106" s="3" t="s">
        <v>128</v>
      </c>
      <c r="C106" s="14">
        <v>0.5</v>
      </c>
      <c r="D106" s="5">
        <v>0.50600000000000001</v>
      </c>
      <c r="E106" s="5">
        <v>0.48699999999999999</v>
      </c>
      <c r="F106" s="5">
        <v>0.51</v>
      </c>
      <c r="G106" s="5">
        <v>0.502</v>
      </c>
      <c r="H106" s="5">
        <v>0.49099999999999999</v>
      </c>
      <c r="I106" s="6">
        <f t="shared" si="9"/>
        <v>0.49919999999999998</v>
      </c>
      <c r="J106" s="5">
        <v>0.52900000000000003</v>
      </c>
      <c r="K106" s="5">
        <v>0.47599999999999998</v>
      </c>
      <c r="L106" s="5">
        <v>0.53600000000000003</v>
      </c>
      <c r="M106" s="5">
        <v>0.41799999999999998</v>
      </c>
      <c r="N106" s="5">
        <v>0.436</v>
      </c>
      <c r="O106" s="6">
        <f t="shared" si="10"/>
        <v>0.47899999999999998</v>
      </c>
      <c r="P106" s="15">
        <f t="shared" si="11"/>
        <v>-2.0199999999999996E-2</v>
      </c>
    </row>
    <row r="107" spans="1:16" ht="15" customHeight="1" x14ac:dyDescent="0.25">
      <c r="A107" s="3" t="s">
        <v>134</v>
      </c>
      <c r="B107" s="3" t="s">
        <v>124</v>
      </c>
      <c r="C107" s="14">
        <v>0</v>
      </c>
      <c r="D107" s="5">
        <v>0.73899999999999999</v>
      </c>
      <c r="E107" s="5">
        <v>0.71899999999999997</v>
      </c>
      <c r="F107" s="5">
        <v>0.71599999999999997</v>
      </c>
      <c r="G107" s="5">
        <v>0.72599999999999998</v>
      </c>
      <c r="H107" s="5">
        <v>0.73899999999999999</v>
      </c>
      <c r="I107" s="6">
        <f t="shared" si="9"/>
        <v>0.7278</v>
      </c>
      <c r="J107" s="5">
        <v>0.71899999999999997</v>
      </c>
      <c r="K107" s="5">
        <v>0.66600000000000004</v>
      </c>
      <c r="L107" s="5">
        <v>0.64</v>
      </c>
      <c r="M107" s="5">
        <v>0.72299999999999998</v>
      </c>
      <c r="N107" s="5">
        <v>0.625</v>
      </c>
      <c r="O107" s="6">
        <f t="shared" si="10"/>
        <v>0.67459999999999998</v>
      </c>
      <c r="P107" s="15">
        <f t="shared" si="11"/>
        <v>-5.3200000000000025E-2</v>
      </c>
    </row>
    <row r="108" spans="1:16" ht="15" customHeight="1" x14ac:dyDescent="0.25">
      <c r="A108" s="3" t="s">
        <v>134</v>
      </c>
      <c r="B108" s="3" t="s">
        <v>125</v>
      </c>
      <c r="C108" s="14">
        <v>0.2</v>
      </c>
      <c r="D108" s="5">
        <v>0.66300000000000003</v>
      </c>
      <c r="E108" s="5">
        <v>0.70599999999999996</v>
      </c>
      <c r="F108" s="5">
        <v>0.69599999999999995</v>
      </c>
      <c r="G108" s="5">
        <v>0.70599999999999996</v>
      </c>
      <c r="H108" s="5">
        <v>0.67700000000000005</v>
      </c>
      <c r="I108" s="6">
        <f t="shared" si="9"/>
        <v>0.68959999999999999</v>
      </c>
      <c r="J108" s="5">
        <v>0.70599999999999996</v>
      </c>
      <c r="K108" s="5">
        <v>0.53800000000000003</v>
      </c>
      <c r="L108" s="5">
        <v>0.61799999999999999</v>
      </c>
      <c r="M108" s="5">
        <v>0.71599999999999997</v>
      </c>
      <c r="N108" s="5">
        <v>0.46600000000000003</v>
      </c>
      <c r="O108" s="6">
        <f t="shared" si="10"/>
        <v>0.60880000000000012</v>
      </c>
      <c r="P108" s="15">
        <f t="shared" si="11"/>
        <v>-8.0799999999999872E-2</v>
      </c>
    </row>
    <row r="109" spans="1:16" ht="15" customHeight="1" x14ac:dyDescent="0.25">
      <c r="A109" s="3" t="s">
        <v>134</v>
      </c>
      <c r="B109" s="3" t="s">
        <v>125</v>
      </c>
      <c r="C109" s="14">
        <v>0.3</v>
      </c>
      <c r="D109" s="5">
        <v>0.64100000000000001</v>
      </c>
      <c r="E109" s="5">
        <v>0.65700000000000003</v>
      </c>
      <c r="F109" s="5">
        <v>0.64700000000000002</v>
      </c>
      <c r="G109" s="5">
        <v>0.64800000000000002</v>
      </c>
      <c r="H109" s="5">
        <v>0.60499999999999998</v>
      </c>
      <c r="I109" s="6">
        <f t="shared" si="9"/>
        <v>0.63959999999999995</v>
      </c>
      <c r="J109" s="5">
        <v>0.46</v>
      </c>
      <c r="K109" s="5">
        <v>0.55200000000000005</v>
      </c>
      <c r="L109" s="5">
        <v>0.48399999999999999</v>
      </c>
      <c r="M109" s="5">
        <v>0.48399999999999999</v>
      </c>
      <c r="N109" s="5">
        <v>0.63400000000000001</v>
      </c>
      <c r="O109" s="6">
        <f t="shared" si="10"/>
        <v>0.52279999999999993</v>
      </c>
      <c r="P109" s="15">
        <f t="shared" si="11"/>
        <v>-0.11680000000000001</v>
      </c>
    </row>
    <row r="110" spans="1:16" ht="15" customHeight="1" x14ac:dyDescent="0.25">
      <c r="A110" s="3" t="s">
        <v>134</v>
      </c>
      <c r="B110" s="3" t="s">
        <v>125</v>
      </c>
      <c r="C110" s="14">
        <v>0.4</v>
      </c>
      <c r="D110" s="5">
        <v>0.56899999999999995</v>
      </c>
      <c r="E110" s="5">
        <v>0.54200000000000004</v>
      </c>
      <c r="F110" s="5">
        <v>0.57799999999999996</v>
      </c>
      <c r="G110" s="5">
        <v>0.625</v>
      </c>
      <c r="H110" s="5">
        <v>0.58499999999999996</v>
      </c>
      <c r="I110" s="6">
        <f t="shared" si="9"/>
        <v>0.57979999999999998</v>
      </c>
      <c r="J110" s="5">
        <v>0.49299999999999999</v>
      </c>
      <c r="K110" s="5">
        <v>0.55300000000000005</v>
      </c>
      <c r="L110" s="5">
        <v>0.49099999999999999</v>
      </c>
      <c r="M110" s="5">
        <v>0.65</v>
      </c>
      <c r="N110" s="5">
        <v>0.61799999999999999</v>
      </c>
      <c r="O110" s="6">
        <f t="shared" si="10"/>
        <v>0.56099999999999994</v>
      </c>
      <c r="P110" s="15">
        <f t="shared" si="11"/>
        <v>-1.8800000000000039E-2</v>
      </c>
    </row>
    <row r="111" spans="1:16" ht="15" customHeight="1" x14ac:dyDescent="0.25">
      <c r="A111" s="3" t="s">
        <v>134</v>
      </c>
      <c r="B111" s="3" t="s">
        <v>125</v>
      </c>
      <c r="C111" s="14">
        <v>0.5</v>
      </c>
      <c r="D111" s="5">
        <v>0.46100000000000002</v>
      </c>
      <c r="E111" s="5">
        <v>0.55300000000000005</v>
      </c>
      <c r="F111" s="5">
        <v>0.52900000000000003</v>
      </c>
      <c r="G111" s="5">
        <v>0.49299999999999999</v>
      </c>
      <c r="H111" s="5">
        <v>0.56899999999999995</v>
      </c>
      <c r="I111" s="6">
        <f t="shared" si="9"/>
        <v>0.52100000000000002</v>
      </c>
      <c r="J111" s="5">
        <v>0.503</v>
      </c>
      <c r="K111" s="5">
        <v>0.41899999999999998</v>
      </c>
      <c r="L111" s="5">
        <v>0.48699999999999999</v>
      </c>
      <c r="M111" s="5">
        <v>0.55600000000000005</v>
      </c>
      <c r="N111" s="5">
        <v>0.59899999999999998</v>
      </c>
      <c r="O111" s="6">
        <f t="shared" si="10"/>
        <v>0.51280000000000003</v>
      </c>
      <c r="P111" s="15">
        <f t="shared" si="11"/>
        <v>-8.1999999999999851E-3</v>
      </c>
    </row>
    <row r="112" spans="1:16" ht="15" customHeight="1" x14ac:dyDescent="0.25">
      <c r="A112" s="3" t="s">
        <v>134</v>
      </c>
      <c r="B112" s="3" t="s">
        <v>126</v>
      </c>
      <c r="C112" s="14">
        <v>0.2</v>
      </c>
      <c r="D112" s="5">
        <v>0.66300000000000003</v>
      </c>
      <c r="E112" s="5">
        <v>0.67600000000000005</v>
      </c>
      <c r="F112" s="5">
        <v>0.68300000000000005</v>
      </c>
      <c r="G112" s="5">
        <v>0.70299999999999996</v>
      </c>
      <c r="H112" s="5">
        <v>0.70299999999999996</v>
      </c>
      <c r="I112" s="6">
        <f t="shared" si="9"/>
        <v>0.68559999999999999</v>
      </c>
      <c r="J112" s="5">
        <v>0.44800000000000001</v>
      </c>
      <c r="K112" s="5">
        <v>0.621</v>
      </c>
      <c r="L112" s="5">
        <v>0.59499999999999997</v>
      </c>
      <c r="M112" s="5">
        <v>0.51</v>
      </c>
      <c r="N112" s="5">
        <v>0.47099999999999997</v>
      </c>
      <c r="O112" s="6">
        <f t="shared" si="10"/>
        <v>0.52900000000000003</v>
      </c>
      <c r="P112" s="15">
        <f t="shared" si="11"/>
        <v>-0.15659999999999996</v>
      </c>
    </row>
    <row r="113" spans="1:16" ht="15" customHeight="1" x14ac:dyDescent="0.25">
      <c r="A113" s="3" t="s">
        <v>134</v>
      </c>
      <c r="B113" s="3" t="s">
        <v>126</v>
      </c>
      <c r="C113" s="14">
        <v>0.3</v>
      </c>
      <c r="D113" s="5">
        <v>0.624</v>
      </c>
      <c r="E113" s="5">
        <v>0.61099999999999999</v>
      </c>
      <c r="F113" s="5">
        <v>0.61399999999999999</v>
      </c>
      <c r="G113" s="5">
        <v>0.59499999999999997</v>
      </c>
      <c r="H113" s="5">
        <v>0.58499999999999996</v>
      </c>
      <c r="I113" s="6">
        <f t="shared" si="9"/>
        <v>0.60580000000000001</v>
      </c>
      <c r="J113" s="5">
        <v>0.69899999999999995</v>
      </c>
      <c r="K113" s="5">
        <v>0.60099999999999998</v>
      </c>
      <c r="L113" s="5">
        <v>0.72199999999999998</v>
      </c>
      <c r="M113" s="5">
        <v>0.629</v>
      </c>
      <c r="N113" s="5">
        <v>0.46800000000000003</v>
      </c>
      <c r="O113" s="6">
        <f t="shared" si="10"/>
        <v>0.62379999999999991</v>
      </c>
      <c r="P113" s="15">
        <f t="shared" si="11"/>
        <v>1.7999999999999905E-2</v>
      </c>
    </row>
    <row r="114" spans="1:16" ht="15" customHeight="1" x14ac:dyDescent="0.25">
      <c r="A114" s="3" t="s">
        <v>134</v>
      </c>
      <c r="B114" s="3" t="s">
        <v>126</v>
      </c>
      <c r="C114" s="14">
        <v>0.4</v>
      </c>
      <c r="D114" s="5">
        <v>0.55600000000000005</v>
      </c>
      <c r="E114" s="5">
        <v>0.60499999999999998</v>
      </c>
      <c r="F114" s="5">
        <v>0.51600000000000001</v>
      </c>
      <c r="G114" s="5">
        <v>0.5</v>
      </c>
      <c r="H114" s="5">
        <v>0.51</v>
      </c>
      <c r="I114" s="6">
        <f t="shared" si="9"/>
        <v>0.5374000000000001</v>
      </c>
      <c r="J114" s="5">
        <v>0.40200000000000002</v>
      </c>
      <c r="K114" s="5">
        <v>0.497</v>
      </c>
      <c r="L114" s="5">
        <v>0.47099999999999997</v>
      </c>
      <c r="M114" s="5">
        <v>0.5</v>
      </c>
      <c r="N114" s="5">
        <v>0.55500000000000005</v>
      </c>
      <c r="O114" s="6">
        <f t="shared" si="10"/>
        <v>0.48500000000000004</v>
      </c>
      <c r="P114" s="15">
        <f t="shared" si="11"/>
        <v>-5.2400000000000058E-2</v>
      </c>
    </row>
    <row r="115" spans="1:16" ht="15" customHeight="1" x14ac:dyDescent="0.25">
      <c r="A115" s="3" t="s">
        <v>134</v>
      </c>
      <c r="B115" s="3" t="s">
        <v>126</v>
      </c>
      <c r="C115" s="14">
        <v>0.5</v>
      </c>
      <c r="D115" s="5">
        <v>0.45700000000000002</v>
      </c>
      <c r="E115" s="5">
        <v>0.40200000000000002</v>
      </c>
      <c r="F115" s="5">
        <v>0.375</v>
      </c>
      <c r="G115" s="5">
        <v>0.373</v>
      </c>
      <c r="H115" s="5">
        <v>0.46400000000000002</v>
      </c>
      <c r="I115" s="6">
        <f t="shared" si="9"/>
        <v>0.41420000000000001</v>
      </c>
      <c r="J115" s="5">
        <v>0.59799999999999998</v>
      </c>
      <c r="K115" s="5">
        <v>0.49399999999999999</v>
      </c>
      <c r="L115" s="5">
        <v>0.47399999999999998</v>
      </c>
      <c r="M115" s="5">
        <v>0.501</v>
      </c>
      <c r="N115" s="5">
        <v>0.373</v>
      </c>
      <c r="O115" s="6">
        <f t="shared" si="10"/>
        <v>0.4880000000000001</v>
      </c>
      <c r="P115" s="15">
        <f t="shared" si="11"/>
        <v>7.3800000000000088E-2</v>
      </c>
    </row>
    <row r="116" spans="1:16" ht="15" customHeight="1" x14ac:dyDescent="0.25">
      <c r="A116" s="3" t="s">
        <v>134</v>
      </c>
      <c r="B116" s="3" t="s">
        <v>127</v>
      </c>
      <c r="C116" s="14">
        <v>0.2</v>
      </c>
      <c r="D116" s="5">
        <v>0.72199999999999998</v>
      </c>
      <c r="E116" s="5">
        <v>0.67700000000000005</v>
      </c>
      <c r="F116" s="5">
        <v>0.69299999999999995</v>
      </c>
      <c r="G116" s="5">
        <v>0.74199999999999999</v>
      </c>
      <c r="H116" s="5">
        <v>0.71899999999999997</v>
      </c>
      <c r="I116" s="6">
        <f t="shared" si="9"/>
        <v>0.71060000000000001</v>
      </c>
      <c r="J116" s="5">
        <v>0.53600000000000003</v>
      </c>
      <c r="K116" s="5">
        <v>0.58499999999999996</v>
      </c>
      <c r="L116" s="5">
        <v>0.53800000000000003</v>
      </c>
      <c r="M116" s="5">
        <v>0.497</v>
      </c>
      <c r="N116" s="5">
        <v>0.64100000000000001</v>
      </c>
      <c r="O116" s="6">
        <f t="shared" si="10"/>
        <v>0.55940000000000001</v>
      </c>
      <c r="P116" s="15">
        <f t="shared" si="11"/>
        <v>-0.1512</v>
      </c>
    </row>
    <row r="117" spans="1:16" ht="15" customHeight="1" x14ac:dyDescent="0.25">
      <c r="A117" s="3" t="s">
        <v>134</v>
      </c>
      <c r="B117" s="3" t="s">
        <v>127</v>
      </c>
      <c r="C117" s="14">
        <v>0.3</v>
      </c>
      <c r="D117" s="5">
        <v>0.63100000000000001</v>
      </c>
      <c r="E117" s="5">
        <v>0.68</v>
      </c>
      <c r="F117" s="5">
        <v>0.60099999999999998</v>
      </c>
      <c r="G117" s="5">
        <v>0.71599999999999997</v>
      </c>
      <c r="H117" s="5">
        <v>0.68</v>
      </c>
      <c r="I117" s="6">
        <f t="shared" si="9"/>
        <v>0.66160000000000008</v>
      </c>
      <c r="J117" s="5">
        <v>0.52600000000000002</v>
      </c>
      <c r="K117" s="5">
        <v>0.53900000000000003</v>
      </c>
      <c r="L117" s="5">
        <v>0.71299999999999997</v>
      </c>
      <c r="M117" s="5">
        <v>0.73899999999999999</v>
      </c>
      <c r="N117" s="5">
        <v>0.58599999999999997</v>
      </c>
      <c r="O117" s="6">
        <f t="shared" si="10"/>
        <v>0.62059999999999993</v>
      </c>
      <c r="P117" s="15">
        <f t="shared" si="11"/>
        <v>-4.1000000000000147E-2</v>
      </c>
    </row>
    <row r="118" spans="1:16" ht="15" customHeight="1" x14ac:dyDescent="0.25">
      <c r="A118" s="3" t="s">
        <v>134</v>
      </c>
      <c r="B118" s="3" t="s">
        <v>127</v>
      </c>
      <c r="C118" s="14">
        <v>0.4</v>
      </c>
      <c r="D118" s="5">
        <v>0.60099999999999998</v>
      </c>
      <c r="E118" s="5">
        <v>0.60399999999999998</v>
      </c>
      <c r="F118" s="5">
        <v>0.58799999999999997</v>
      </c>
      <c r="G118" s="5">
        <v>0.57499999999999996</v>
      </c>
      <c r="H118" s="5">
        <v>0.57199999999999995</v>
      </c>
      <c r="I118" s="6">
        <f t="shared" si="9"/>
        <v>0.58800000000000008</v>
      </c>
      <c r="J118" s="5">
        <v>0.56200000000000006</v>
      </c>
      <c r="K118" s="5">
        <v>0.48299999999999998</v>
      </c>
      <c r="L118" s="5">
        <v>0.47599999999999998</v>
      </c>
      <c r="M118" s="5">
        <v>0.60099999999999998</v>
      </c>
      <c r="N118" s="5">
        <v>0.51</v>
      </c>
      <c r="O118" s="6">
        <f t="shared" si="10"/>
        <v>0.52639999999999998</v>
      </c>
      <c r="P118" s="15">
        <f t="shared" si="11"/>
        <v>-6.1600000000000099E-2</v>
      </c>
    </row>
    <row r="119" spans="1:16" ht="15" customHeight="1" x14ac:dyDescent="0.25">
      <c r="A119" s="3" t="s">
        <v>134</v>
      </c>
      <c r="B119" s="3" t="s">
        <v>127</v>
      </c>
      <c r="C119" s="14">
        <v>0.5</v>
      </c>
      <c r="D119" s="5">
        <v>0.55900000000000005</v>
      </c>
      <c r="E119" s="5">
        <v>0.49</v>
      </c>
      <c r="F119" s="5">
        <v>0.51600000000000001</v>
      </c>
      <c r="G119" s="5">
        <v>0.52300000000000002</v>
      </c>
      <c r="H119" s="5">
        <v>0.53300000000000003</v>
      </c>
      <c r="I119" s="6">
        <f t="shared" si="9"/>
        <v>0.5242</v>
      </c>
      <c r="J119" s="5">
        <v>0.67700000000000005</v>
      </c>
      <c r="K119" s="5">
        <v>0.45700000000000002</v>
      </c>
      <c r="L119" s="5">
        <v>0.52</v>
      </c>
      <c r="M119" s="5">
        <v>0.498</v>
      </c>
      <c r="N119" s="5">
        <v>0.50700000000000001</v>
      </c>
      <c r="O119" s="6">
        <f t="shared" si="10"/>
        <v>0.53180000000000005</v>
      </c>
      <c r="P119" s="15">
        <f t="shared" si="11"/>
        <v>7.6000000000000512E-3</v>
      </c>
    </row>
    <row r="120" spans="1:16" ht="15" customHeight="1" x14ac:dyDescent="0.25">
      <c r="A120" s="3" t="s">
        <v>134</v>
      </c>
      <c r="B120" s="3" t="s">
        <v>128</v>
      </c>
      <c r="C120" s="14">
        <v>0.2</v>
      </c>
      <c r="D120" s="5">
        <v>0.69299999999999995</v>
      </c>
      <c r="E120" s="5">
        <v>0.64400000000000002</v>
      </c>
      <c r="F120" s="5">
        <v>0.68</v>
      </c>
      <c r="G120" s="5">
        <v>0.69299999999999995</v>
      </c>
      <c r="H120" s="5">
        <v>0.67600000000000005</v>
      </c>
      <c r="I120" s="6">
        <f t="shared" si="9"/>
        <v>0.67720000000000002</v>
      </c>
      <c r="J120" s="5">
        <v>0.624</v>
      </c>
      <c r="K120" s="5">
        <v>0.71599999999999997</v>
      </c>
      <c r="L120" s="5">
        <v>0.72599999999999998</v>
      </c>
      <c r="M120" s="5">
        <v>0.67300000000000004</v>
      </c>
      <c r="N120" s="5">
        <v>0.67300000000000004</v>
      </c>
      <c r="O120" s="6">
        <f t="shared" si="10"/>
        <v>0.68240000000000001</v>
      </c>
      <c r="P120" s="15">
        <f t="shared" si="11"/>
        <v>5.1999999999999824E-3</v>
      </c>
    </row>
    <row r="121" spans="1:16" ht="15" customHeight="1" x14ac:dyDescent="0.25">
      <c r="A121" s="3" t="s">
        <v>134</v>
      </c>
      <c r="B121" s="3" t="s">
        <v>128</v>
      </c>
      <c r="C121" s="14">
        <v>0.3</v>
      </c>
      <c r="D121" s="5">
        <v>0.65400000000000003</v>
      </c>
      <c r="E121" s="5">
        <v>0.61099999999999999</v>
      </c>
      <c r="F121" s="5">
        <v>0.65400000000000003</v>
      </c>
      <c r="G121" s="5">
        <v>0.624</v>
      </c>
      <c r="H121" s="5">
        <v>0.66300000000000003</v>
      </c>
      <c r="I121" s="6">
        <f t="shared" si="9"/>
        <v>0.6412000000000001</v>
      </c>
      <c r="J121" s="5">
        <v>0.49</v>
      </c>
      <c r="K121" s="5">
        <v>0.56000000000000005</v>
      </c>
      <c r="L121" s="5">
        <v>0.67300000000000004</v>
      </c>
      <c r="M121" s="5">
        <v>0.63100000000000001</v>
      </c>
      <c r="N121" s="5">
        <v>0.60899999999999999</v>
      </c>
      <c r="O121" s="6">
        <f t="shared" si="10"/>
        <v>0.59260000000000002</v>
      </c>
      <c r="P121" s="15">
        <f t="shared" si="11"/>
        <v>-4.8600000000000088E-2</v>
      </c>
    </row>
    <row r="122" spans="1:16" ht="15" customHeight="1" x14ac:dyDescent="0.25">
      <c r="A122" s="3" t="s">
        <v>134</v>
      </c>
      <c r="B122" s="3" t="s">
        <v>128</v>
      </c>
      <c r="C122" s="14">
        <v>0.4</v>
      </c>
      <c r="D122" s="5">
        <v>0.66</v>
      </c>
      <c r="E122" s="5">
        <v>0.59499999999999997</v>
      </c>
      <c r="F122" s="5">
        <v>0.55900000000000005</v>
      </c>
      <c r="G122" s="5">
        <v>0.66</v>
      </c>
      <c r="H122" s="5">
        <v>0.54300000000000004</v>
      </c>
      <c r="I122" s="6">
        <f t="shared" si="9"/>
        <v>0.60340000000000005</v>
      </c>
      <c r="J122" s="5">
        <v>0.68300000000000005</v>
      </c>
      <c r="K122" s="5">
        <v>0.67</v>
      </c>
      <c r="L122" s="5">
        <v>0.63700000000000001</v>
      </c>
      <c r="M122" s="5">
        <v>0.61099999999999999</v>
      </c>
      <c r="N122" s="5">
        <v>0.46500000000000002</v>
      </c>
      <c r="O122" s="6">
        <f t="shared" si="10"/>
        <v>0.61319999999999997</v>
      </c>
      <c r="P122" s="15">
        <f t="shared" si="11"/>
        <v>9.7999999999999199E-3</v>
      </c>
    </row>
    <row r="123" spans="1:16" ht="15" customHeight="1" x14ac:dyDescent="0.25">
      <c r="A123" s="3" t="s">
        <v>134</v>
      </c>
      <c r="B123" s="3" t="s">
        <v>128</v>
      </c>
      <c r="C123" s="14">
        <v>0.5</v>
      </c>
      <c r="D123" s="5">
        <v>0.51600000000000001</v>
      </c>
      <c r="E123" s="5">
        <v>0.52900000000000003</v>
      </c>
      <c r="F123" s="5">
        <v>0.435</v>
      </c>
      <c r="G123" s="5">
        <v>0.50700000000000001</v>
      </c>
      <c r="H123" s="5">
        <v>0.432</v>
      </c>
      <c r="I123" s="6">
        <f t="shared" si="9"/>
        <v>0.48380000000000001</v>
      </c>
      <c r="J123" s="5">
        <v>0.55800000000000005</v>
      </c>
      <c r="K123" s="5">
        <v>0.51900000000000002</v>
      </c>
      <c r="L123" s="5">
        <v>0.42199999999999999</v>
      </c>
      <c r="M123" s="5">
        <v>0.54300000000000004</v>
      </c>
      <c r="N123" s="5">
        <v>0.47299999999999998</v>
      </c>
      <c r="O123" s="6">
        <f t="shared" si="10"/>
        <v>0.50299999999999989</v>
      </c>
      <c r="P123" s="15">
        <f t="shared" si="11"/>
        <v>1.9199999999999884E-2</v>
      </c>
    </row>
    <row r="124" spans="1:16" ht="15" customHeight="1" x14ac:dyDescent="0.25">
      <c r="A124" s="3" t="s">
        <v>135</v>
      </c>
      <c r="B124" s="3" t="s">
        <v>124</v>
      </c>
      <c r="C124" s="14">
        <v>0</v>
      </c>
      <c r="D124" s="5">
        <v>0.82499999999999996</v>
      </c>
      <c r="E124" s="5">
        <v>0.78800000000000003</v>
      </c>
      <c r="F124" s="5">
        <v>0.78100000000000003</v>
      </c>
      <c r="G124" s="5">
        <v>0.80100000000000005</v>
      </c>
      <c r="H124" s="5">
        <v>0.80500000000000005</v>
      </c>
      <c r="I124" s="6">
        <f t="shared" si="9"/>
        <v>0.8</v>
      </c>
      <c r="J124" s="5">
        <v>0.81100000000000005</v>
      </c>
      <c r="K124" s="5">
        <v>0.78800000000000003</v>
      </c>
      <c r="L124" s="5">
        <v>0.78800000000000003</v>
      </c>
      <c r="M124" s="5">
        <v>0.80100000000000005</v>
      </c>
      <c r="N124" s="5">
        <v>0.78800000000000003</v>
      </c>
      <c r="O124" s="6">
        <f t="shared" si="10"/>
        <v>0.79520000000000013</v>
      </c>
      <c r="P124" s="15">
        <f t="shared" si="11"/>
        <v>-4.7999999999999154E-3</v>
      </c>
    </row>
    <row r="125" spans="1:16" ht="15" customHeight="1" x14ac:dyDescent="0.25">
      <c r="A125" s="3" t="s">
        <v>135</v>
      </c>
      <c r="B125" s="3" t="s">
        <v>125</v>
      </c>
      <c r="C125" s="14">
        <v>0.2</v>
      </c>
      <c r="D125" s="5">
        <v>0.71699999999999997</v>
      </c>
      <c r="E125" s="5">
        <v>0.7</v>
      </c>
      <c r="F125" s="5">
        <v>0.7</v>
      </c>
      <c r="G125" s="5">
        <v>0.72699999999999998</v>
      </c>
      <c r="H125" s="5">
        <v>0.754</v>
      </c>
      <c r="I125" s="6">
        <f t="shared" si="9"/>
        <v>0.71960000000000002</v>
      </c>
      <c r="J125" s="5">
        <v>0.66300000000000003</v>
      </c>
      <c r="K125" s="5">
        <v>0.65</v>
      </c>
      <c r="L125" s="5">
        <v>0.72099999999999997</v>
      </c>
      <c r="M125" s="5">
        <v>0.69699999999999995</v>
      </c>
      <c r="N125" s="5">
        <v>0.72399999999999998</v>
      </c>
      <c r="O125" s="6">
        <f t="shared" si="10"/>
        <v>0.69100000000000006</v>
      </c>
      <c r="P125" s="15">
        <f t="shared" si="11"/>
        <v>-2.8599999999999959E-2</v>
      </c>
    </row>
    <row r="126" spans="1:16" ht="15" customHeight="1" x14ac:dyDescent="0.25">
      <c r="A126" s="3" t="s">
        <v>135</v>
      </c>
      <c r="B126" s="3" t="s">
        <v>125</v>
      </c>
      <c r="C126" s="14">
        <v>0.3</v>
      </c>
      <c r="D126" s="5">
        <v>0.64600000000000002</v>
      </c>
      <c r="E126" s="5">
        <v>0.67300000000000004</v>
      </c>
      <c r="F126" s="5">
        <v>0.6</v>
      </c>
      <c r="G126" s="5">
        <v>0.68300000000000005</v>
      </c>
      <c r="H126" s="5">
        <v>0.64</v>
      </c>
      <c r="I126" s="6">
        <f t="shared" si="9"/>
        <v>0.64840000000000009</v>
      </c>
      <c r="J126" s="5">
        <v>0.71299999999999997</v>
      </c>
      <c r="K126" s="5">
        <v>0.68</v>
      </c>
      <c r="L126" s="5">
        <v>0.64</v>
      </c>
      <c r="M126" s="5">
        <v>0.59199999999999997</v>
      </c>
      <c r="N126" s="5">
        <v>0.65</v>
      </c>
      <c r="O126" s="6">
        <f t="shared" si="10"/>
        <v>0.65500000000000003</v>
      </c>
      <c r="P126" s="15">
        <f t="shared" si="11"/>
        <v>6.5999999999999392E-3</v>
      </c>
    </row>
    <row r="127" spans="1:16" ht="15" customHeight="1" x14ac:dyDescent="0.25">
      <c r="A127" s="3" t="s">
        <v>135</v>
      </c>
      <c r="B127" s="3" t="s">
        <v>125</v>
      </c>
      <c r="C127" s="14">
        <v>0.4</v>
      </c>
      <c r="D127" s="5">
        <v>0.55200000000000005</v>
      </c>
      <c r="E127" s="5">
        <v>0.57899999999999996</v>
      </c>
      <c r="F127" s="5">
        <v>0.52200000000000002</v>
      </c>
      <c r="G127" s="5">
        <v>0.57599999999999996</v>
      </c>
      <c r="H127" s="5">
        <v>0.626</v>
      </c>
      <c r="I127" s="6">
        <f t="shared" si="9"/>
        <v>0.57099999999999995</v>
      </c>
      <c r="J127" s="5">
        <v>0.54300000000000004</v>
      </c>
      <c r="K127" s="5">
        <v>0.55600000000000005</v>
      </c>
      <c r="L127" s="5">
        <v>0.57199999999999995</v>
      </c>
      <c r="M127" s="5">
        <v>0.52900000000000003</v>
      </c>
      <c r="N127" s="5">
        <v>0.52200000000000002</v>
      </c>
      <c r="O127" s="6">
        <f t="shared" si="10"/>
        <v>0.54440000000000011</v>
      </c>
      <c r="P127" s="15">
        <f t="shared" si="11"/>
        <v>-2.6599999999999846E-2</v>
      </c>
    </row>
    <row r="128" spans="1:16" ht="15" customHeight="1" x14ac:dyDescent="0.25">
      <c r="A128" s="3" t="s">
        <v>135</v>
      </c>
      <c r="B128" s="3" t="s">
        <v>125</v>
      </c>
      <c r="C128" s="14">
        <v>0.5</v>
      </c>
      <c r="D128" s="5">
        <v>0.48099999999999998</v>
      </c>
      <c r="E128" s="5">
        <v>0.48799999999999999</v>
      </c>
      <c r="F128" s="5">
        <v>0.53200000000000003</v>
      </c>
      <c r="G128" s="5">
        <v>0.48799999999999999</v>
      </c>
      <c r="H128" s="5">
        <v>0.51900000000000002</v>
      </c>
      <c r="I128" s="6">
        <f t="shared" si="9"/>
        <v>0.50160000000000005</v>
      </c>
      <c r="J128" s="5">
        <v>0.52900000000000003</v>
      </c>
      <c r="K128" s="5">
        <v>0.499</v>
      </c>
      <c r="L128" s="5">
        <v>0.47799999999999998</v>
      </c>
      <c r="M128" s="5">
        <v>0.56899999999999995</v>
      </c>
      <c r="N128" s="5">
        <v>0.57599999999999996</v>
      </c>
      <c r="O128" s="6">
        <f t="shared" si="10"/>
        <v>0.5302</v>
      </c>
      <c r="P128" s="15">
        <f t="shared" si="11"/>
        <v>2.8599999999999959E-2</v>
      </c>
    </row>
    <row r="129" spans="1:16" ht="15" customHeight="1" x14ac:dyDescent="0.25">
      <c r="A129" s="3" t="s">
        <v>135</v>
      </c>
      <c r="B129" s="3" t="s">
        <v>126</v>
      </c>
      <c r="C129" s="14">
        <v>0.2</v>
      </c>
      <c r="D129" s="5">
        <v>0.73799999999999999</v>
      </c>
      <c r="E129" s="5">
        <v>0.73</v>
      </c>
      <c r="F129" s="5">
        <v>0.73399999999999999</v>
      </c>
      <c r="G129" s="5">
        <v>0.73699999999999999</v>
      </c>
      <c r="H129" s="5">
        <v>0.77800000000000002</v>
      </c>
      <c r="I129" s="6">
        <f t="shared" si="9"/>
        <v>0.74340000000000006</v>
      </c>
      <c r="J129" s="5">
        <v>0.77700000000000002</v>
      </c>
      <c r="K129" s="5">
        <v>0.77400000000000002</v>
      </c>
      <c r="L129" s="5">
        <v>0.73699999999999999</v>
      </c>
      <c r="M129" s="5">
        <v>0.69699999999999995</v>
      </c>
      <c r="N129" s="5">
        <v>0.72399999999999998</v>
      </c>
      <c r="O129" s="6">
        <f t="shared" si="10"/>
        <v>0.74180000000000013</v>
      </c>
      <c r="P129" s="15">
        <f t="shared" si="11"/>
        <v>-1.5999999999999348E-3</v>
      </c>
    </row>
    <row r="130" spans="1:16" ht="15" customHeight="1" x14ac:dyDescent="0.25">
      <c r="A130" s="3" t="s">
        <v>135</v>
      </c>
      <c r="B130" s="3" t="s">
        <v>126</v>
      </c>
      <c r="C130" s="14">
        <v>0.3</v>
      </c>
      <c r="D130" s="5">
        <v>0.76100000000000001</v>
      </c>
      <c r="E130" s="5">
        <v>0.7</v>
      </c>
      <c r="F130" s="5">
        <v>0.73099999999999998</v>
      </c>
      <c r="G130" s="5">
        <v>0.754</v>
      </c>
      <c r="H130" s="5">
        <v>0.751</v>
      </c>
      <c r="I130" s="6">
        <f t="shared" si="9"/>
        <v>0.73939999999999995</v>
      </c>
      <c r="J130" s="5">
        <v>0.73699999999999999</v>
      </c>
      <c r="K130" s="5">
        <v>0.70699999999999996</v>
      </c>
      <c r="L130" s="5">
        <v>0.73399999999999999</v>
      </c>
      <c r="M130" s="5">
        <v>0.73099999999999998</v>
      </c>
      <c r="N130" s="5">
        <v>0.72399999999999998</v>
      </c>
      <c r="O130" s="6">
        <f t="shared" si="10"/>
        <v>0.72660000000000002</v>
      </c>
      <c r="P130" s="15">
        <f t="shared" si="11"/>
        <v>-1.2799999999999923E-2</v>
      </c>
    </row>
    <row r="131" spans="1:16" ht="15" customHeight="1" x14ac:dyDescent="0.25">
      <c r="A131" s="3" t="s">
        <v>135</v>
      </c>
      <c r="B131" s="3" t="s">
        <v>126</v>
      </c>
      <c r="C131" s="14">
        <v>0.4</v>
      </c>
      <c r="D131" s="5">
        <v>0.68400000000000005</v>
      </c>
      <c r="E131" s="5">
        <v>0.64900000000000002</v>
      </c>
      <c r="F131" s="5">
        <v>0.66</v>
      </c>
      <c r="G131" s="5">
        <v>0.68400000000000005</v>
      </c>
      <c r="H131" s="5">
        <v>0.68</v>
      </c>
      <c r="I131" s="6">
        <f t="shared" si="9"/>
        <v>0.67140000000000011</v>
      </c>
      <c r="J131" s="5">
        <v>0.67300000000000004</v>
      </c>
      <c r="K131" s="5">
        <v>0.70399999999999996</v>
      </c>
      <c r="L131" s="5">
        <v>0.70399999999999996</v>
      </c>
      <c r="M131" s="5">
        <v>0.7</v>
      </c>
      <c r="N131" s="5">
        <v>0.64600000000000002</v>
      </c>
      <c r="O131" s="6">
        <f t="shared" si="10"/>
        <v>0.6853999999999999</v>
      </c>
      <c r="P131" s="15">
        <f t="shared" si="11"/>
        <v>1.399999999999979E-2</v>
      </c>
    </row>
    <row r="132" spans="1:16" ht="15" customHeight="1" x14ac:dyDescent="0.25">
      <c r="A132" s="3" t="s">
        <v>135</v>
      </c>
      <c r="B132" s="3" t="s">
        <v>126</v>
      </c>
      <c r="C132" s="14">
        <v>0.5</v>
      </c>
      <c r="D132" s="5">
        <v>0.59899999999999998</v>
      </c>
      <c r="E132" s="5">
        <v>0.59299999999999997</v>
      </c>
      <c r="F132" s="5">
        <v>0.63600000000000001</v>
      </c>
      <c r="G132" s="5">
        <v>0.60899999999999999</v>
      </c>
      <c r="H132" s="5">
        <v>0.65600000000000003</v>
      </c>
      <c r="I132" s="6">
        <f t="shared" si="9"/>
        <v>0.61860000000000004</v>
      </c>
      <c r="J132" s="5">
        <v>0.626</v>
      </c>
      <c r="K132" s="5">
        <v>0.58599999999999997</v>
      </c>
      <c r="L132" s="5">
        <v>0.62</v>
      </c>
      <c r="M132" s="5">
        <v>0.60699999999999998</v>
      </c>
      <c r="N132" s="5">
        <v>0.50800000000000001</v>
      </c>
      <c r="O132" s="6">
        <f t="shared" si="10"/>
        <v>0.58940000000000003</v>
      </c>
      <c r="P132" s="15">
        <f t="shared" si="11"/>
        <v>-2.9200000000000004E-2</v>
      </c>
    </row>
    <row r="133" spans="1:16" ht="15" customHeight="1" x14ac:dyDescent="0.25">
      <c r="A133" s="3" t="s">
        <v>135</v>
      </c>
      <c r="B133" s="3" t="s">
        <v>127</v>
      </c>
      <c r="C133" s="14">
        <v>0.2</v>
      </c>
      <c r="D133" s="5">
        <v>0.81499999999999995</v>
      </c>
      <c r="E133" s="5">
        <v>0.76100000000000001</v>
      </c>
      <c r="F133" s="5">
        <v>0.75800000000000001</v>
      </c>
      <c r="G133" s="5">
        <v>0.78100000000000003</v>
      </c>
      <c r="H133" s="5">
        <v>0.81499999999999995</v>
      </c>
      <c r="I133" s="6">
        <f t="shared" ref="I133:I164" si="12">IFERROR(AVERAGE(D133:H133),"-")</f>
        <v>0.78600000000000003</v>
      </c>
      <c r="J133" s="5">
        <v>0.78500000000000003</v>
      </c>
      <c r="K133" s="5">
        <v>0.751</v>
      </c>
      <c r="L133" s="5">
        <v>0.75800000000000001</v>
      </c>
      <c r="M133" s="5">
        <v>0.76100000000000001</v>
      </c>
      <c r="N133" s="5">
        <v>0.80500000000000005</v>
      </c>
      <c r="O133" s="6">
        <f t="shared" ref="O133:O164" si="13">IFERROR(AVERAGE(J133:N133),"-")</f>
        <v>0.77200000000000002</v>
      </c>
      <c r="P133" s="15">
        <f t="shared" ref="P133:P164" si="14">IFERROR(O133-I133,"-")</f>
        <v>-1.4000000000000012E-2</v>
      </c>
    </row>
    <row r="134" spans="1:16" ht="15" customHeight="1" x14ac:dyDescent="0.25">
      <c r="A134" s="3" t="s">
        <v>135</v>
      </c>
      <c r="B134" s="3" t="s">
        <v>127</v>
      </c>
      <c r="C134" s="14">
        <v>0.3</v>
      </c>
      <c r="D134" s="5">
        <v>0.73399999999999999</v>
      </c>
      <c r="E134" s="5">
        <v>0.72099999999999997</v>
      </c>
      <c r="F134" s="5">
        <v>0.69699999999999995</v>
      </c>
      <c r="G134" s="5">
        <v>0.75800000000000001</v>
      </c>
      <c r="H134" s="5">
        <v>0.754</v>
      </c>
      <c r="I134" s="6">
        <f t="shared" si="12"/>
        <v>0.73280000000000001</v>
      </c>
      <c r="J134" s="5">
        <v>0.68700000000000006</v>
      </c>
      <c r="K134" s="5">
        <v>0.70399999999999996</v>
      </c>
      <c r="L134" s="5">
        <v>0.69699999999999995</v>
      </c>
      <c r="M134" s="5">
        <v>0.70399999999999996</v>
      </c>
      <c r="N134" s="5">
        <v>0.72399999999999998</v>
      </c>
      <c r="O134" s="6">
        <f t="shared" si="13"/>
        <v>0.70320000000000005</v>
      </c>
      <c r="P134" s="15">
        <f t="shared" si="14"/>
        <v>-2.959999999999996E-2</v>
      </c>
    </row>
    <row r="135" spans="1:16" ht="15" customHeight="1" x14ac:dyDescent="0.25">
      <c r="A135" s="3" t="s">
        <v>135</v>
      </c>
      <c r="B135" s="3" t="s">
        <v>127</v>
      </c>
      <c r="C135" s="14">
        <v>0.4</v>
      </c>
      <c r="D135" s="5">
        <v>0.66300000000000003</v>
      </c>
      <c r="E135" s="5">
        <v>0.67</v>
      </c>
      <c r="F135" s="5">
        <v>0.627</v>
      </c>
      <c r="G135" s="5">
        <v>0.63600000000000001</v>
      </c>
      <c r="H135" s="5">
        <v>0.65</v>
      </c>
      <c r="I135" s="6">
        <f t="shared" si="12"/>
        <v>0.6492</v>
      </c>
      <c r="J135" s="5">
        <v>0.66</v>
      </c>
      <c r="K135" s="5">
        <v>0.60599999999999998</v>
      </c>
      <c r="L135" s="5">
        <v>0.64700000000000002</v>
      </c>
      <c r="M135" s="5">
        <v>0.57899999999999996</v>
      </c>
      <c r="N135" s="5">
        <v>0.65300000000000002</v>
      </c>
      <c r="O135" s="6">
        <f t="shared" si="13"/>
        <v>0.629</v>
      </c>
      <c r="P135" s="15">
        <f t="shared" si="14"/>
        <v>-2.0199999999999996E-2</v>
      </c>
    </row>
    <row r="136" spans="1:16" ht="15" customHeight="1" x14ac:dyDescent="0.25">
      <c r="A136" s="3" t="s">
        <v>135</v>
      </c>
      <c r="B136" s="3" t="s">
        <v>127</v>
      </c>
      <c r="C136" s="14">
        <v>0.5</v>
      </c>
      <c r="D136" s="5">
        <v>0.55200000000000005</v>
      </c>
      <c r="E136" s="5">
        <v>0.51800000000000002</v>
      </c>
      <c r="F136" s="5">
        <v>0.47499999999999998</v>
      </c>
      <c r="G136" s="5">
        <v>0.53900000000000003</v>
      </c>
      <c r="H136" s="5">
        <v>0.46100000000000002</v>
      </c>
      <c r="I136" s="6">
        <f t="shared" si="12"/>
        <v>0.50900000000000001</v>
      </c>
      <c r="J136" s="5">
        <v>0.54600000000000004</v>
      </c>
      <c r="K136" s="5">
        <v>0.55900000000000005</v>
      </c>
      <c r="L136" s="5">
        <v>0.58599999999999997</v>
      </c>
      <c r="M136" s="5">
        <v>0.50800000000000001</v>
      </c>
      <c r="N136" s="5">
        <v>0.48099999999999998</v>
      </c>
      <c r="O136" s="6">
        <f t="shared" si="13"/>
        <v>0.53599999999999992</v>
      </c>
      <c r="P136" s="15">
        <f t="shared" si="14"/>
        <v>2.6999999999999913E-2</v>
      </c>
    </row>
    <row r="137" spans="1:16" ht="15" customHeight="1" x14ac:dyDescent="0.25">
      <c r="A137" s="3" t="s">
        <v>135</v>
      </c>
      <c r="B137" s="3" t="s">
        <v>128</v>
      </c>
      <c r="C137" s="14">
        <v>0.2</v>
      </c>
      <c r="D137" s="5">
        <v>0.7</v>
      </c>
      <c r="E137" s="5">
        <v>0.73699999999999999</v>
      </c>
      <c r="F137" s="5">
        <v>0.69399999999999995</v>
      </c>
      <c r="G137" s="5">
        <v>0.70699999999999996</v>
      </c>
      <c r="H137" s="5">
        <v>0.73399999999999999</v>
      </c>
      <c r="I137" s="6">
        <f t="shared" si="12"/>
        <v>0.71439999999999992</v>
      </c>
      <c r="J137" s="5">
        <v>0.7</v>
      </c>
      <c r="K137" s="5">
        <v>0.71</v>
      </c>
      <c r="L137" s="5">
        <v>0.66400000000000003</v>
      </c>
      <c r="M137" s="5">
        <v>0.73</v>
      </c>
      <c r="N137" s="5">
        <v>0.65</v>
      </c>
      <c r="O137" s="6">
        <f t="shared" si="13"/>
        <v>0.69079999999999997</v>
      </c>
      <c r="P137" s="15">
        <f t="shared" si="14"/>
        <v>-2.3599999999999954E-2</v>
      </c>
    </row>
    <row r="138" spans="1:16" ht="15" customHeight="1" x14ac:dyDescent="0.25">
      <c r="A138" s="3" t="s">
        <v>135</v>
      </c>
      <c r="B138" s="3" t="s">
        <v>128</v>
      </c>
      <c r="C138" s="14">
        <v>0.3</v>
      </c>
      <c r="D138" s="5">
        <v>0.66</v>
      </c>
      <c r="E138" s="5">
        <v>0.57899999999999996</v>
      </c>
      <c r="F138" s="5">
        <v>0.62</v>
      </c>
      <c r="G138" s="5">
        <v>0.68300000000000005</v>
      </c>
      <c r="H138" s="5">
        <v>0.61299999999999999</v>
      </c>
      <c r="I138" s="6">
        <f t="shared" si="12"/>
        <v>0.63100000000000001</v>
      </c>
      <c r="J138" s="5">
        <v>0.62</v>
      </c>
      <c r="K138" s="5">
        <v>0.54200000000000004</v>
      </c>
      <c r="L138" s="5">
        <v>0.64300000000000002</v>
      </c>
      <c r="M138" s="5">
        <v>0.65</v>
      </c>
      <c r="N138" s="5">
        <v>0.67</v>
      </c>
      <c r="O138" s="6">
        <f t="shared" si="13"/>
        <v>0.625</v>
      </c>
      <c r="P138" s="15">
        <f t="shared" si="14"/>
        <v>-6.0000000000000053E-3</v>
      </c>
    </row>
    <row r="139" spans="1:16" ht="15" customHeight="1" x14ac:dyDescent="0.25">
      <c r="A139" s="3" t="s">
        <v>135</v>
      </c>
      <c r="B139" s="3" t="s">
        <v>128</v>
      </c>
      <c r="C139" s="14">
        <v>0.4</v>
      </c>
      <c r="D139" s="5">
        <v>0.64300000000000002</v>
      </c>
      <c r="E139" s="5">
        <v>0.56200000000000006</v>
      </c>
      <c r="F139" s="5">
        <v>0.55600000000000005</v>
      </c>
      <c r="G139" s="5">
        <v>0.53500000000000003</v>
      </c>
      <c r="H139" s="5">
        <v>0.67300000000000004</v>
      </c>
      <c r="I139" s="6">
        <f t="shared" si="12"/>
        <v>0.59380000000000011</v>
      </c>
      <c r="J139" s="5">
        <v>0.626</v>
      </c>
      <c r="K139" s="5">
        <v>0.55200000000000005</v>
      </c>
      <c r="L139" s="5">
        <v>0.51600000000000001</v>
      </c>
      <c r="M139" s="5">
        <v>0.55600000000000005</v>
      </c>
      <c r="N139" s="5">
        <v>0.61899999999999999</v>
      </c>
      <c r="O139" s="6">
        <f t="shared" si="13"/>
        <v>0.57379999999999998</v>
      </c>
      <c r="P139" s="15">
        <f t="shared" si="14"/>
        <v>-2.0000000000000129E-2</v>
      </c>
    </row>
    <row r="140" spans="1:16" ht="15" customHeight="1" x14ac:dyDescent="0.25">
      <c r="A140" s="3" t="s">
        <v>135</v>
      </c>
      <c r="B140" s="3" t="s">
        <v>128</v>
      </c>
      <c r="C140" s="14">
        <v>0.5</v>
      </c>
      <c r="D140" s="5">
        <v>0.44700000000000001</v>
      </c>
      <c r="E140" s="5">
        <v>0.51200000000000001</v>
      </c>
      <c r="F140" s="5">
        <v>0.47799999999999998</v>
      </c>
      <c r="G140" s="5">
        <v>0.502</v>
      </c>
      <c r="H140" s="5">
        <v>0.51200000000000001</v>
      </c>
      <c r="I140" s="6">
        <f t="shared" si="12"/>
        <v>0.49020000000000002</v>
      </c>
      <c r="J140" s="5">
        <v>0.46800000000000003</v>
      </c>
      <c r="K140" s="5">
        <v>0.54200000000000004</v>
      </c>
      <c r="L140" s="5">
        <v>0.46500000000000002</v>
      </c>
      <c r="M140" s="5">
        <v>0.49199999999999999</v>
      </c>
      <c r="N140" s="5">
        <v>0.55900000000000005</v>
      </c>
      <c r="O140" s="6">
        <f t="shared" si="13"/>
        <v>0.50520000000000009</v>
      </c>
      <c r="P140" s="15">
        <f t="shared" si="14"/>
        <v>1.5000000000000069E-2</v>
      </c>
    </row>
    <row r="141" spans="1:16" ht="15" customHeight="1" x14ac:dyDescent="0.25">
      <c r="A141" s="3" t="s">
        <v>136</v>
      </c>
      <c r="B141" s="3" t="s">
        <v>124</v>
      </c>
      <c r="C141" s="14">
        <v>0</v>
      </c>
      <c r="D141" s="5">
        <v>0.91500000000000004</v>
      </c>
      <c r="E141" s="5">
        <v>0.92900000000000005</v>
      </c>
      <c r="F141" s="5">
        <v>0.92600000000000005</v>
      </c>
      <c r="G141" s="5">
        <v>0.92</v>
      </c>
      <c r="H141" s="5">
        <v>0.92600000000000005</v>
      </c>
      <c r="I141" s="6">
        <f t="shared" si="12"/>
        <v>0.92319999999999991</v>
      </c>
      <c r="J141" s="5">
        <v>0.92</v>
      </c>
      <c r="K141" s="5">
        <v>0.93400000000000005</v>
      </c>
      <c r="L141" s="5">
        <v>0.92900000000000005</v>
      </c>
      <c r="M141" s="5">
        <v>0.92</v>
      </c>
      <c r="N141" s="5">
        <v>0.90300000000000002</v>
      </c>
      <c r="O141" s="6">
        <f t="shared" si="13"/>
        <v>0.92120000000000002</v>
      </c>
      <c r="P141" s="15">
        <f t="shared" si="14"/>
        <v>-1.9999999999998908E-3</v>
      </c>
    </row>
    <row r="142" spans="1:16" ht="15" customHeight="1" x14ac:dyDescent="0.25">
      <c r="A142" s="3" t="s">
        <v>136</v>
      </c>
      <c r="B142" s="3" t="s">
        <v>125</v>
      </c>
      <c r="C142" s="14">
        <v>0.2</v>
      </c>
      <c r="D142" s="5">
        <v>0.85199999999999998</v>
      </c>
      <c r="E142" s="5">
        <v>0.83499999999999996</v>
      </c>
      <c r="F142" s="5">
        <v>0.84599999999999997</v>
      </c>
      <c r="G142" s="5">
        <v>0.82899999999999996</v>
      </c>
      <c r="H142" s="5">
        <v>0.85199999999999998</v>
      </c>
      <c r="I142" s="6">
        <f t="shared" si="12"/>
        <v>0.8428000000000001</v>
      </c>
      <c r="J142" s="5">
        <v>0.79700000000000004</v>
      </c>
      <c r="K142" s="5">
        <v>0.78600000000000003</v>
      </c>
      <c r="L142" s="5">
        <v>0.86299999999999999</v>
      </c>
      <c r="M142" s="5">
        <v>0.84099999999999997</v>
      </c>
      <c r="N142" s="5">
        <v>0.68300000000000005</v>
      </c>
      <c r="O142" s="6">
        <f t="shared" si="13"/>
        <v>0.79399999999999993</v>
      </c>
      <c r="P142" s="15">
        <f t="shared" si="14"/>
        <v>-4.8800000000000177E-2</v>
      </c>
    </row>
    <row r="143" spans="1:16" ht="15" customHeight="1" x14ac:dyDescent="0.25">
      <c r="A143" s="3" t="s">
        <v>136</v>
      </c>
      <c r="B143" s="3" t="s">
        <v>125</v>
      </c>
      <c r="C143" s="14">
        <v>0.3</v>
      </c>
      <c r="D143" s="5">
        <v>0.752</v>
      </c>
      <c r="E143" s="5">
        <v>0.81200000000000006</v>
      </c>
      <c r="F143" s="5">
        <v>0.79200000000000004</v>
      </c>
      <c r="G143" s="5">
        <v>0.76600000000000001</v>
      </c>
      <c r="H143" s="5">
        <v>0.79800000000000004</v>
      </c>
      <c r="I143" s="6">
        <f t="shared" si="12"/>
        <v>0.78400000000000003</v>
      </c>
      <c r="J143" s="5">
        <v>0.74099999999999999</v>
      </c>
      <c r="K143" s="5">
        <v>0.64400000000000002</v>
      </c>
      <c r="L143" s="5">
        <v>0.77700000000000002</v>
      </c>
      <c r="M143" s="5">
        <v>0.73199999999999998</v>
      </c>
      <c r="N143" s="5">
        <v>0.60399999999999998</v>
      </c>
      <c r="O143" s="6">
        <f t="shared" si="13"/>
        <v>0.6996</v>
      </c>
      <c r="P143" s="15">
        <f t="shared" si="14"/>
        <v>-8.4400000000000031E-2</v>
      </c>
    </row>
    <row r="144" spans="1:16" ht="15" customHeight="1" x14ac:dyDescent="0.25">
      <c r="A144" s="3" t="s">
        <v>136</v>
      </c>
      <c r="B144" s="3" t="s">
        <v>125</v>
      </c>
      <c r="C144" s="14">
        <v>0.4</v>
      </c>
      <c r="D144" s="5">
        <v>0.69499999999999995</v>
      </c>
      <c r="E144" s="5">
        <v>0.71199999999999997</v>
      </c>
      <c r="F144" s="5">
        <v>0.65800000000000003</v>
      </c>
      <c r="G144" s="5">
        <v>0.66400000000000003</v>
      </c>
      <c r="H144" s="5">
        <v>0.69199999999999995</v>
      </c>
      <c r="I144" s="6">
        <f t="shared" si="12"/>
        <v>0.68420000000000003</v>
      </c>
      <c r="J144" s="5">
        <v>0.64400000000000002</v>
      </c>
      <c r="K144" s="5">
        <v>0.69499999999999995</v>
      </c>
      <c r="L144" s="5">
        <v>0.53</v>
      </c>
      <c r="M144" s="5">
        <v>0.56499999999999995</v>
      </c>
      <c r="N144" s="5">
        <v>0.623</v>
      </c>
      <c r="O144" s="6">
        <f t="shared" si="13"/>
        <v>0.61140000000000005</v>
      </c>
      <c r="P144" s="15">
        <f t="shared" si="14"/>
        <v>-7.2799999999999976E-2</v>
      </c>
    </row>
    <row r="145" spans="1:16" ht="15" customHeight="1" x14ac:dyDescent="0.25">
      <c r="A145" s="3" t="s">
        <v>136</v>
      </c>
      <c r="B145" s="3" t="s">
        <v>125</v>
      </c>
      <c r="C145" s="14">
        <v>0.5</v>
      </c>
      <c r="D145" s="5">
        <v>0.47599999999999998</v>
      </c>
      <c r="E145" s="5">
        <v>0.51</v>
      </c>
      <c r="F145" s="5">
        <v>0.51300000000000001</v>
      </c>
      <c r="G145" s="5">
        <v>0.51</v>
      </c>
      <c r="H145" s="5">
        <v>0.55300000000000005</v>
      </c>
      <c r="I145" s="6">
        <f t="shared" si="12"/>
        <v>0.51240000000000008</v>
      </c>
      <c r="J145" s="5">
        <v>0.51300000000000001</v>
      </c>
      <c r="K145" s="5">
        <v>0.47599999999999998</v>
      </c>
      <c r="L145" s="5">
        <v>0.46200000000000002</v>
      </c>
      <c r="M145" s="5">
        <v>0.55000000000000004</v>
      </c>
      <c r="N145" s="5">
        <v>0.44800000000000001</v>
      </c>
      <c r="O145" s="6">
        <f t="shared" si="13"/>
        <v>0.48980000000000007</v>
      </c>
      <c r="P145" s="15">
        <f t="shared" si="14"/>
        <v>-2.2600000000000009E-2</v>
      </c>
    </row>
    <row r="146" spans="1:16" ht="15" customHeight="1" x14ac:dyDescent="0.25">
      <c r="A146" s="3" t="s">
        <v>136</v>
      </c>
      <c r="B146" s="3" t="s">
        <v>126</v>
      </c>
      <c r="C146" s="14">
        <v>0.2</v>
      </c>
      <c r="D146" s="5">
        <v>0.92</v>
      </c>
      <c r="E146" s="5">
        <v>0.90600000000000003</v>
      </c>
      <c r="F146" s="5">
        <v>0.91400000000000003</v>
      </c>
      <c r="G146" s="5">
        <v>0.90900000000000003</v>
      </c>
      <c r="H146" s="5">
        <v>0.91200000000000003</v>
      </c>
      <c r="I146" s="6">
        <f t="shared" si="12"/>
        <v>0.91220000000000001</v>
      </c>
      <c r="J146" s="5">
        <v>0.92300000000000004</v>
      </c>
      <c r="K146" s="5">
        <v>0.91200000000000003</v>
      </c>
      <c r="L146" s="5">
        <v>0.86299999999999999</v>
      </c>
      <c r="M146" s="5">
        <v>0.89500000000000002</v>
      </c>
      <c r="N146" s="5">
        <v>0.91200000000000003</v>
      </c>
      <c r="O146" s="6">
        <f t="shared" si="13"/>
        <v>0.90100000000000002</v>
      </c>
      <c r="P146" s="15">
        <f t="shared" si="14"/>
        <v>-1.1199999999999988E-2</v>
      </c>
    </row>
    <row r="147" spans="1:16" ht="15" customHeight="1" x14ac:dyDescent="0.25">
      <c r="A147" s="3" t="s">
        <v>136</v>
      </c>
      <c r="B147" s="3" t="s">
        <v>126</v>
      </c>
      <c r="C147" s="14">
        <v>0.3</v>
      </c>
      <c r="D147" s="5">
        <v>0.88600000000000001</v>
      </c>
      <c r="E147" s="5">
        <v>0.88900000000000001</v>
      </c>
      <c r="F147" s="5">
        <v>0.88900000000000001</v>
      </c>
      <c r="G147" s="5">
        <v>0.88300000000000001</v>
      </c>
      <c r="H147" s="5">
        <v>0.88300000000000001</v>
      </c>
      <c r="I147" s="6">
        <f t="shared" si="12"/>
        <v>0.8859999999999999</v>
      </c>
      <c r="J147" s="5">
        <v>0.86</v>
      </c>
      <c r="K147" s="5">
        <v>0.89400000000000002</v>
      </c>
      <c r="L147" s="5">
        <v>0.88300000000000001</v>
      </c>
      <c r="M147" s="5">
        <v>0.84899999999999998</v>
      </c>
      <c r="N147" s="5">
        <v>0.9</v>
      </c>
      <c r="O147" s="6">
        <f t="shared" si="13"/>
        <v>0.87719999999999998</v>
      </c>
      <c r="P147" s="15">
        <f t="shared" si="14"/>
        <v>-8.799999999999919E-3</v>
      </c>
    </row>
    <row r="148" spans="1:16" ht="15" customHeight="1" x14ac:dyDescent="0.25">
      <c r="A148" s="3" t="s">
        <v>136</v>
      </c>
      <c r="B148" s="3" t="s">
        <v>126</v>
      </c>
      <c r="C148" s="14">
        <v>0.4</v>
      </c>
      <c r="D148" s="5">
        <v>0.85699999999999998</v>
      </c>
      <c r="E148" s="5">
        <v>0.81200000000000006</v>
      </c>
      <c r="F148" s="5">
        <v>0.85199999999999998</v>
      </c>
      <c r="G148" s="5">
        <v>0.85199999999999998</v>
      </c>
      <c r="H148" s="5">
        <v>0.877</v>
      </c>
      <c r="I148" s="6">
        <f t="shared" si="12"/>
        <v>0.85</v>
      </c>
      <c r="J148" s="5">
        <v>0.83199999999999996</v>
      </c>
      <c r="K148" s="5">
        <v>0.82</v>
      </c>
      <c r="L148" s="5">
        <v>0.84299999999999997</v>
      </c>
      <c r="M148" s="5">
        <v>0.84899999999999998</v>
      </c>
      <c r="N148" s="5">
        <v>0.875</v>
      </c>
      <c r="O148" s="6">
        <f t="shared" si="13"/>
        <v>0.84380000000000011</v>
      </c>
      <c r="P148" s="15">
        <f t="shared" si="14"/>
        <v>-6.1999999999998723E-3</v>
      </c>
    </row>
    <row r="149" spans="1:16" ht="15" customHeight="1" x14ac:dyDescent="0.25">
      <c r="A149" s="3" t="s">
        <v>136</v>
      </c>
      <c r="B149" s="3" t="s">
        <v>126</v>
      </c>
      <c r="C149" s="14">
        <v>0.5</v>
      </c>
      <c r="D149" s="5">
        <v>0.83199999999999996</v>
      </c>
      <c r="E149" s="5">
        <v>0.77800000000000002</v>
      </c>
      <c r="F149" s="5">
        <v>0.80300000000000005</v>
      </c>
      <c r="G149" s="5">
        <v>0.80300000000000005</v>
      </c>
      <c r="H149" s="5">
        <v>0.80100000000000005</v>
      </c>
      <c r="I149" s="6">
        <f t="shared" si="12"/>
        <v>0.80339999999999989</v>
      </c>
      <c r="J149" s="5">
        <v>0.76700000000000002</v>
      </c>
      <c r="K149" s="5">
        <v>0.70099999999999996</v>
      </c>
      <c r="L149" s="5">
        <v>0.81499999999999995</v>
      </c>
      <c r="M149" s="5">
        <v>0.78600000000000003</v>
      </c>
      <c r="N149" s="5">
        <v>0.79</v>
      </c>
      <c r="O149" s="6">
        <f t="shared" si="13"/>
        <v>0.77180000000000004</v>
      </c>
      <c r="P149" s="15">
        <f t="shared" si="14"/>
        <v>-3.159999999999985E-2</v>
      </c>
    </row>
    <row r="150" spans="1:16" ht="15" customHeight="1" x14ac:dyDescent="0.25">
      <c r="A150" s="3" t="s">
        <v>136</v>
      </c>
      <c r="B150" s="3" t="s">
        <v>127</v>
      </c>
      <c r="C150" s="14">
        <v>0.2</v>
      </c>
      <c r="D150" s="5">
        <v>0.86599999999999999</v>
      </c>
      <c r="E150" s="5">
        <v>0.85499999999999998</v>
      </c>
      <c r="F150" s="5">
        <v>0.877</v>
      </c>
      <c r="G150" s="5">
        <v>0.85799999999999998</v>
      </c>
      <c r="H150" s="5">
        <v>0.89200000000000002</v>
      </c>
      <c r="I150" s="6">
        <f t="shared" si="12"/>
        <v>0.86959999999999993</v>
      </c>
      <c r="J150" s="5">
        <v>0.77300000000000002</v>
      </c>
      <c r="K150" s="5">
        <v>0.84599999999999997</v>
      </c>
      <c r="L150" s="5">
        <v>0.79500000000000004</v>
      </c>
      <c r="M150" s="5">
        <v>0.81200000000000006</v>
      </c>
      <c r="N150" s="5">
        <v>0.78</v>
      </c>
      <c r="O150" s="6">
        <f t="shared" si="13"/>
        <v>0.80120000000000002</v>
      </c>
      <c r="P150" s="15">
        <f t="shared" si="14"/>
        <v>-6.8399999999999905E-2</v>
      </c>
    </row>
    <row r="151" spans="1:16" ht="15" customHeight="1" x14ac:dyDescent="0.25">
      <c r="A151" s="3" t="s">
        <v>136</v>
      </c>
      <c r="B151" s="3" t="s">
        <v>127</v>
      </c>
      <c r="C151" s="14">
        <v>0.3</v>
      </c>
      <c r="D151" s="5">
        <v>0.755</v>
      </c>
      <c r="E151" s="5">
        <v>0.77800000000000002</v>
      </c>
      <c r="F151" s="5">
        <v>0.79200000000000004</v>
      </c>
      <c r="G151" s="5">
        <v>0.78400000000000003</v>
      </c>
      <c r="H151" s="5">
        <v>0.79500000000000004</v>
      </c>
      <c r="I151" s="6">
        <f t="shared" si="12"/>
        <v>0.78079999999999994</v>
      </c>
      <c r="J151" s="5">
        <v>0.74299999999999999</v>
      </c>
      <c r="K151" s="5">
        <v>0.69</v>
      </c>
      <c r="L151" s="5">
        <v>0.81499999999999995</v>
      </c>
      <c r="M151" s="5">
        <v>0.73199999999999998</v>
      </c>
      <c r="N151" s="5">
        <v>0.61</v>
      </c>
      <c r="O151" s="6">
        <f t="shared" si="13"/>
        <v>0.71799999999999986</v>
      </c>
      <c r="P151" s="15">
        <f t="shared" si="14"/>
        <v>-6.2800000000000078E-2</v>
      </c>
    </row>
    <row r="152" spans="1:16" ht="15" customHeight="1" x14ac:dyDescent="0.25">
      <c r="A152" s="3" t="s">
        <v>136</v>
      </c>
      <c r="B152" s="3" t="s">
        <v>127</v>
      </c>
      <c r="C152" s="14">
        <v>0.4</v>
      </c>
      <c r="D152" s="5">
        <v>0.65500000000000003</v>
      </c>
      <c r="E152" s="5">
        <v>0.63800000000000001</v>
      </c>
      <c r="F152" s="5">
        <v>0.63800000000000001</v>
      </c>
      <c r="G152" s="5">
        <v>0.61199999999999999</v>
      </c>
      <c r="H152" s="5">
        <v>0.68700000000000006</v>
      </c>
      <c r="I152" s="6">
        <f t="shared" si="12"/>
        <v>0.64600000000000013</v>
      </c>
      <c r="J152" s="5">
        <v>0.68100000000000005</v>
      </c>
      <c r="K152" s="5">
        <v>0.61199999999999999</v>
      </c>
      <c r="L152" s="5">
        <v>0.59199999999999997</v>
      </c>
      <c r="M152" s="5">
        <v>0.77200000000000002</v>
      </c>
      <c r="N152" s="5">
        <v>0.79200000000000004</v>
      </c>
      <c r="O152" s="6">
        <f t="shared" si="13"/>
        <v>0.68979999999999997</v>
      </c>
      <c r="P152" s="15">
        <f t="shared" si="14"/>
        <v>4.3799999999999839E-2</v>
      </c>
    </row>
    <row r="153" spans="1:16" ht="15" customHeight="1" x14ac:dyDescent="0.25">
      <c r="A153" s="3" t="s">
        <v>136</v>
      </c>
      <c r="B153" s="3" t="s">
        <v>127</v>
      </c>
      <c r="C153" s="14">
        <v>0.5</v>
      </c>
      <c r="D153" s="5">
        <v>0.55600000000000005</v>
      </c>
      <c r="E153" s="5">
        <v>0.51</v>
      </c>
      <c r="F153" s="5">
        <v>0.46100000000000002</v>
      </c>
      <c r="G153" s="5">
        <v>0.48699999999999999</v>
      </c>
      <c r="H153" s="5">
        <v>0.54200000000000004</v>
      </c>
      <c r="I153" s="6">
        <f t="shared" si="12"/>
        <v>0.51119999999999999</v>
      </c>
      <c r="J153" s="5">
        <v>0.53200000000000003</v>
      </c>
      <c r="K153" s="5">
        <v>0.55800000000000005</v>
      </c>
      <c r="L153" s="5">
        <v>0.55900000000000005</v>
      </c>
      <c r="M153" s="5">
        <v>0.52700000000000002</v>
      </c>
      <c r="N153" s="5">
        <v>0.496</v>
      </c>
      <c r="O153" s="6">
        <f t="shared" si="13"/>
        <v>0.53439999999999999</v>
      </c>
      <c r="P153" s="15">
        <f t="shared" si="14"/>
        <v>2.3199999999999998E-2</v>
      </c>
    </row>
    <row r="154" spans="1:16" ht="15" customHeight="1" x14ac:dyDescent="0.25">
      <c r="A154" s="3" t="s">
        <v>136</v>
      </c>
      <c r="B154" s="3" t="s">
        <v>128</v>
      </c>
      <c r="C154" s="14">
        <v>0.2</v>
      </c>
      <c r="D154" s="5">
        <v>0.76400000000000001</v>
      </c>
      <c r="E154" s="5">
        <v>0.78</v>
      </c>
      <c r="F154" s="5">
        <v>0.79200000000000004</v>
      </c>
      <c r="G154" s="5">
        <v>0.70899999999999996</v>
      </c>
      <c r="H154" s="5">
        <v>0.79800000000000004</v>
      </c>
      <c r="I154" s="6">
        <f t="shared" si="12"/>
        <v>0.76860000000000006</v>
      </c>
      <c r="J154" s="5">
        <v>0.77500000000000002</v>
      </c>
      <c r="K154" s="5">
        <v>0.74099999999999999</v>
      </c>
      <c r="L154" s="5">
        <v>0.69499999999999995</v>
      </c>
      <c r="M154" s="5">
        <v>0.70099999999999996</v>
      </c>
      <c r="N154" s="5">
        <v>0.77500000000000002</v>
      </c>
      <c r="O154" s="6">
        <f t="shared" si="13"/>
        <v>0.73739999999999994</v>
      </c>
      <c r="P154" s="15">
        <f t="shared" si="14"/>
        <v>-3.1200000000000117E-2</v>
      </c>
    </row>
    <row r="155" spans="1:16" ht="15" customHeight="1" x14ac:dyDescent="0.25">
      <c r="A155" s="3" t="s">
        <v>136</v>
      </c>
      <c r="B155" s="3" t="s">
        <v>128</v>
      </c>
      <c r="C155" s="14">
        <v>0.3</v>
      </c>
      <c r="D155" s="5">
        <v>0.72099999999999997</v>
      </c>
      <c r="E155" s="5">
        <v>0.63500000000000001</v>
      </c>
      <c r="F155" s="5">
        <v>0.70099999999999996</v>
      </c>
      <c r="G155" s="5">
        <v>0.65200000000000002</v>
      </c>
      <c r="H155" s="5">
        <v>0.66700000000000004</v>
      </c>
      <c r="I155" s="6">
        <f t="shared" si="12"/>
        <v>0.67520000000000002</v>
      </c>
      <c r="J155" s="5">
        <v>0.63</v>
      </c>
      <c r="K155" s="5">
        <v>0.48699999999999999</v>
      </c>
      <c r="L155" s="5">
        <v>0.64700000000000002</v>
      </c>
      <c r="M155" s="5">
        <v>0.53800000000000003</v>
      </c>
      <c r="N155" s="5">
        <v>0.57599999999999996</v>
      </c>
      <c r="O155" s="6">
        <f t="shared" si="13"/>
        <v>0.5756</v>
      </c>
      <c r="P155" s="15">
        <f t="shared" si="14"/>
        <v>-9.9600000000000022E-2</v>
      </c>
    </row>
    <row r="156" spans="1:16" ht="15" customHeight="1" x14ac:dyDescent="0.25">
      <c r="A156" s="3" t="s">
        <v>136</v>
      </c>
      <c r="B156" s="3" t="s">
        <v>128</v>
      </c>
      <c r="C156" s="14">
        <v>0.4</v>
      </c>
      <c r="D156" s="5">
        <v>0.57799999999999996</v>
      </c>
      <c r="E156" s="5">
        <v>0.60399999999999998</v>
      </c>
      <c r="F156" s="5">
        <v>0.56999999999999995</v>
      </c>
      <c r="G156" s="5">
        <v>0.624</v>
      </c>
      <c r="H156" s="5">
        <v>0.627</v>
      </c>
      <c r="I156" s="6">
        <f t="shared" si="12"/>
        <v>0.60060000000000002</v>
      </c>
      <c r="J156" s="5">
        <v>0.66100000000000003</v>
      </c>
      <c r="K156" s="5">
        <v>0.56899999999999995</v>
      </c>
      <c r="L156" s="5">
        <v>0.307</v>
      </c>
      <c r="M156" s="5">
        <v>0.54200000000000004</v>
      </c>
      <c r="N156" s="5">
        <v>0.51300000000000001</v>
      </c>
      <c r="O156" s="6">
        <f t="shared" si="13"/>
        <v>0.51839999999999997</v>
      </c>
      <c r="P156" s="15">
        <f t="shared" si="14"/>
        <v>-8.2200000000000051E-2</v>
      </c>
    </row>
    <row r="157" spans="1:16" ht="15" customHeight="1" x14ac:dyDescent="0.25">
      <c r="A157" s="3" t="s">
        <v>136</v>
      </c>
      <c r="B157" s="3" t="s">
        <v>128</v>
      </c>
      <c r="C157" s="14">
        <v>0.5</v>
      </c>
      <c r="D157" s="5">
        <v>0.51</v>
      </c>
      <c r="E157" s="5">
        <v>0.45900000000000002</v>
      </c>
      <c r="F157" s="5">
        <v>0.47599999999999998</v>
      </c>
      <c r="G157" s="5">
        <v>0.49299999999999999</v>
      </c>
      <c r="H157" s="5">
        <v>0.53300000000000003</v>
      </c>
      <c r="I157" s="6">
        <f t="shared" si="12"/>
        <v>0.49420000000000003</v>
      </c>
      <c r="J157" s="5">
        <v>0.54500000000000004</v>
      </c>
      <c r="K157" s="5">
        <v>0.56200000000000006</v>
      </c>
      <c r="L157" s="5">
        <v>0.40500000000000003</v>
      </c>
      <c r="M157" s="5">
        <v>0.48899999999999999</v>
      </c>
      <c r="N157" s="5">
        <v>0.54100000000000004</v>
      </c>
      <c r="O157" s="6">
        <f t="shared" si="13"/>
        <v>0.50840000000000007</v>
      </c>
      <c r="P157" s="15">
        <f t="shared" si="14"/>
        <v>1.4200000000000046E-2</v>
      </c>
    </row>
    <row r="158" spans="1:16" ht="15" customHeight="1" x14ac:dyDescent="0.25">
      <c r="A158" s="3" t="s">
        <v>137</v>
      </c>
      <c r="B158" s="3" t="s">
        <v>124</v>
      </c>
      <c r="C158" s="14">
        <v>0</v>
      </c>
      <c r="D158" s="5">
        <v>0.83699999999999997</v>
      </c>
      <c r="E158" s="5">
        <v>0.85599999999999998</v>
      </c>
      <c r="F158" s="5">
        <v>0.83699999999999997</v>
      </c>
      <c r="G158" s="5">
        <v>0.84599999999999997</v>
      </c>
      <c r="H158" s="5">
        <v>0.84199999999999997</v>
      </c>
      <c r="I158" s="6">
        <f t="shared" si="12"/>
        <v>0.84360000000000002</v>
      </c>
      <c r="J158" s="5">
        <v>0.81299999999999994</v>
      </c>
      <c r="K158" s="5">
        <v>0.82699999999999996</v>
      </c>
      <c r="L158" s="5">
        <v>0.84599999999999997</v>
      </c>
      <c r="M158" s="5">
        <v>0.81699999999999995</v>
      </c>
      <c r="N158" s="5">
        <v>0.84699999999999998</v>
      </c>
      <c r="O158" s="6">
        <f t="shared" si="13"/>
        <v>0.83000000000000007</v>
      </c>
      <c r="P158" s="15">
        <f t="shared" si="14"/>
        <v>-1.3599999999999945E-2</v>
      </c>
    </row>
    <row r="159" spans="1:16" ht="15" customHeight="1" x14ac:dyDescent="0.25">
      <c r="A159" s="3" t="s">
        <v>137</v>
      </c>
      <c r="B159" s="3" t="s">
        <v>125</v>
      </c>
      <c r="C159" s="14">
        <v>0.2</v>
      </c>
      <c r="D159" s="5">
        <v>0.80300000000000005</v>
      </c>
      <c r="E159" s="5">
        <v>0.72599999999999998</v>
      </c>
      <c r="F159" s="5">
        <v>0.71599999999999997</v>
      </c>
      <c r="G159" s="5">
        <v>0.754</v>
      </c>
      <c r="H159" s="5">
        <v>0.74099999999999999</v>
      </c>
      <c r="I159" s="6">
        <f t="shared" si="12"/>
        <v>0.748</v>
      </c>
      <c r="J159" s="5">
        <v>0.79300000000000004</v>
      </c>
      <c r="K159" s="5">
        <v>0.74099999999999999</v>
      </c>
      <c r="L159" s="5">
        <v>0.69699999999999995</v>
      </c>
      <c r="M159" s="5">
        <v>0.72499999999999998</v>
      </c>
      <c r="N159" s="5">
        <v>0.73599999999999999</v>
      </c>
      <c r="O159" s="6">
        <f t="shared" si="13"/>
        <v>0.73840000000000006</v>
      </c>
      <c r="P159" s="15">
        <f t="shared" si="14"/>
        <v>-9.5999999999999419E-3</v>
      </c>
    </row>
    <row r="160" spans="1:16" ht="15" customHeight="1" x14ac:dyDescent="0.25">
      <c r="A160" s="3" t="s">
        <v>137</v>
      </c>
      <c r="B160" s="3" t="s">
        <v>125</v>
      </c>
      <c r="C160" s="14">
        <v>0.3</v>
      </c>
      <c r="D160" s="5">
        <v>0.71599999999999997</v>
      </c>
      <c r="E160" s="5">
        <v>0.71199999999999997</v>
      </c>
      <c r="F160" s="5">
        <v>0.64500000000000002</v>
      </c>
      <c r="G160" s="5">
        <v>0.63400000000000001</v>
      </c>
      <c r="H160" s="5">
        <v>0.68799999999999994</v>
      </c>
      <c r="I160" s="6">
        <f t="shared" si="12"/>
        <v>0.67899999999999994</v>
      </c>
      <c r="J160" s="5">
        <v>0.71199999999999997</v>
      </c>
      <c r="K160" s="5">
        <v>0.64</v>
      </c>
      <c r="L160" s="5">
        <v>0.64900000000000002</v>
      </c>
      <c r="M160" s="5">
        <v>0.66300000000000003</v>
      </c>
      <c r="N160" s="5">
        <v>0.63400000000000001</v>
      </c>
      <c r="O160" s="6">
        <f t="shared" si="13"/>
        <v>0.65959999999999996</v>
      </c>
      <c r="P160" s="15">
        <f t="shared" si="14"/>
        <v>-1.9399999999999973E-2</v>
      </c>
    </row>
    <row r="161" spans="1:16" ht="15" customHeight="1" x14ac:dyDescent="0.25">
      <c r="A161" s="3" t="s">
        <v>137</v>
      </c>
      <c r="B161" s="3" t="s">
        <v>125</v>
      </c>
      <c r="C161" s="14">
        <v>0.4</v>
      </c>
      <c r="D161" s="5">
        <v>0.55200000000000005</v>
      </c>
      <c r="E161" s="5">
        <v>0.59599999999999997</v>
      </c>
      <c r="F161" s="5">
        <v>0.61099999999999999</v>
      </c>
      <c r="G161" s="5">
        <v>0.57599999999999996</v>
      </c>
      <c r="H161" s="5">
        <v>0.54300000000000004</v>
      </c>
      <c r="I161" s="6">
        <f t="shared" si="12"/>
        <v>0.5756</v>
      </c>
      <c r="J161" s="5">
        <v>0.57599999999999996</v>
      </c>
      <c r="K161" s="5">
        <v>0.55800000000000005</v>
      </c>
      <c r="L161" s="5">
        <v>0.58199999999999996</v>
      </c>
      <c r="M161" s="5">
        <v>0.59099999999999997</v>
      </c>
      <c r="N161" s="5">
        <v>0.53300000000000003</v>
      </c>
      <c r="O161" s="6">
        <f t="shared" si="13"/>
        <v>0.56799999999999984</v>
      </c>
      <c r="P161" s="15">
        <f t="shared" si="14"/>
        <v>-7.6000000000001622E-3</v>
      </c>
    </row>
    <row r="162" spans="1:16" ht="15" customHeight="1" x14ac:dyDescent="0.25">
      <c r="A162" s="3" t="s">
        <v>137</v>
      </c>
      <c r="B162" s="3" t="s">
        <v>125</v>
      </c>
      <c r="C162" s="14">
        <v>0.5</v>
      </c>
      <c r="D162" s="5">
        <v>0.44700000000000001</v>
      </c>
      <c r="E162" s="5">
        <v>0.61499999999999999</v>
      </c>
      <c r="F162" s="5">
        <v>0.51800000000000002</v>
      </c>
      <c r="G162" s="5">
        <v>0.57299999999999995</v>
      </c>
      <c r="H162" s="5">
        <v>0.49</v>
      </c>
      <c r="I162" s="6">
        <f t="shared" si="12"/>
        <v>0.52859999999999996</v>
      </c>
      <c r="J162" s="5">
        <v>0.49099999999999999</v>
      </c>
      <c r="K162" s="5">
        <v>0.53900000000000003</v>
      </c>
      <c r="L162" s="5">
        <v>0.48899999999999999</v>
      </c>
      <c r="M162" s="5">
        <v>0.52400000000000002</v>
      </c>
      <c r="N162" s="5">
        <v>0.52900000000000003</v>
      </c>
      <c r="O162" s="6">
        <f t="shared" si="13"/>
        <v>0.51439999999999997</v>
      </c>
      <c r="P162" s="15">
        <f t="shared" si="14"/>
        <v>-1.419999999999999E-2</v>
      </c>
    </row>
    <row r="163" spans="1:16" ht="15" customHeight="1" x14ac:dyDescent="0.25">
      <c r="A163" s="3" t="s">
        <v>137</v>
      </c>
      <c r="B163" s="3" t="s">
        <v>126</v>
      </c>
      <c r="C163" s="14">
        <v>0.2</v>
      </c>
      <c r="D163" s="5">
        <v>0.84599999999999997</v>
      </c>
      <c r="E163" s="5">
        <v>0.77400000000000002</v>
      </c>
      <c r="F163" s="5">
        <v>0.77</v>
      </c>
      <c r="G163" s="5">
        <v>0.77800000000000002</v>
      </c>
      <c r="H163" s="5">
        <v>0.76500000000000001</v>
      </c>
      <c r="I163" s="6">
        <f t="shared" si="12"/>
        <v>0.78660000000000008</v>
      </c>
      <c r="J163" s="5">
        <v>0.79800000000000004</v>
      </c>
      <c r="K163" s="5">
        <v>0.71599999999999997</v>
      </c>
      <c r="L163" s="5">
        <v>0.73099999999999998</v>
      </c>
      <c r="M163" s="5">
        <v>0.73499999999999999</v>
      </c>
      <c r="N163" s="5">
        <v>0.78800000000000003</v>
      </c>
      <c r="O163" s="6">
        <f t="shared" si="13"/>
        <v>0.75359999999999994</v>
      </c>
      <c r="P163" s="15">
        <f t="shared" si="14"/>
        <v>-3.300000000000014E-2</v>
      </c>
    </row>
    <row r="164" spans="1:16" ht="15" customHeight="1" x14ac:dyDescent="0.25">
      <c r="A164" s="3" t="s">
        <v>137</v>
      </c>
      <c r="B164" s="3" t="s">
        <v>126</v>
      </c>
      <c r="C164" s="14">
        <v>0.3</v>
      </c>
      <c r="D164" s="5">
        <v>0.75</v>
      </c>
      <c r="E164" s="5">
        <v>0.77400000000000002</v>
      </c>
      <c r="F164" s="5">
        <v>0.76500000000000001</v>
      </c>
      <c r="G164" s="5">
        <v>0.77400000000000002</v>
      </c>
      <c r="H164" s="5">
        <v>0.73599999999999999</v>
      </c>
      <c r="I164" s="6">
        <f t="shared" si="12"/>
        <v>0.75980000000000003</v>
      </c>
      <c r="J164" s="5">
        <v>0.73499999999999999</v>
      </c>
      <c r="K164" s="5">
        <v>0.73599999999999999</v>
      </c>
      <c r="L164" s="5">
        <v>0.70199999999999996</v>
      </c>
      <c r="M164" s="5">
        <v>0.71499999999999997</v>
      </c>
      <c r="N164" s="5">
        <v>0.70699999999999996</v>
      </c>
      <c r="O164" s="6">
        <f t="shared" si="13"/>
        <v>0.71899999999999997</v>
      </c>
      <c r="P164" s="15">
        <f t="shared" si="14"/>
        <v>-4.0800000000000058E-2</v>
      </c>
    </row>
    <row r="165" spans="1:16" ht="15" customHeight="1" x14ac:dyDescent="0.25">
      <c r="A165" s="3" t="s">
        <v>137</v>
      </c>
      <c r="B165" s="3" t="s">
        <v>126</v>
      </c>
      <c r="C165" s="14">
        <v>0.4</v>
      </c>
      <c r="D165" s="5">
        <v>0.68300000000000005</v>
      </c>
      <c r="E165" s="5">
        <v>0.68300000000000005</v>
      </c>
      <c r="F165" s="5">
        <v>0.71099999999999997</v>
      </c>
      <c r="G165" s="5">
        <v>0.68200000000000005</v>
      </c>
      <c r="H165" s="5">
        <v>0.64900000000000002</v>
      </c>
      <c r="I165" s="6">
        <f t="shared" ref="I165:I196" si="15">IFERROR(AVERAGE(D165:H165),"-")</f>
        <v>0.68159999999999998</v>
      </c>
      <c r="J165" s="5">
        <v>0.65400000000000003</v>
      </c>
      <c r="K165" s="5">
        <v>0.63</v>
      </c>
      <c r="L165" s="5">
        <v>0.63500000000000001</v>
      </c>
      <c r="M165" s="5">
        <v>0.64300000000000002</v>
      </c>
      <c r="N165" s="5">
        <v>0.62</v>
      </c>
      <c r="O165" s="6">
        <f t="shared" ref="O165:O196" si="16">IFERROR(AVERAGE(J165:N165),"-")</f>
        <v>0.63640000000000008</v>
      </c>
      <c r="P165" s="15">
        <f t="shared" ref="P165:P196" si="17">IFERROR(O165-I165,"-")</f>
        <v>-4.5199999999999907E-2</v>
      </c>
    </row>
    <row r="166" spans="1:16" ht="15" customHeight="1" x14ac:dyDescent="0.25">
      <c r="A166" s="3" t="s">
        <v>137</v>
      </c>
      <c r="B166" s="3" t="s">
        <v>126</v>
      </c>
      <c r="C166" s="14">
        <v>0.5</v>
      </c>
      <c r="D166" s="5">
        <v>0.63</v>
      </c>
      <c r="E166" s="5">
        <v>0.63</v>
      </c>
      <c r="F166" s="5">
        <v>0.61499999999999999</v>
      </c>
      <c r="G166" s="5">
        <v>0.64900000000000002</v>
      </c>
      <c r="H166" s="5">
        <v>0.60599999999999998</v>
      </c>
      <c r="I166" s="6">
        <f t="shared" si="15"/>
        <v>0.626</v>
      </c>
      <c r="J166" s="5">
        <v>0.61099999999999999</v>
      </c>
      <c r="K166" s="5">
        <v>0.63500000000000001</v>
      </c>
      <c r="L166" s="5">
        <v>0.59599999999999997</v>
      </c>
      <c r="M166" s="5">
        <v>0.52400000000000002</v>
      </c>
      <c r="N166" s="5">
        <v>0.55800000000000005</v>
      </c>
      <c r="O166" s="6">
        <f t="shared" si="16"/>
        <v>0.5848000000000001</v>
      </c>
      <c r="P166" s="15">
        <f t="shared" si="17"/>
        <v>-4.1199999999999903E-2</v>
      </c>
    </row>
    <row r="167" spans="1:16" ht="15" customHeight="1" x14ac:dyDescent="0.25">
      <c r="A167" s="3" t="s">
        <v>137</v>
      </c>
      <c r="B167" s="3" t="s">
        <v>127</v>
      </c>
      <c r="C167" s="14">
        <v>0.2</v>
      </c>
      <c r="D167" s="5">
        <v>0.745</v>
      </c>
      <c r="E167" s="5">
        <v>0.76900000000000002</v>
      </c>
      <c r="F167" s="5">
        <v>0.77900000000000003</v>
      </c>
      <c r="G167" s="5">
        <v>0.75</v>
      </c>
      <c r="H167" s="5">
        <v>0.76</v>
      </c>
      <c r="I167" s="6">
        <f t="shared" si="15"/>
        <v>0.76059999999999994</v>
      </c>
      <c r="J167" s="5">
        <v>0.76900000000000002</v>
      </c>
      <c r="K167" s="5">
        <v>0.74</v>
      </c>
      <c r="L167" s="5">
        <v>0.78800000000000003</v>
      </c>
      <c r="M167" s="5">
        <v>0.76400000000000001</v>
      </c>
      <c r="N167" s="5">
        <v>0.755</v>
      </c>
      <c r="O167" s="6">
        <f t="shared" si="16"/>
        <v>0.76319999999999999</v>
      </c>
      <c r="P167" s="15">
        <f t="shared" si="17"/>
        <v>2.6000000000000467E-3</v>
      </c>
    </row>
    <row r="168" spans="1:16" ht="15" customHeight="1" x14ac:dyDescent="0.25">
      <c r="A168" s="3" t="s">
        <v>137</v>
      </c>
      <c r="B168" s="3" t="s">
        <v>127</v>
      </c>
      <c r="C168" s="14">
        <v>0.3</v>
      </c>
      <c r="D168" s="5">
        <v>0.70199999999999996</v>
      </c>
      <c r="E168" s="5">
        <v>0.68200000000000005</v>
      </c>
      <c r="F168" s="5">
        <v>0.69699999999999995</v>
      </c>
      <c r="G168" s="5">
        <v>0.69199999999999995</v>
      </c>
      <c r="H168" s="5">
        <v>0.75</v>
      </c>
      <c r="I168" s="6">
        <f t="shared" si="15"/>
        <v>0.70459999999999989</v>
      </c>
      <c r="J168" s="5">
        <v>0.71599999999999997</v>
      </c>
      <c r="K168" s="5">
        <v>0.72599999999999998</v>
      </c>
      <c r="L168" s="5">
        <v>0.68799999999999994</v>
      </c>
      <c r="M168" s="5">
        <v>0.72099999999999997</v>
      </c>
      <c r="N168" s="5">
        <v>0.755</v>
      </c>
      <c r="O168" s="6">
        <f t="shared" si="16"/>
        <v>0.72119999999999995</v>
      </c>
      <c r="P168" s="15">
        <f t="shared" si="17"/>
        <v>1.6600000000000059E-2</v>
      </c>
    </row>
    <row r="169" spans="1:16" ht="15" customHeight="1" x14ac:dyDescent="0.25">
      <c r="A169" s="3" t="s">
        <v>137</v>
      </c>
      <c r="B169" s="3" t="s">
        <v>127</v>
      </c>
      <c r="C169" s="14">
        <v>0.4</v>
      </c>
      <c r="D169" s="5">
        <v>0.626</v>
      </c>
      <c r="E169" s="5">
        <v>0.62</v>
      </c>
      <c r="F169" s="5">
        <v>0.65400000000000003</v>
      </c>
      <c r="G169" s="5">
        <v>0.65900000000000003</v>
      </c>
      <c r="H169" s="5">
        <v>0.65900000000000003</v>
      </c>
      <c r="I169" s="6">
        <f t="shared" si="15"/>
        <v>0.64359999999999995</v>
      </c>
      <c r="J169" s="5">
        <v>0.69299999999999995</v>
      </c>
      <c r="K169" s="5">
        <v>0.63500000000000001</v>
      </c>
      <c r="L169" s="5">
        <v>0.625</v>
      </c>
      <c r="M169" s="5">
        <v>0.64800000000000002</v>
      </c>
      <c r="N169" s="5">
        <v>0.63900000000000001</v>
      </c>
      <c r="O169" s="6">
        <f t="shared" si="16"/>
        <v>0.64800000000000002</v>
      </c>
      <c r="P169" s="15">
        <f t="shared" si="17"/>
        <v>4.4000000000000705E-3</v>
      </c>
    </row>
    <row r="170" spans="1:16" ht="15" customHeight="1" x14ac:dyDescent="0.25">
      <c r="A170" s="3" t="s">
        <v>137</v>
      </c>
      <c r="B170" s="3" t="s">
        <v>127</v>
      </c>
      <c r="C170" s="14">
        <v>0.5</v>
      </c>
      <c r="D170" s="5">
        <v>0.505</v>
      </c>
      <c r="E170" s="5">
        <v>0.441</v>
      </c>
      <c r="F170" s="5">
        <v>0.47099999999999997</v>
      </c>
      <c r="G170" s="5">
        <v>0.48099999999999998</v>
      </c>
      <c r="H170" s="5">
        <v>0.52400000000000002</v>
      </c>
      <c r="I170" s="6">
        <f t="shared" si="15"/>
        <v>0.48439999999999994</v>
      </c>
      <c r="J170" s="5">
        <v>0.53400000000000003</v>
      </c>
      <c r="K170" s="5">
        <v>0.495</v>
      </c>
      <c r="L170" s="5">
        <v>0.51</v>
      </c>
      <c r="M170" s="5">
        <v>0.442</v>
      </c>
      <c r="N170" s="5">
        <v>0.495</v>
      </c>
      <c r="O170" s="6">
        <f t="shared" si="16"/>
        <v>0.49519999999999997</v>
      </c>
      <c r="P170" s="15">
        <f t="shared" si="17"/>
        <v>1.0800000000000032E-2</v>
      </c>
    </row>
    <row r="171" spans="1:16" ht="15" customHeight="1" x14ac:dyDescent="0.25">
      <c r="A171" s="3" t="s">
        <v>137</v>
      </c>
      <c r="B171" s="3" t="s">
        <v>128</v>
      </c>
      <c r="C171" s="14">
        <v>0.2</v>
      </c>
      <c r="D171" s="5">
        <v>0.75</v>
      </c>
      <c r="E171" s="5">
        <v>0.77400000000000002</v>
      </c>
      <c r="F171" s="5">
        <v>0.73599999999999999</v>
      </c>
      <c r="G171" s="5">
        <v>0.746</v>
      </c>
      <c r="H171" s="5">
        <v>0.72099999999999997</v>
      </c>
      <c r="I171" s="6">
        <f t="shared" si="15"/>
        <v>0.74539999999999995</v>
      </c>
      <c r="J171" s="5">
        <v>0.68700000000000006</v>
      </c>
      <c r="K171" s="5">
        <v>0.70699999999999996</v>
      </c>
      <c r="L171" s="5">
        <v>0.75900000000000001</v>
      </c>
      <c r="M171" s="5">
        <v>0.72599999999999998</v>
      </c>
      <c r="N171" s="5">
        <v>0.73099999999999998</v>
      </c>
      <c r="O171" s="6">
        <f t="shared" si="16"/>
        <v>0.72199999999999998</v>
      </c>
      <c r="P171" s="15">
        <f t="shared" si="17"/>
        <v>-2.3399999999999976E-2</v>
      </c>
    </row>
    <row r="172" spans="1:16" ht="15" customHeight="1" x14ac:dyDescent="0.25">
      <c r="A172" s="3" t="s">
        <v>137</v>
      </c>
      <c r="B172" s="3" t="s">
        <v>128</v>
      </c>
      <c r="C172" s="14">
        <v>0.3</v>
      </c>
      <c r="D172" s="5">
        <v>0.68700000000000006</v>
      </c>
      <c r="E172" s="5">
        <v>0.69199999999999995</v>
      </c>
      <c r="F172" s="5">
        <v>0.63</v>
      </c>
      <c r="G172" s="5">
        <v>0.63400000000000001</v>
      </c>
      <c r="H172" s="5">
        <v>0.65400000000000003</v>
      </c>
      <c r="I172" s="6">
        <f t="shared" si="15"/>
        <v>0.65939999999999999</v>
      </c>
      <c r="J172" s="5">
        <v>0.67200000000000004</v>
      </c>
      <c r="K172" s="5">
        <v>0.64400000000000002</v>
      </c>
      <c r="L172" s="5">
        <v>0.63</v>
      </c>
      <c r="M172" s="5">
        <v>0.62</v>
      </c>
      <c r="N172" s="5">
        <v>0.65300000000000002</v>
      </c>
      <c r="O172" s="6">
        <f t="shared" si="16"/>
        <v>0.64380000000000004</v>
      </c>
      <c r="P172" s="15">
        <f t="shared" si="17"/>
        <v>-1.5599999999999947E-2</v>
      </c>
    </row>
    <row r="173" spans="1:16" ht="15" customHeight="1" x14ac:dyDescent="0.25">
      <c r="A173" s="3" t="s">
        <v>137</v>
      </c>
      <c r="B173" s="3" t="s">
        <v>128</v>
      </c>
      <c r="C173" s="14">
        <v>0.4</v>
      </c>
      <c r="D173" s="5">
        <v>0.61</v>
      </c>
      <c r="E173" s="5">
        <v>0.58699999999999997</v>
      </c>
      <c r="F173" s="5">
        <v>0.60199999999999998</v>
      </c>
      <c r="G173" s="5">
        <v>0.57599999999999996</v>
      </c>
      <c r="H173" s="5">
        <v>0.62</v>
      </c>
      <c r="I173" s="6">
        <f t="shared" si="15"/>
        <v>0.59899999999999998</v>
      </c>
      <c r="J173" s="5">
        <v>0.58599999999999997</v>
      </c>
      <c r="K173" s="5">
        <v>0.54300000000000004</v>
      </c>
      <c r="L173" s="5">
        <v>0.60699999999999998</v>
      </c>
      <c r="M173" s="5">
        <v>0.61099999999999999</v>
      </c>
      <c r="N173" s="5">
        <v>0.57199999999999995</v>
      </c>
      <c r="O173" s="6">
        <f t="shared" si="16"/>
        <v>0.58379999999999999</v>
      </c>
      <c r="P173" s="15">
        <f t="shared" si="17"/>
        <v>-1.5199999999999991E-2</v>
      </c>
    </row>
    <row r="174" spans="1:16" ht="15" customHeight="1" x14ac:dyDescent="0.25">
      <c r="A174" s="3" t="s">
        <v>137</v>
      </c>
      <c r="B174" s="3" t="s">
        <v>128</v>
      </c>
      <c r="C174" s="14">
        <v>0.5</v>
      </c>
      <c r="D174" s="5">
        <v>0.54800000000000004</v>
      </c>
      <c r="E174" s="5">
        <v>0.53400000000000003</v>
      </c>
      <c r="F174" s="5">
        <v>0.5</v>
      </c>
      <c r="G174" s="5">
        <v>0.55200000000000005</v>
      </c>
      <c r="H174" s="5">
        <v>0.495</v>
      </c>
      <c r="I174" s="6">
        <f t="shared" si="15"/>
        <v>0.52580000000000005</v>
      </c>
      <c r="J174" s="5">
        <v>0.5</v>
      </c>
      <c r="K174" s="5">
        <v>0.50900000000000001</v>
      </c>
      <c r="L174" s="5">
        <v>0.52400000000000002</v>
      </c>
      <c r="M174" s="5">
        <v>0.53300000000000003</v>
      </c>
      <c r="N174" s="5">
        <v>0.56200000000000006</v>
      </c>
      <c r="O174" s="6">
        <f t="shared" si="16"/>
        <v>0.52560000000000007</v>
      </c>
      <c r="P174" s="15">
        <f t="shared" si="17"/>
        <v>-1.9999999999997797E-4</v>
      </c>
    </row>
    <row r="176" spans="1:16" ht="15" customHeight="1" x14ac:dyDescent="0.25">
      <c r="A176" s="4" t="s">
        <v>146</v>
      </c>
    </row>
    <row r="177" spans="1:5" ht="15" customHeight="1" x14ac:dyDescent="0.25">
      <c r="A177" s="20" t="s">
        <v>108</v>
      </c>
      <c r="B177" s="20" t="s">
        <v>109</v>
      </c>
      <c r="C177" s="20" t="s">
        <v>139</v>
      </c>
      <c r="D177" s="20" t="s">
        <v>140</v>
      </c>
      <c r="E177" s="20" t="s">
        <v>141</v>
      </c>
    </row>
    <row r="178" spans="1:5" ht="15" customHeight="1" x14ac:dyDescent="0.25">
      <c r="A178" s="17" t="s">
        <v>124</v>
      </c>
      <c r="B178" s="18">
        <v>0</v>
      </c>
      <c r="C178" s="7">
        <f t="shared" ref="C178:C194" si="18">AVERAGEIFS($I$5:$I$174,$B$5:$B$174,A178,$C$5:$C$174,B178)</f>
        <v>0.86182000000000003</v>
      </c>
      <c r="D178" s="7">
        <f t="shared" ref="D178:D194" si="19">AVERAGEIFS($O$5:$O$174,$B$5:$B$174,A178,$C$5:$C$174,B178)</f>
        <v>0.84726000000000001</v>
      </c>
      <c r="E178" s="8">
        <f t="shared" ref="E178:E194" si="20">D178-C178</f>
        <v>-1.4560000000000017E-2</v>
      </c>
    </row>
    <row r="179" spans="1:5" ht="15" customHeight="1" x14ac:dyDescent="0.25">
      <c r="A179" s="17" t="s">
        <v>125</v>
      </c>
      <c r="B179" s="18">
        <v>0.2</v>
      </c>
      <c r="C179" s="7">
        <f t="shared" si="18"/>
        <v>0.77986</v>
      </c>
      <c r="D179" s="7">
        <f t="shared" si="19"/>
        <v>0.73706000000000005</v>
      </c>
      <c r="E179" s="8">
        <f t="shared" si="20"/>
        <v>-4.2799999999999949E-2</v>
      </c>
    </row>
    <row r="180" spans="1:5" ht="15" customHeight="1" x14ac:dyDescent="0.25">
      <c r="A180" s="17" t="s">
        <v>125</v>
      </c>
      <c r="B180" s="18">
        <v>0.3</v>
      </c>
      <c r="C180" s="7">
        <f t="shared" si="18"/>
        <v>0.71906000000000003</v>
      </c>
      <c r="D180" s="7">
        <f t="shared" si="19"/>
        <v>0.65844000000000014</v>
      </c>
      <c r="E180" s="8">
        <f t="shared" si="20"/>
        <v>-6.0619999999999896E-2</v>
      </c>
    </row>
    <row r="181" spans="1:5" ht="15" customHeight="1" x14ac:dyDescent="0.25">
      <c r="A181" s="17" t="s">
        <v>125</v>
      </c>
      <c r="B181" s="18">
        <v>0.4</v>
      </c>
      <c r="C181" s="7">
        <f t="shared" si="18"/>
        <v>0.62947999999999993</v>
      </c>
      <c r="D181" s="7">
        <f t="shared" si="19"/>
        <v>0.59733999999999998</v>
      </c>
      <c r="E181" s="8">
        <f t="shared" si="20"/>
        <v>-3.2139999999999946E-2</v>
      </c>
    </row>
    <row r="182" spans="1:5" ht="15" customHeight="1" x14ac:dyDescent="0.25">
      <c r="A182" s="17" t="s">
        <v>125</v>
      </c>
      <c r="B182" s="18">
        <v>0.5</v>
      </c>
      <c r="C182" s="7">
        <f t="shared" si="18"/>
        <v>0.50531999999999999</v>
      </c>
      <c r="D182" s="7">
        <f t="shared" si="19"/>
        <v>0.50171999999999994</v>
      </c>
      <c r="E182" s="8">
        <f t="shared" si="20"/>
        <v>-3.6000000000000476E-3</v>
      </c>
    </row>
    <row r="183" spans="1:5" ht="15" customHeight="1" x14ac:dyDescent="0.25">
      <c r="A183" s="17" t="s">
        <v>126</v>
      </c>
      <c r="B183" s="18">
        <v>0.2</v>
      </c>
      <c r="C183" s="7">
        <f t="shared" si="18"/>
        <v>0.81622000000000006</v>
      </c>
      <c r="D183" s="7">
        <f t="shared" si="19"/>
        <v>0.7867599999999999</v>
      </c>
      <c r="E183" s="8">
        <f t="shared" si="20"/>
        <v>-2.9460000000000153E-2</v>
      </c>
    </row>
    <row r="184" spans="1:5" ht="15" customHeight="1" x14ac:dyDescent="0.25">
      <c r="A184" s="17" t="s">
        <v>126</v>
      </c>
      <c r="B184" s="18">
        <v>0.3</v>
      </c>
      <c r="C184" s="7">
        <f t="shared" si="18"/>
        <v>0.78552</v>
      </c>
      <c r="D184" s="7">
        <f t="shared" si="19"/>
        <v>0.75802000000000003</v>
      </c>
      <c r="E184" s="8">
        <f t="shared" si="20"/>
        <v>-2.7499999999999969E-2</v>
      </c>
    </row>
    <row r="185" spans="1:5" ht="15" customHeight="1" x14ac:dyDescent="0.25">
      <c r="A185" s="17" t="s">
        <v>126</v>
      </c>
      <c r="B185" s="18">
        <v>0.4</v>
      </c>
      <c r="C185" s="7">
        <f t="shared" si="18"/>
        <v>0.74229999999999996</v>
      </c>
      <c r="D185" s="7">
        <f t="shared" si="19"/>
        <v>0.72245999999999999</v>
      </c>
      <c r="E185" s="8">
        <f t="shared" si="20"/>
        <v>-1.9839999999999969E-2</v>
      </c>
    </row>
    <row r="186" spans="1:5" ht="15" customHeight="1" x14ac:dyDescent="0.25">
      <c r="A186" s="17" t="s">
        <v>126</v>
      </c>
      <c r="B186" s="18">
        <v>0.5</v>
      </c>
      <c r="C186" s="7">
        <f t="shared" si="18"/>
        <v>0.68552000000000002</v>
      </c>
      <c r="D186" s="7">
        <f t="shared" si="19"/>
        <v>0.68268000000000018</v>
      </c>
      <c r="E186" s="8">
        <f t="shared" si="20"/>
        <v>-2.8399999999998427E-3</v>
      </c>
    </row>
    <row r="187" spans="1:5" ht="15" customHeight="1" x14ac:dyDescent="0.25">
      <c r="A187" s="17" t="s">
        <v>127</v>
      </c>
      <c r="B187" s="18">
        <v>0.2</v>
      </c>
      <c r="C187" s="7">
        <f t="shared" si="18"/>
        <v>0.80812000000000006</v>
      </c>
      <c r="D187" s="7">
        <f t="shared" si="19"/>
        <v>0.77184000000000019</v>
      </c>
      <c r="E187" s="8">
        <f t="shared" si="20"/>
        <v>-3.6279999999999868E-2</v>
      </c>
    </row>
    <row r="188" spans="1:5" ht="15" customHeight="1" x14ac:dyDescent="0.25">
      <c r="A188" s="17" t="s">
        <v>127</v>
      </c>
      <c r="B188" s="18">
        <v>0.3</v>
      </c>
      <c r="C188" s="7">
        <f t="shared" si="18"/>
        <v>0.73670000000000013</v>
      </c>
      <c r="D188" s="7">
        <f t="shared" si="19"/>
        <v>0.72285999999999995</v>
      </c>
      <c r="E188" s="8">
        <f t="shared" si="20"/>
        <v>-1.3840000000000185E-2</v>
      </c>
    </row>
    <row r="189" spans="1:5" ht="15" customHeight="1" x14ac:dyDescent="0.25">
      <c r="A189" s="17" t="s">
        <v>127</v>
      </c>
      <c r="B189" s="18">
        <v>0.4</v>
      </c>
      <c r="C189" s="7">
        <f t="shared" si="18"/>
        <v>0.6369800000000001</v>
      </c>
      <c r="D189" s="7">
        <f t="shared" si="19"/>
        <v>0.62807999999999997</v>
      </c>
      <c r="E189" s="8">
        <f t="shared" si="20"/>
        <v>-8.90000000000013E-3</v>
      </c>
    </row>
    <row r="190" spans="1:5" ht="15" customHeight="1" x14ac:dyDescent="0.25">
      <c r="A190" s="17" t="s">
        <v>127</v>
      </c>
      <c r="B190" s="18">
        <v>0.5</v>
      </c>
      <c r="C190" s="7">
        <f t="shared" si="18"/>
        <v>0.50105999999999995</v>
      </c>
      <c r="D190" s="7">
        <f t="shared" si="19"/>
        <v>0.51619999999999999</v>
      </c>
      <c r="E190" s="8">
        <f t="shared" si="20"/>
        <v>1.5140000000000042E-2</v>
      </c>
    </row>
    <row r="191" spans="1:5" ht="15" customHeight="1" x14ac:dyDescent="0.25">
      <c r="A191" s="17" t="s">
        <v>128</v>
      </c>
      <c r="B191" s="18">
        <v>0.2</v>
      </c>
      <c r="C191" s="7">
        <f t="shared" si="18"/>
        <v>0.74574000000000007</v>
      </c>
      <c r="D191" s="7">
        <f t="shared" si="19"/>
        <v>0.73770000000000002</v>
      </c>
      <c r="E191" s="8">
        <f t="shared" si="20"/>
        <v>-8.0400000000000471E-3</v>
      </c>
    </row>
    <row r="192" spans="1:5" ht="15" customHeight="1" x14ac:dyDescent="0.25">
      <c r="A192" s="17" t="s">
        <v>128</v>
      </c>
      <c r="B192" s="18">
        <v>0.3</v>
      </c>
      <c r="C192" s="7">
        <f t="shared" si="18"/>
        <v>0.67174</v>
      </c>
      <c r="D192" s="7">
        <f t="shared" si="19"/>
        <v>0.64022000000000001</v>
      </c>
      <c r="E192" s="8">
        <f t="shared" si="20"/>
        <v>-3.1519999999999992E-2</v>
      </c>
    </row>
    <row r="193" spans="1:5" ht="15" customHeight="1" x14ac:dyDescent="0.25">
      <c r="A193" s="17" t="s">
        <v>128</v>
      </c>
      <c r="B193" s="18">
        <v>0.4</v>
      </c>
      <c r="C193" s="7">
        <f t="shared" si="18"/>
        <v>0.60843999999999998</v>
      </c>
      <c r="D193" s="7">
        <f t="shared" si="19"/>
        <v>0.58291999999999999</v>
      </c>
      <c r="E193" s="8">
        <f t="shared" si="20"/>
        <v>-2.5519999999999987E-2</v>
      </c>
    </row>
    <row r="194" spans="1:5" ht="15" customHeight="1" x14ac:dyDescent="0.25">
      <c r="A194" s="17" t="s">
        <v>128</v>
      </c>
      <c r="B194" s="18">
        <v>0.5</v>
      </c>
      <c r="C194" s="7">
        <f t="shared" si="18"/>
        <v>0.50014000000000014</v>
      </c>
      <c r="D194" s="7">
        <f t="shared" si="19"/>
        <v>0.49426000000000003</v>
      </c>
      <c r="E194" s="8">
        <f t="shared" si="20"/>
        <v>-5.8800000000001074E-3</v>
      </c>
    </row>
    <row r="195" spans="1:5" ht="15" customHeight="1" x14ac:dyDescent="0.25">
      <c r="A195" s="9" t="s">
        <v>142</v>
      </c>
      <c r="B195" s="10"/>
      <c r="C195" s="11">
        <f>AVERAGE(C178:C194)</f>
        <v>0.69023647058823534</v>
      </c>
      <c r="D195" s="11">
        <f>AVERAGE(D178:D194)</f>
        <v>0.66975411764705883</v>
      </c>
      <c r="E195" s="12">
        <f>AVERAGE(E178:E194)</f>
        <v>-2.0482352941176476E-2</v>
      </c>
    </row>
  </sheetData>
  <mergeCells count="2">
    <mergeCell ref="A3:N3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97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1" customWidth="1"/>
    <col min="3" max="35" width="8.85546875" customWidth="1"/>
  </cols>
  <sheetData>
    <row r="1" spans="1:35" ht="17.25" customHeight="1" x14ac:dyDescent="0.3">
      <c r="A1" s="21" t="s">
        <v>147</v>
      </c>
    </row>
    <row r="2" spans="1:35" x14ac:dyDescent="0.25">
      <c r="A2" s="22" t="s">
        <v>148</v>
      </c>
    </row>
    <row r="3" spans="1:35" x14ac:dyDescent="0.25">
      <c r="A3" s="22" t="s">
        <v>149</v>
      </c>
    </row>
    <row r="4" spans="1:35" x14ac:dyDescent="0.25">
      <c r="A4" s="23" t="s">
        <v>107</v>
      </c>
      <c r="B4" s="23" t="s">
        <v>108</v>
      </c>
      <c r="C4" s="23" t="s">
        <v>109</v>
      </c>
      <c r="D4" s="23" t="s">
        <v>150</v>
      </c>
      <c r="E4" s="23" t="s">
        <v>151</v>
      </c>
      <c r="F4" s="23" t="s">
        <v>152</v>
      </c>
      <c r="G4" s="23" t="s">
        <v>153</v>
      </c>
      <c r="H4" s="23" t="s">
        <v>154</v>
      </c>
      <c r="I4" s="23" t="s">
        <v>155</v>
      </c>
      <c r="J4" s="23" t="s">
        <v>156</v>
      </c>
      <c r="K4" s="23" t="s">
        <v>157</v>
      </c>
      <c r="L4" s="23" t="s">
        <v>158</v>
      </c>
      <c r="M4" s="23" t="s">
        <v>159</v>
      </c>
      <c r="N4" s="23" t="s">
        <v>160</v>
      </c>
      <c r="O4" s="23" t="s">
        <v>161</v>
      </c>
      <c r="P4" s="23" t="s">
        <v>162</v>
      </c>
      <c r="Q4" s="23" t="s">
        <v>163</v>
      </c>
      <c r="R4" s="23" t="s">
        <v>164</v>
      </c>
      <c r="S4" s="23" t="s">
        <v>165</v>
      </c>
      <c r="T4" s="23" t="s">
        <v>166</v>
      </c>
      <c r="U4" s="23" t="s">
        <v>167</v>
      </c>
      <c r="V4" s="23" t="s">
        <v>168</v>
      </c>
      <c r="W4" s="23" t="s">
        <v>169</v>
      </c>
      <c r="X4" s="23" t="s">
        <v>170</v>
      </c>
      <c r="Y4" s="23" t="s">
        <v>171</v>
      </c>
      <c r="Z4" s="23" t="s">
        <v>172</v>
      </c>
      <c r="AA4" s="23" t="s">
        <v>173</v>
      </c>
      <c r="AB4" s="23" t="s">
        <v>174</v>
      </c>
      <c r="AC4" s="23" t="s">
        <v>175</v>
      </c>
      <c r="AD4" s="23" t="s">
        <v>176</v>
      </c>
      <c r="AE4" s="23" t="s">
        <v>177</v>
      </c>
      <c r="AF4" s="23" t="s">
        <v>178</v>
      </c>
      <c r="AG4" s="23" t="s">
        <v>179</v>
      </c>
      <c r="AH4" s="23" t="s">
        <v>180</v>
      </c>
      <c r="AI4" s="23" t="s">
        <v>181</v>
      </c>
    </row>
    <row r="5" spans="1:35" x14ac:dyDescent="0.25">
      <c r="A5" s="24" t="s">
        <v>130</v>
      </c>
      <c r="B5" s="25" t="s">
        <v>124</v>
      </c>
      <c r="C5" s="25">
        <v>0</v>
      </c>
      <c r="D5" s="25">
        <v>0.94799999999999995</v>
      </c>
      <c r="E5" s="25">
        <v>0.94399999999999995</v>
      </c>
      <c r="F5" s="25">
        <v>0.93899999999999995</v>
      </c>
      <c r="G5" s="25">
        <v>0.94399999999999995</v>
      </c>
      <c r="H5" s="25">
        <v>0.92500000000000004</v>
      </c>
      <c r="I5" s="26">
        <f t="shared" ref="I5:I36" si="0">IFERROR(AVERAGE(D5:H5),"")</f>
        <v>0.94000000000000006</v>
      </c>
      <c r="J5" s="25">
        <v>0.95</v>
      </c>
      <c r="K5" s="25">
        <v>0.95</v>
      </c>
      <c r="L5" s="25">
        <v>0.94599999999999995</v>
      </c>
      <c r="M5" s="25">
        <v>0.95099999999999996</v>
      </c>
      <c r="N5" s="25">
        <v>0.94399999999999995</v>
      </c>
      <c r="O5" s="26">
        <f t="shared" ref="O5:O36" si="1">IFERROR(AVERAGE(J5:N5),"")</f>
        <v>0.94819999999999993</v>
      </c>
      <c r="P5" s="25">
        <v>0.80500000000000005</v>
      </c>
      <c r="Q5" s="25">
        <v>0.77600000000000002</v>
      </c>
      <c r="R5" s="25">
        <v>0.81599999999999995</v>
      </c>
      <c r="S5" s="25">
        <v>0.745</v>
      </c>
      <c r="T5" s="25">
        <v>0.77300000000000002</v>
      </c>
      <c r="U5" s="26">
        <f t="shared" ref="U5:U36" si="2">IFERROR(AVERAGE(P5:T5),"")</f>
        <v>0.78300000000000003</v>
      </c>
      <c r="V5" s="25">
        <v>0.88200000000000001</v>
      </c>
      <c r="W5" s="25">
        <v>0.93600000000000005</v>
      </c>
      <c r="X5" s="25">
        <v>0.81599999999999995</v>
      </c>
      <c r="Y5" s="25">
        <v>0.95</v>
      </c>
      <c r="Z5" s="25">
        <v>0.94299999999999995</v>
      </c>
      <c r="AA5" s="26">
        <f t="shared" ref="AA5:AA36" si="3">IFERROR(AVERAGE(V5:Z5),"")</f>
        <v>0.90539999999999987</v>
      </c>
      <c r="AB5" s="25">
        <v>0.88200000000000001</v>
      </c>
      <c r="AC5" s="25">
        <v>0.93600000000000005</v>
      </c>
      <c r="AD5" s="25">
        <v>0.81599999999999995</v>
      </c>
      <c r="AE5" s="25">
        <v>0.95</v>
      </c>
      <c r="AF5" s="25">
        <v>0.94299999999999995</v>
      </c>
      <c r="AG5" s="26">
        <f t="shared" ref="AG5:AG36" si="4">IFERROR(AVERAGE(AB5:AF5),"")</f>
        <v>0.90539999999999987</v>
      </c>
      <c r="AH5" s="25">
        <f t="shared" ref="AH5:AH36" si="5">IFERROR(AG5-AA5,"")</f>
        <v>0</v>
      </c>
      <c r="AI5" s="25">
        <f t="shared" ref="AI5:AI36" si="6">IFERROR(AG5-O5,"")</f>
        <v>-4.280000000000006E-2</v>
      </c>
    </row>
    <row r="6" spans="1:35" x14ac:dyDescent="0.25">
      <c r="A6" s="24" t="s">
        <v>130</v>
      </c>
      <c r="B6" s="25" t="s">
        <v>125</v>
      </c>
      <c r="C6" s="25">
        <v>0.2</v>
      </c>
      <c r="D6" s="25">
        <v>0.93600000000000005</v>
      </c>
      <c r="E6" s="25">
        <v>0.93200000000000005</v>
      </c>
      <c r="F6" s="25">
        <v>0.92</v>
      </c>
      <c r="G6" s="25">
        <v>0.92900000000000005</v>
      </c>
      <c r="H6" s="25">
        <v>0.93400000000000005</v>
      </c>
      <c r="I6" s="26">
        <f t="shared" si="0"/>
        <v>0.93020000000000014</v>
      </c>
      <c r="J6" s="25">
        <v>0.94099999999999995</v>
      </c>
      <c r="K6" s="25">
        <v>0.95</v>
      </c>
      <c r="L6" s="25">
        <v>0.92500000000000004</v>
      </c>
      <c r="M6" s="25">
        <v>0.92400000000000004</v>
      </c>
      <c r="N6" s="25">
        <v>0.92900000000000005</v>
      </c>
      <c r="O6" s="26">
        <f t="shared" si="1"/>
        <v>0.93379999999999996</v>
      </c>
      <c r="P6" s="25">
        <v>0.85899999999999999</v>
      </c>
      <c r="Q6" s="25">
        <v>0.88</v>
      </c>
      <c r="R6" s="25">
        <v>0.86799999999999999</v>
      </c>
      <c r="S6" s="25">
        <v>0.89700000000000002</v>
      </c>
      <c r="T6" s="25">
        <v>0.86099999999999999</v>
      </c>
      <c r="U6" s="26">
        <f t="shared" si="2"/>
        <v>0.87299999999999989</v>
      </c>
      <c r="V6" s="25">
        <v>0.91500000000000004</v>
      </c>
      <c r="W6" s="25">
        <v>0.94399999999999995</v>
      </c>
      <c r="X6" s="25">
        <v>0.90400000000000003</v>
      </c>
      <c r="Y6" s="25">
        <v>0.95</v>
      </c>
      <c r="Z6" s="25">
        <v>0.92400000000000004</v>
      </c>
      <c r="AA6" s="26">
        <f t="shared" si="3"/>
        <v>0.92740000000000011</v>
      </c>
      <c r="AB6" s="25">
        <v>0.91500000000000004</v>
      </c>
      <c r="AC6" s="25">
        <v>0.94399999999999995</v>
      </c>
      <c r="AD6" s="25">
        <v>0.90400000000000003</v>
      </c>
      <c r="AE6" s="25">
        <v>0.95</v>
      </c>
      <c r="AF6" s="25">
        <v>0.92400000000000004</v>
      </c>
      <c r="AG6" s="26">
        <f t="shared" si="4"/>
        <v>0.92740000000000011</v>
      </c>
      <c r="AH6" s="25">
        <f t="shared" si="5"/>
        <v>0</v>
      </c>
      <c r="AI6" s="25">
        <f t="shared" si="6"/>
        <v>-6.3999999999998503E-3</v>
      </c>
    </row>
    <row r="7" spans="1:35" x14ac:dyDescent="0.25">
      <c r="A7" s="24" t="s">
        <v>130</v>
      </c>
      <c r="B7" s="25" t="s">
        <v>125</v>
      </c>
      <c r="C7" s="25">
        <v>0.3</v>
      </c>
      <c r="D7" s="25">
        <v>0.85899999999999999</v>
      </c>
      <c r="E7" s="25">
        <v>0.93200000000000005</v>
      </c>
      <c r="F7" s="25">
        <v>0.86799999999999999</v>
      </c>
      <c r="G7" s="25">
        <v>0.92</v>
      </c>
      <c r="H7" s="25">
        <v>0.90600000000000003</v>
      </c>
      <c r="I7" s="26">
        <f t="shared" si="0"/>
        <v>0.89699999999999991</v>
      </c>
      <c r="J7" s="25">
        <v>0.88</v>
      </c>
      <c r="K7" s="25">
        <v>0.92500000000000004</v>
      </c>
      <c r="L7" s="25">
        <v>0.91100000000000003</v>
      </c>
      <c r="M7" s="25">
        <v>0.91</v>
      </c>
      <c r="N7" s="25">
        <v>0.91</v>
      </c>
      <c r="O7" s="26">
        <f t="shared" si="1"/>
        <v>0.90720000000000012</v>
      </c>
      <c r="P7" s="25">
        <v>0.82399999999999995</v>
      </c>
      <c r="Q7" s="25">
        <v>0.85799999999999998</v>
      </c>
      <c r="R7" s="25">
        <v>0.83499999999999996</v>
      </c>
      <c r="S7" s="25">
        <v>0.84699999999999998</v>
      </c>
      <c r="T7" s="25">
        <v>0.81899999999999995</v>
      </c>
      <c r="U7" s="26">
        <f t="shared" si="2"/>
        <v>0.83660000000000001</v>
      </c>
      <c r="V7" s="25">
        <v>0.86099999999999999</v>
      </c>
      <c r="W7" s="25">
        <v>0.88400000000000001</v>
      </c>
      <c r="X7" s="25">
        <v>0.90500000000000003</v>
      </c>
      <c r="Y7" s="25">
        <v>0.88400000000000001</v>
      </c>
      <c r="Z7" s="25">
        <v>0.878</v>
      </c>
      <c r="AA7" s="26">
        <f t="shared" si="3"/>
        <v>0.88239999999999996</v>
      </c>
      <c r="AB7" s="25">
        <v>0.86099999999999999</v>
      </c>
      <c r="AC7" s="25">
        <v>0.88400000000000001</v>
      </c>
      <c r="AD7" s="25">
        <v>0.90500000000000003</v>
      </c>
      <c r="AE7" s="25">
        <v>0.88400000000000001</v>
      </c>
      <c r="AF7" s="25">
        <v>0.878</v>
      </c>
      <c r="AG7" s="26">
        <f t="shared" si="4"/>
        <v>0.88239999999999996</v>
      </c>
      <c r="AH7" s="25">
        <f t="shared" si="5"/>
        <v>0</v>
      </c>
      <c r="AI7" s="25">
        <f t="shared" si="6"/>
        <v>-2.4800000000000155E-2</v>
      </c>
    </row>
    <row r="8" spans="1:35" x14ac:dyDescent="0.25">
      <c r="A8" s="24" t="s">
        <v>130</v>
      </c>
      <c r="B8" s="25" t="s">
        <v>125</v>
      </c>
      <c r="C8" s="25">
        <v>0.4</v>
      </c>
      <c r="D8" s="25">
        <v>0.67200000000000004</v>
      </c>
      <c r="E8" s="25">
        <v>0.78600000000000003</v>
      </c>
      <c r="F8" s="25">
        <v>0.81799999999999995</v>
      </c>
      <c r="G8" s="25">
        <v>0.81599999999999995</v>
      </c>
      <c r="H8" s="25">
        <v>0.82799999999999996</v>
      </c>
      <c r="I8" s="26">
        <f t="shared" si="0"/>
        <v>0.78400000000000003</v>
      </c>
      <c r="J8" s="25">
        <v>0.69799999999999995</v>
      </c>
      <c r="K8" s="25">
        <v>0.83199999999999996</v>
      </c>
      <c r="L8" s="25">
        <v>0.81599999999999995</v>
      </c>
      <c r="M8" s="25">
        <v>0.79400000000000004</v>
      </c>
      <c r="N8" s="25">
        <v>0.84899999999999998</v>
      </c>
      <c r="O8" s="26">
        <f t="shared" si="1"/>
        <v>0.79779999999999995</v>
      </c>
      <c r="P8" s="25">
        <v>0.64400000000000002</v>
      </c>
      <c r="Q8" s="25">
        <v>0.75</v>
      </c>
      <c r="R8" s="25">
        <v>0.78800000000000003</v>
      </c>
      <c r="S8" s="25">
        <v>0.77400000000000002</v>
      </c>
      <c r="T8" s="25">
        <v>0.83199999999999996</v>
      </c>
      <c r="U8" s="26">
        <f t="shared" si="2"/>
        <v>0.75760000000000005</v>
      </c>
      <c r="V8" s="25">
        <v>0.71899999999999997</v>
      </c>
      <c r="W8" s="25">
        <v>0.77400000000000002</v>
      </c>
      <c r="X8" s="25">
        <v>0.80700000000000005</v>
      </c>
      <c r="Y8" s="25">
        <v>0.80600000000000005</v>
      </c>
      <c r="Z8" s="25">
        <v>0.86299999999999999</v>
      </c>
      <c r="AA8" s="26">
        <f t="shared" si="3"/>
        <v>0.79379999999999995</v>
      </c>
      <c r="AB8" s="25">
        <v>0.71899999999999997</v>
      </c>
      <c r="AC8" s="25">
        <v>0.77400000000000002</v>
      </c>
      <c r="AD8" s="25">
        <v>0.80700000000000005</v>
      </c>
      <c r="AE8" s="25">
        <v>0.80600000000000005</v>
      </c>
      <c r="AF8" s="25">
        <v>0.86299999999999999</v>
      </c>
      <c r="AG8" s="26">
        <f t="shared" si="4"/>
        <v>0.79379999999999995</v>
      </c>
      <c r="AH8" s="25">
        <f t="shared" si="5"/>
        <v>0</v>
      </c>
      <c r="AI8" s="25">
        <f t="shared" si="6"/>
        <v>-4.0000000000000036E-3</v>
      </c>
    </row>
    <row r="9" spans="1:35" x14ac:dyDescent="0.25">
      <c r="A9" s="24" t="s">
        <v>130</v>
      </c>
      <c r="B9" s="25" t="s">
        <v>125</v>
      </c>
      <c r="C9" s="25">
        <v>0.5</v>
      </c>
      <c r="D9" s="25">
        <v>0.47699999999999998</v>
      </c>
      <c r="E9" s="25">
        <v>0.33500000000000002</v>
      </c>
      <c r="F9" s="25">
        <v>0.377</v>
      </c>
      <c r="G9" s="25">
        <v>0.47199999999999998</v>
      </c>
      <c r="H9" s="25">
        <v>0.46200000000000002</v>
      </c>
      <c r="I9" s="26">
        <f t="shared" si="0"/>
        <v>0.42460000000000003</v>
      </c>
      <c r="J9" s="25">
        <v>0.53800000000000003</v>
      </c>
      <c r="K9" s="25">
        <v>0.49099999999999999</v>
      </c>
      <c r="L9" s="25">
        <v>0.53100000000000003</v>
      </c>
      <c r="M9" s="25">
        <v>0.61</v>
      </c>
      <c r="N9" s="25">
        <v>0.502</v>
      </c>
      <c r="O9" s="26">
        <f t="shared" si="1"/>
        <v>0.53439999999999999</v>
      </c>
      <c r="P9" s="25">
        <v>0.47899999999999998</v>
      </c>
      <c r="Q9" s="25">
        <v>0.30499999999999999</v>
      </c>
      <c r="R9" s="25">
        <v>0.42399999999999999</v>
      </c>
      <c r="S9" s="25">
        <v>0.48299999999999998</v>
      </c>
      <c r="T9" s="25">
        <v>0.503</v>
      </c>
      <c r="U9" s="26">
        <f t="shared" si="2"/>
        <v>0.43879999999999997</v>
      </c>
      <c r="V9" s="25">
        <v>0.436</v>
      </c>
      <c r="W9" s="25">
        <v>0.42</v>
      </c>
      <c r="X9" s="25">
        <v>0.52400000000000002</v>
      </c>
      <c r="Y9" s="25">
        <v>0.54</v>
      </c>
      <c r="Z9" s="25">
        <v>0.46500000000000002</v>
      </c>
      <c r="AA9" s="26">
        <f t="shared" si="3"/>
        <v>0.47699999999999998</v>
      </c>
      <c r="AB9" s="25">
        <v>0.436</v>
      </c>
      <c r="AC9" s="25">
        <v>0.42</v>
      </c>
      <c r="AD9" s="25">
        <v>0.52400000000000002</v>
      </c>
      <c r="AE9" s="25">
        <v>0.54</v>
      </c>
      <c r="AF9" s="25">
        <v>0.46500000000000002</v>
      </c>
      <c r="AG9" s="26">
        <f t="shared" si="4"/>
        <v>0.47699999999999998</v>
      </c>
      <c r="AH9" s="25">
        <f t="shared" si="5"/>
        <v>0</v>
      </c>
      <c r="AI9" s="25">
        <f t="shared" si="6"/>
        <v>-5.7400000000000007E-2</v>
      </c>
    </row>
    <row r="10" spans="1:35" x14ac:dyDescent="0.25">
      <c r="A10" s="24" t="s">
        <v>130</v>
      </c>
      <c r="B10" s="25" t="s">
        <v>126</v>
      </c>
      <c r="C10" s="25">
        <v>0.2</v>
      </c>
      <c r="D10" s="25">
        <v>0.89400000000000002</v>
      </c>
      <c r="E10" s="25">
        <v>0.83199999999999996</v>
      </c>
      <c r="F10" s="25">
        <v>0.84</v>
      </c>
      <c r="G10" s="25">
        <v>0.84699999999999998</v>
      </c>
      <c r="H10" s="25">
        <v>0.86599999999999999</v>
      </c>
      <c r="I10" s="26">
        <f t="shared" si="0"/>
        <v>0.85580000000000001</v>
      </c>
      <c r="J10" s="25">
        <v>0.84599999999999997</v>
      </c>
      <c r="K10" s="25">
        <v>0.85399999999999998</v>
      </c>
      <c r="L10" s="25">
        <v>0.86099999999999999</v>
      </c>
      <c r="M10" s="25">
        <v>0.83499999999999996</v>
      </c>
      <c r="N10" s="25">
        <v>0.878</v>
      </c>
      <c r="O10" s="26">
        <f t="shared" si="1"/>
        <v>0.8548</v>
      </c>
      <c r="P10" s="25">
        <v>0.85399999999999998</v>
      </c>
      <c r="Q10" s="25">
        <v>0.88</v>
      </c>
      <c r="R10" s="25">
        <v>0.753</v>
      </c>
      <c r="S10" s="25">
        <v>0.91</v>
      </c>
      <c r="T10" s="25">
        <v>0.82799999999999996</v>
      </c>
      <c r="U10" s="26">
        <f t="shared" si="2"/>
        <v>0.84500000000000008</v>
      </c>
      <c r="V10" s="25">
        <v>0.88</v>
      </c>
      <c r="W10" s="25">
        <v>0.873</v>
      </c>
      <c r="X10" s="25">
        <v>0.86799999999999999</v>
      </c>
      <c r="Y10" s="25">
        <v>0.88700000000000001</v>
      </c>
      <c r="Z10" s="25">
        <v>0.873</v>
      </c>
      <c r="AA10" s="26">
        <f t="shared" si="3"/>
        <v>0.87620000000000009</v>
      </c>
      <c r="AB10" s="25">
        <v>0.88</v>
      </c>
      <c r="AC10" s="25">
        <v>0.873</v>
      </c>
      <c r="AD10" s="25">
        <v>0.86799999999999999</v>
      </c>
      <c r="AE10" s="25">
        <v>0.88700000000000001</v>
      </c>
      <c r="AF10" s="25">
        <v>0.873</v>
      </c>
      <c r="AG10" s="26">
        <f t="shared" si="4"/>
        <v>0.87620000000000009</v>
      </c>
      <c r="AH10" s="25">
        <f t="shared" si="5"/>
        <v>0</v>
      </c>
      <c r="AI10" s="25">
        <f t="shared" si="6"/>
        <v>2.1400000000000086E-2</v>
      </c>
    </row>
    <row r="11" spans="1:35" x14ac:dyDescent="0.25">
      <c r="A11" s="24" t="s">
        <v>130</v>
      </c>
      <c r="B11" s="25" t="s">
        <v>126</v>
      </c>
      <c r="C11" s="25">
        <v>0.3</v>
      </c>
      <c r="D11" s="25">
        <v>0.79500000000000004</v>
      </c>
      <c r="E11" s="25">
        <v>0.81100000000000005</v>
      </c>
      <c r="F11" s="25">
        <v>0.77200000000000002</v>
      </c>
      <c r="G11" s="25">
        <v>0.80400000000000005</v>
      </c>
      <c r="H11" s="25">
        <v>0.79900000000000004</v>
      </c>
      <c r="I11" s="26">
        <f t="shared" si="0"/>
        <v>0.79620000000000002</v>
      </c>
      <c r="J11" s="25">
        <v>0.77100000000000002</v>
      </c>
      <c r="K11" s="25">
        <v>0.79700000000000004</v>
      </c>
      <c r="L11" s="25">
        <v>0.78600000000000003</v>
      </c>
      <c r="M11" s="25">
        <v>0.78100000000000003</v>
      </c>
      <c r="N11" s="25">
        <v>0.80400000000000005</v>
      </c>
      <c r="O11" s="26">
        <f t="shared" si="1"/>
        <v>0.78780000000000006</v>
      </c>
      <c r="P11" s="25">
        <v>0.755</v>
      </c>
      <c r="Q11" s="25">
        <v>0.8</v>
      </c>
      <c r="R11" s="25">
        <v>0.748</v>
      </c>
      <c r="S11" s="25">
        <v>0.78500000000000003</v>
      </c>
      <c r="T11" s="25">
        <v>0.8</v>
      </c>
      <c r="U11" s="26">
        <f t="shared" si="2"/>
        <v>0.77759999999999996</v>
      </c>
      <c r="V11" s="25">
        <v>0.745</v>
      </c>
      <c r="W11" s="25">
        <v>0.80400000000000005</v>
      </c>
      <c r="X11" s="25">
        <v>0.72</v>
      </c>
      <c r="Y11" s="25">
        <v>0.72899999999999998</v>
      </c>
      <c r="Z11" s="25">
        <v>0.77400000000000002</v>
      </c>
      <c r="AA11" s="26">
        <f t="shared" si="3"/>
        <v>0.75440000000000007</v>
      </c>
      <c r="AB11" s="25">
        <v>0.745</v>
      </c>
      <c r="AC11" s="25">
        <v>0.80400000000000005</v>
      </c>
      <c r="AD11" s="25">
        <v>0.72</v>
      </c>
      <c r="AE11" s="25">
        <v>0.72899999999999998</v>
      </c>
      <c r="AF11" s="25">
        <v>0.77400000000000002</v>
      </c>
      <c r="AG11" s="26">
        <f t="shared" si="4"/>
        <v>0.75440000000000007</v>
      </c>
      <c r="AH11" s="25">
        <f t="shared" si="5"/>
        <v>0</v>
      </c>
      <c r="AI11" s="25">
        <f t="shared" si="6"/>
        <v>-3.3399999999999985E-2</v>
      </c>
    </row>
    <row r="12" spans="1:35" x14ac:dyDescent="0.25">
      <c r="A12" s="24" t="s">
        <v>130</v>
      </c>
      <c r="B12" s="25" t="s">
        <v>126</v>
      </c>
      <c r="C12" s="25">
        <v>0.4</v>
      </c>
      <c r="D12" s="25">
        <v>0.74</v>
      </c>
      <c r="E12" s="25">
        <v>0.73299999999999998</v>
      </c>
      <c r="F12" s="25">
        <v>0.72599999999999998</v>
      </c>
      <c r="G12" s="25">
        <v>0.73399999999999999</v>
      </c>
      <c r="H12" s="25">
        <v>0.748</v>
      </c>
      <c r="I12" s="26">
        <f t="shared" si="0"/>
        <v>0.73619999999999997</v>
      </c>
      <c r="J12" s="25">
        <v>0.71199999999999997</v>
      </c>
      <c r="K12" s="25">
        <v>0.70499999999999996</v>
      </c>
      <c r="L12" s="25">
        <v>0.73399999999999999</v>
      </c>
      <c r="M12" s="25">
        <v>0.72</v>
      </c>
      <c r="N12" s="25">
        <v>0.73599999999999999</v>
      </c>
      <c r="O12" s="26">
        <f t="shared" si="1"/>
        <v>0.72139999999999982</v>
      </c>
      <c r="P12" s="25">
        <v>0.622</v>
      </c>
      <c r="Q12" s="25">
        <v>0.77</v>
      </c>
      <c r="R12" s="25">
        <v>0.68700000000000006</v>
      </c>
      <c r="S12" s="25">
        <v>0.70899999999999996</v>
      </c>
      <c r="T12" s="25">
        <v>0.69099999999999995</v>
      </c>
      <c r="U12" s="26">
        <f t="shared" si="2"/>
        <v>0.69579999999999997</v>
      </c>
      <c r="V12" s="25">
        <v>0.66500000000000004</v>
      </c>
      <c r="W12" s="25">
        <v>0.68300000000000005</v>
      </c>
      <c r="X12" s="25">
        <v>0.72199999999999998</v>
      </c>
      <c r="Y12" s="25">
        <v>0.66500000000000004</v>
      </c>
      <c r="Z12" s="25">
        <v>0.69599999999999995</v>
      </c>
      <c r="AA12" s="26">
        <f t="shared" si="3"/>
        <v>0.68620000000000003</v>
      </c>
      <c r="AB12" s="25">
        <v>0.76200000000000001</v>
      </c>
      <c r="AC12" s="25">
        <v>0.76900000000000002</v>
      </c>
      <c r="AD12" s="25">
        <v>0.80700000000000005</v>
      </c>
      <c r="AE12" s="25">
        <v>0.78100000000000003</v>
      </c>
      <c r="AF12" s="25">
        <v>0.748</v>
      </c>
      <c r="AG12" s="26">
        <f t="shared" si="4"/>
        <v>0.77339999999999998</v>
      </c>
      <c r="AH12" s="25">
        <f t="shared" si="5"/>
        <v>8.7199999999999944E-2</v>
      </c>
      <c r="AI12" s="25">
        <f t="shared" si="6"/>
        <v>5.2000000000000157E-2</v>
      </c>
    </row>
    <row r="13" spans="1:35" x14ac:dyDescent="0.25">
      <c r="A13" s="24" t="s">
        <v>130</v>
      </c>
      <c r="B13" s="25" t="s">
        <v>126</v>
      </c>
      <c r="C13" s="25">
        <v>0.5</v>
      </c>
      <c r="D13" s="25">
        <v>0.68899999999999995</v>
      </c>
      <c r="E13" s="25">
        <v>0.67400000000000004</v>
      </c>
      <c r="F13" s="25">
        <v>0.67</v>
      </c>
      <c r="G13" s="25">
        <v>0.65300000000000002</v>
      </c>
      <c r="H13" s="25">
        <v>0.67</v>
      </c>
      <c r="I13" s="26">
        <f t="shared" si="0"/>
        <v>0.67120000000000002</v>
      </c>
      <c r="J13" s="25">
        <v>0.65300000000000002</v>
      </c>
      <c r="K13" s="25">
        <v>0.65100000000000002</v>
      </c>
      <c r="L13" s="25">
        <v>0.66700000000000004</v>
      </c>
      <c r="M13" s="25">
        <v>0.65600000000000003</v>
      </c>
      <c r="N13" s="25">
        <v>0.66300000000000003</v>
      </c>
      <c r="O13" s="26">
        <f t="shared" si="1"/>
        <v>0.65800000000000003</v>
      </c>
      <c r="P13" s="25"/>
      <c r="Q13" s="25"/>
      <c r="R13" s="25"/>
      <c r="S13" s="25"/>
      <c r="T13" s="25"/>
      <c r="U13" s="26" t="str">
        <f t="shared" si="2"/>
        <v/>
      </c>
      <c r="V13" s="25"/>
      <c r="W13" s="25"/>
      <c r="X13" s="25"/>
      <c r="Y13" s="25"/>
      <c r="Z13" s="25"/>
      <c r="AA13" s="26" t="str">
        <f t="shared" si="3"/>
        <v/>
      </c>
      <c r="AB13" s="25">
        <v>0.83499999999999996</v>
      </c>
      <c r="AC13" s="25">
        <v>0.82099999999999995</v>
      </c>
      <c r="AD13" s="25">
        <v>0.85399999999999998</v>
      </c>
      <c r="AE13" s="25">
        <v>0.84</v>
      </c>
      <c r="AF13" s="25">
        <v>0.81100000000000005</v>
      </c>
      <c r="AG13" s="26">
        <f t="shared" si="4"/>
        <v>0.83219999999999994</v>
      </c>
      <c r="AH13" s="25" t="str">
        <f t="shared" si="5"/>
        <v/>
      </c>
      <c r="AI13" s="25">
        <f t="shared" si="6"/>
        <v>0.17419999999999991</v>
      </c>
    </row>
    <row r="14" spans="1:35" x14ac:dyDescent="0.25">
      <c r="A14" s="24" t="s">
        <v>130</v>
      </c>
      <c r="B14" s="25" t="s">
        <v>127</v>
      </c>
      <c r="C14" s="25">
        <v>0.2</v>
      </c>
      <c r="D14" s="25">
        <v>0.93200000000000005</v>
      </c>
      <c r="E14" s="25">
        <v>0.93400000000000005</v>
      </c>
      <c r="F14" s="25">
        <v>0.93899999999999995</v>
      </c>
      <c r="G14" s="25">
        <v>0.93400000000000005</v>
      </c>
      <c r="H14" s="25">
        <v>0.93600000000000005</v>
      </c>
      <c r="I14" s="26">
        <f t="shared" si="0"/>
        <v>0.93500000000000016</v>
      </c>
      <c r="J14" s="25">
        <v>0.93100000000000005</v>
      </c>
      <c r="K14" s="25">
        <v>0.93600000000000005</v>
      </c>
      <c r="L14" s="25">
        <v>0.94299999999999995</v>
      </c>
      <c r="M14" s="25">
        <v>0.94099999999999995</v>
      </c>
      <c r="N14" s="25">
        <v>0.93600000000000005</v>
      </c>
      <c r="O14" s="26">
        <f t="shared" si="1"/>
        <v>0.93740000000000001</v>
      </c>
      <c r="P14" s="25">
        <v>0.84899999999999998</v>
      </c>
      <c r="Q14" s="25">
        <v>0.88200000000000001</v>
      </c>
      <c r="R14" s="25">
        <v>0.90300000000000002</v>
      </c>
      <c r="S14" s="25">
        <v>0.79500000000000004</v>
      </c>
      <c r="T14" s="25">
        <v>0.76400000000000001</v>
      </c>
      <c r="U14" s="26">
        <f t="shared" si="2"/>
        <v>0.8385999999999999</v>
      </c>
      <c r="V14" s="25">
        <v>0.91800000000000004</v>
      </c>
      <c r="W14" s="25">
        <v>0.89900000000000002</v>
      </c>
      <c r="X14" s="25">
        <v>0.91700000000000004</v>
      </c>
      <c r="Y14" s="25">
        <v>0.88800000000000001</v>
      </c>
      <c r="Z14" s="25">
        <v>0.90600000000000003</v>
      </c>
      <c r="AA14" s="26">
        <f t="shared" si="3"/>
        <v>0.90559999999999996</v>
      </c>
      <c r="AB14" s="25">
        <v>0.91800000000000004</v>
      </c>
      <c r="AC14" s="25">
        <v>0.89900000000000002</v>
      </c>
      <c r="AD14" s="25">
        <v>0.91700000000000004</v>
      </c>
      <c r="AE14" s="25">
        <v>0.88800000000000001</v>
      </c>
      <c r="AF14" s="25">
        <v>0.90600000000000003</v>
      </c>
      <c r="AG14" s="26">
        <f t="shared" si="4"/>
        <v>0.90559999999999996</v>
      </c>
      <c r="AH14" s="25">
        <f t="shared" si="5"/>
        <v>0</v>
      </c>
      <c r="AI14" s="25">
        <f t="shared" si="6"/>
        <v>-3.180000000000005E-2</v>
      </c>
    </row>
    <row r="15" spans="1:35" x14ac:dyDescent="0.25">
      <c r="A15" s="24" t="s">
        <v>130</v>
      </c>
      <c r="B15" s="25" t="s">
        <v>127</v>
      </c>
      <c r="C15" s="25">
        <v>0.3</v>
      </c>
      <c r="D15" s="25">
        <v>0.94299999999999995</v>
      </c>
      <c r="E15" s="25">
        <v>0.92900000000000005</v>
      </c>
      <c r="F15" s="25">
        <v>0.92700000000000005</v>
      </c>
      <c r="G15" s="25">
        <v>0.94099999999999995</v>
      </c>
      <c r="H15" s="25">
        <v>0.94599999999999995</v>
      </c>
      <c r="I15" s="26">
        <f t="shared" si="0"/>
        <v>0.93720000000000003</v>
      </c>
      <c r="J15" s="25">
        <v>0.94099999999999995</v>
      </c>
      <c r="K15" s="25">
        <v>0.94299999999999995</v>
      </c>
      <c r="L15" s="25">
        <v>0.93700000000000006</v>
      </c>
      <c r="M15" s="25">
        <v>0.93799999999999994</v>
      </c>
      <c r="N15" s="25">
        <v>0.94099999999999995</v>
      </c>
      <c r="O15" s="26">
        <f t="shared" si="1"/>
        <v>0.93999999999999984</v>
      </c>
      <c r="P15" s="25">
        <v>0.877</v>
      </c>
      <c r="Q15" s="25">
        <v>0.877</v>
      </c>
      <c r="R15" s="25">
        <v>0.89600000000000002</v>
      </c>
      <c r="S15" s="25">
        <v>0.88600000000000001</v>
      </c>
      <c r="T15" s="25">
        <v>0.89600000000000002</v>
      </c>
      <c r="U15" s="26">
        <f t="shared" si="2"/>
        <v>0.88640000000000008</v>
      </c>
      <c r="V15" s="25">
        <v>0.88900000000000001</v>
      </c>
      <c r="W15" s="25">
        <v>0.90300000000000002</v>
      </c>
      <c r="X15" s="25">
        <v>0.89400000000000002</v>
      </c>
      <c r="Y15" s="25">
        <v>0.89600000000000002</v>
      </c>
      <c r="Z15" s="25">
        <v>0.91500000000000004</v>
      </c>
      <c r="AA15" s="26">
        <f t="shared" si="3"/>
        <v>0.89939999999999998</v>
      </c>
      <c r="AB15" s="25">
        <v>0.88900000000000001</v>
      </c>
      <c r="AC15" s="25">
        <v>0.90300000000000002</v>
      </c>
      <c r="AD15" s="25">
        <v>0.89400000000000002</v>
      </c>
      <c r="AE15" s="25">
        <v>0.89600000000000002</v>
      </c>
      <c r="AF15" s="25">
        <v>0.91500000000000004</v>
      </c>
      <c r="AG15" s="26">
        <f t="shared" si="4"/>
        <v>0.89939999999999998</v>
      </c>
      <c r="AH15" s="25">
        <f t="shared" si="5"/>
        <v>0</v>
      </c>
      <c r="AI15" s="25">
        <f t="shared" si="6"/>
        <v>-4.0599999999999858E-2</v>
      </c>
    </row>
    <row r="16" spans="1:35" x14ac:dyDescent="0.25">
      <c r="A16" s="24" t="s">
        <v>130</v>
      </c>
      <c r="B16" s="25" t="s">
        <v>127</v>
      </c>
      <c r="C16" s="25">
        <v>0.4</v>
      </c>
      <c r="D16" s="25">
        <v>0.90300000000000002</v>
      </c>
      <c r="E16" s="25">
        <v>0.93200000000000005</v>
      </c>
      <c r="F16" s="25">
        <v>0.90600000000000003</v>
      </c>
      <c r="G16" s="25">
        <v>0.84699999999999998</v>
      </c>
      <c r="H16" s="25">
        <v>0.92500000000000004</v>
      </c>
      <c r="I16" s="26">
        <f t="shared" si="0"/>
        <v>0.90259999999999996</v>
      </c>
      <c r="J16" s="25">
        <v>0.93200000000000005</v>
      </c>
      <c r="K16" s="25">
        <v>0.91800000000000004</v>
      </c>
      <c r="L16" s="25">
        <v>0.92</v>
      </c>
      <c r="M16" s="25">
        <v>0.91100000000000003</v>
      </c>
      <c r="N16" s="25">
        <v>0.94399999999999995</v>
      </c>
      <c r="O16" s="26">
        <f t="shared" si="1"/>
        <v>0.92500000000000004</v>
      </c>
      <c r="P16" s="25">
        <v>0.873</v>
      </c>
      <c r="Q16" s="25">
        <v>0.88700000000000001</v>
      </c>
      <c r="R16" s="25">
        <v>0.73399999999999999</v>
      </c>
      <c r="S16" s="25">
        <v>0.80900000000000005</v>
      </c>
      <c r="T16" s="25">
        <v>0.86299999999999999</v>
      </c>
      <c r="U16" s="26">
        <f t="shared" si="2"/>
        <v>0.83320000000000005</v>
      </c>
      <c r="V16" s="25">
        <v>0.91700000000000004</v>
      </c>
      <c r="W16" s="25">
        <v>0.84199999999999997</v>
      </c>
      <c r="X16" s="25">
        <v>0.85099999999999998</v>
      </c>
      <c r="Y16" s="25">
        <v>0.78300000000000003</v>
      </c>
      <c r="Z16" s="25">
        <v>0.89200000000000002</v>
      </c>
      <c r="AA16" s="26">
        <f t="shared" si="3"/>
        <v>0.85699999999999998</v>
      </c>
      <c r="AB16" s="25">
        <v>0.91700000000000004</v>
      </c>
      <c r="AC16" s="25">
        <v>0.84199999999999997</v>
      </c>
      <c r="AD16" s="25">
        <v>0.85099999999999998</v>
      </c>
      <c r="AE16" s="25">
        <v>0.78300000000000003</v>
      </c>
      <c r="AF16" s="25">
        <v>0.89200000000000002</v>
      </c>
      <c r="AG16" s="26">
        <f t="shared" si="4"/>
        <v>0.85699999999999998</v>
      </c>
      <c r="AH16" s="25">
        <f t="shared" si="5"/>
        <v>0</v>
      </c>
      <c r="AI16" s="25">
        <f t="shared" si="6"/>
        <v>-6.800000000000006E-2</v>
      </c>
    </row>
    <row r="17" spans="1:35" x14ac:dyDescent="0.25">
      <c r="A17" s="24" t="s">
        <v>130</v>
      </c>
      <c r="B17" s="25" t="s">
        <v>127</v>
      </c>
      <c r="C17" s="25">
        <v>0.5</v>
      </c>
      <c r="D17" s="25">
        <v>0.41099999999999998</v>
      </c>
      <c r="E17" s="25">
        <v>0.44400000000000001</v>
      </c>
      <c r="F17" s="25">
        <v>0.53300000000000003</v>
      </c>
      <c r="G17" s="25">
        <v>0.52400000000000002</v>
      </c>
      <c r="H17" s="25">
        <v>0.63400000000000001</v>
      </c>
      <c r="I17" s="26">
        <f t="shared" si="0"/>
        <v>0.50919999999999999</v>
      </c>
      <c r="J17" s="25">
        <v>0.39900000000000002</v>
      </c>
      <c r="K17" s="25">
        <v>0.46500000000000002</v>
      </c>
      <c r="L17" s="25">
        <v>0.61299999999999999</v>
      </c>
      <c r="M17" s="25">
        <v>0.50900000000000001</v>
      </c>
      <c r="N17" s="25">
        <v>0.69099999999999995</v>
      </c>
      <c r="O17" s="26">
        <f t="shared" si="1"/>
        <v>0.53539999999999999</v>
      </c>
      <c r="P17" s="25">
        <v>0.47599999999999998</v>
      </c>
      <c r="Q17" s="25">
        <v>0.51500000000000001</v>
      </c>
      <c r="R17" s="25">
        <v>0.57299999999999995</v>
      </c>
      <c r="S17" s="25">
        <v>0.52600000000000002</v>
      </c>
      <c r="T17" s="25">
        <v>0.56799999999999995</v>
      </c>
      <c r="U17" s="26">
        <f t="shared" si="2"/>
        <v>0.53159999999999996</v>
      </c>
      <c r="V17" s="25">
        <v>0.311</v>
      </c>
      <c r="W17" s="25">
        <v>0.46899999999999997</v>
      </c>
      <c r="X17" s="25">
        <v>0.45800000000000002</v>
      </c>
      <c r="Y17" s="25">
        <v>0.48799999999999999</v>
      </c>
      <c r="Z17" s="25">
        <v>0.68700000000000006</v>
      </c>
      <c r="AA17" s="26">
        <f t="shared" si="3"/>
        <v>0.48260000000000003</v>
      </c>
      <c r="AB17" s="25">
        <v>0.311</v>
      </c>
      <c r="AC17" s="25">
        <v>0.46899999999999997</v>
      </c>
      <c r="AD17" s="25">
        <v>0.45800000000000002</v>
      </c>
      <c r="AE17" s="25">
        <v>0.48799999999999999</v>
      </c>
      <c r="AF17" s="25">
        <v>0.68700000000000006</v>
      </c>
      <c r="AG17" s="26">
        <f t="shared" si="4"/>
        <v>0.48260000000000003</v>
      </c>
      <c r="AH17" s="25">
        <f t="shared" si="5"/>
        <v>0</v>
      </c>
      <c r="AI17" s="25">
        <f t="shared" si="6"/>
        <v>-5.2799999999999958E-2</v>
      </c>
    </row>
    <row r="18" spans="1:35" x14ac:dyDescent="0.25">
      <c r="A18" s="24" t="s">
        <v>130</v>
      </c>
      <c r="B18" s="25" t="s">
        <v>128</v>
      </c>
      <c r="C18" s="25">
        <v>0.2</v>
      </c>
      <c r="D18" s="25">
        <v>0.92400000000000004</v>
      </c>
      <c r="E18" s="25">
        <v>0.93899999999999995</v>
      </c>
      <c r="F18" s="25">
        <v>0.93400000000000005</v>
      </c>
      <c r="G18" s="25">
        <v>0.92500000000000004</v>
      </c>
      <c r="H18" s="25">
        <v>0.95</v>
      </c>
      <c r="I18" s="26">
        <f t="shared" si="0"/>
        <v>0.93440000000000012</v>
      </c>
      <c r="J18" s="25">
        <v>0.93600000000000005</v>
      </c>
      <c r="K18" s="25">
        <v>0.93899999999999995</v>
      </c>
      <c r="L18" s="25">
        <v>0.94399999999999995</v>
      </c>
      <c r="M18" s="25">
        <v>0.94599999999999995</v>
      </c>
      <c r="N18" s="25">
        <v>0.95099999999999996</v>
      </c>
      <c r="O18" s="26">
        <f t="shared" si="1"/>
        <v>0.94319999999999982</v>
      </c>
      <c r="P18" s="25">
        <v>0.82599999999999996</v>
      </c>
      <c r="Q18" s="25">
        <v>0.82399999999999995</v>
      </c>
      <c r="R18" s="25">
        <v>0.83</v>
      </c>
      <c r="S18" s="25">
        <v>0.85599999999999998</v>
      </c>
      <c r="T18" s="25">
        <v>0.81599999999999995</v>
      </c>
      <c r="U18" s="26">
        <f t="shared" si="2"/>
        <v>0.83040000000000003</v>
      </c>
      <c r="V18" s="25">
        <v>0.80900000000000005</v>
      </c>
      <c r="W18" s="25">
        <v>0.89900000000000002</v>
      </c>
      <c r="X18" s="25">
        <v>0.91</v>
      </c>
      <c r="Y18" s="25">
        <v>0.89100000000000001</v>
      </c>
      <c r="Z18" s="25">
        <v>0.86799999999999999</v>
      </c>
      <c r="AA18" s="26">
        <f t="shared" si="3"/>
        <v>0.87540000000000018</v>
      </c>
      <c r="AB18" s="25">
        <v>0.80900000000000005</v>
      </c>
      <c r="AC18" s="25">
        <v>0.89900000000000002</v>
      </c>
      <c r="AD18" s="25">
        <v>0.91</v>
      </c>
      <c r="AE18" s="25">
        <v>0.89100000000000001</v>
      </c>
      <c r="AF18" s="25">
        <v>0.86799999999999999</v>
      </c>
      <c r="AG18" s="26">
        <f t="shared" si="4"/>
        <v>0.87540000000000018</v>
      </c>
      <c r="AH18" s="25">
        <f t="shared" si="5"/>
        <v>0</v>
      </c>
      <c r="AI18" s="25">
        <f t="shared" si="6"/>
        <v>-6.7799999999999638E-2</v>
      </c>
    </row>
    <row r="19" spans="1:35" x14ac:dyDescent="0.25">
      <c r="A19" s="24" t="s">
        <v>130</v>
      </c>
      <c r="B19" s="25" t="s">
        <v>128</v>
      </c>
      <c r="C19" s="25">
        <v>0.3</v>
      </c>
      <c r="D19" s="25">
        <v>0.88900000000000001</v>
      </c>
      <c r="E19" s="25">
        <v>0.90300000000000002</v>
      </c>
      <c r="F19" s="25">
        <v>0.91700000000000004</v>
      </c>
      <c r="G19" s="25">
        <v>0.88900000000000001</v>
      </c>
      <c r="H19" s="25">
        <v>0.91300000000000003</v>
      </c>
      <c r="I19" s="26">
        <f t="shared" si="0"/>
        <v>0.9022</v>
      </c>
      <c r="J19" s="25">
        <v>0.90800000000000003</v>
      </c>
      <c r="K19" s="25">
        <v>0.89100000000000001</v>
      </c>
      <c r="L19" s="25">
        <v>0.92500000000000004</v>
      </c>
      <c r="M19" s="25">
        <v>0.94599999999999995</v>
      </c>
      <c r="N19" s="25">
        <v>0.92700000000000005</v>
      </c>
      <c r="O19" s="26">
        <f t="shared" si="1"/>
        <v>0.91939999999999988</v>
      </c>
      <c r="P19" s="25">
        <v>0.85099999999999998</v>
      </c>
      <c r="Q19" s="25">
        <v>0.84899999999999998</v>
      </c>
      <c r="R19" s="25">
        <v>0.88200000000000001</v>
      </c>
      <c r="S19" s="25">
        <v>0.84699999999999998</v>
      </c>
      <c r="T19" s="25">
        <v>0.81599999999999995</v>
      </c>
      <c r="U19" s="26">
        <f t="shared" si="2"/>
        <v>0.84899999999999998</v>
      </c>
      <c r="V19" s="25">
        <v>0.86599999999999999</v>
      </c>
      <c r="W19" s="25">
        <v>0.82599999999999996</v>
      </c>
      <c r="X19" s="25">
        <v>0.89900000000000002</v>
      </c>
      <c r="Y19" s="25">
        <v>0.90600000000000003</v>
      </c>
      <c r="Z19" s="25">
        <v>0.875</v>
      </c>
      <c r="AA19" s="26">
        <f t="shared" si="3"/>
        <v>0.87439999999999996</v>
      </c>
      <c r="AB19" s="25">
        <v>0.86599999999999999</v>
      </c>
      <c r="AC19" s="25">
        <v>0.82599999999999996</v>
      </c>
      <c r="AD19" s="25">
        <v>0.89900000000000002</v>
      </c>
      <c r="AE19" s="25">
        <v>0.90600000000000003</v>
      </c>
      <c r="AF19" s="25">
        <v>0.875</v>
      </c>
      <c r="AG19" s="26">
        <f t="shared" si="4"/>
        <v>0.87439999999999996</v>
      </c>
      <c r="AH19" s="25">
        <f t="shared" si="5"/>
        <v>0</v>
      </c>
      <c r="AI19" s="25">
        <f t="shared" si="6"/>
        <v>-4.4999999999999929E-2</v>
      </c>
    </row>
    <row r="20" spans="1:35" x14ac:dyDescent="0.25">
      <c r="A20" s="24" t="s">
        <v>130</v>
      </c>
      <c r="B20" s="25" t="s">
        <v>128</v>
      </c>
      <c r="C20" s="25">
        <v>0.4</v>
      </c>
      <c r="D20" s="25">
        <v>0.78100000000000003</v>
      </c>
      <c r="E20" s="25">
        <v>0.81200000000000006</v>
      </c>
      <c r="F20" s="25">
        <v>0.77300000000000002</v>
      </c>
      <c r="G20" s="25">
        <v>0.78600000000000003</v>
      </c>
      <c r="H20" s="25">
        <v>0.76600000000000001</v>
      </c>
      <c r="I20" s="26">
        <f t="shared" si="0"/>
        <v>0.78360000000000007</v>
      </c>
      <c r="J20" s="25">
        <v>0.84</v>
      </c>
      <c r="K20" s="25">
        <v>0.89200000000000002</v>
      </c>
      <c r="L20" s="25">
        <v>0.85399999999999998</v>
      </c>
      <c r="M20" s="25">
        <v>0.878</v>
      </c>
      <c r="N20" s="25">
        <v>0.80600000000000005</v>
      </c>
      <c r="O20" s="26">
        <f t="shared" si="1"/>
        <v>0.85399999999999987</v>
      </c>
      <c r="P20" s="25">
        <v>0.84399999999999997</v>
      </c>
      <c r="Q20" s="25">
        <v>0.73599999999999999</v>
      </c>
      <c r="R20" s="25">
        <v>0.78</v>
      </c>
      <c r="S20" s="25">
        <v>0.78300000000000003</v>
      </c>
      <c r="T20" s="25">
        <v>0.748</v>
      </c>
      <c r="U20" s="26">
        <f t="shared" si="2"/>
        <v>0.7782</v>
      </c>
      <c r="V20" s="25">
        <v>0.85199999999999998</v>
      </c>
      <c r="W20" s="25">
        <v>0.85099999999999998</v>
      </c>
      <c r="X20" s="25">
        <v>0.81799999999999995</v>
      </c>
      <c r="Y20" s="25">
        <v>0.83299999999999996</v>
      </c>
      <c r="Z20" s="25">
        <v>0.80700000000000005</v>
      </c>
      <c r="AA20" s="26">
        <f t="shared" si="3"/>
        <v>0.83220000000000005</v>
      </c>
      <c r="AB20" s="25">
        <v>0.85199999999999998</v>
      </c>
      <c r="AC20" s="25">
        <v>0.85099999999999998</v>
      </c>
      <c r="AD20" s="25">
        <v>0.81799999999999995</v>
      </c>
      <c r="AE20" s="25">
        <v>0.83299999999999996</v>
      </c>
      <c r="AF20" s="25">
        <v>0.80700000000000005</v>
      </c>
      <c r="AG20" s="26">
        <f t="shared" si="4"/>
        <v>0.83220000000000005</v>
      </c>
      <c r="AH20" s="25">
        <f t="shared" si="5"/>
        <v>0</v>
      </c>
      <c r="AI20" s="25">
        <f t="shared" si="6"/>
        <v>-2.179999999999982E-2</v>
      </c>
    </row>
    <row r="21" spans="1:35" x14ac:dyDescent="0.25">
      <c r="A21" s="24" t="s">
        <v>130</v>
      </c>
      <c r="B21" s="25" t="s">
        <v>128</v>
      </c>
      <c r="C21" s="25">
        <v>0.5</v>
      </c>
      <c r="D21" s="25">
        <v>0.34599999999999997</v>
      </c>
      <c r="E21" s="25">
        <v>0.50900000000000001</v>
      </c>
      <c r="F21" s="25">
        <v>0.41199999999999998</v>
      </c>
      <c r="G21" s="25">
        <v>0.55100000000000005</v>
      </c>
      <c r="H21" s="25">
        <v>0.56499999999999995</v>
      </c>
      <c r="I21" s="26">
        <f t="shared" si="0"/>
        <v>0.47660000000000002</v>
      </c>
      <c r="J21" s="25">
        <v>0.51</v>
      </c>
      <c r="K21" s="25">
        <v>0.56899999999999995</v>
      </c>
      <c r="L21" s="25">
        <v>0.439</v>
      </c>
      <c r="M21" s="25">
        <v>0.53700000000000003</v>
      </c>
      <c r="N21" s="25">
        <v>0.52100000000000002</v>
      </c>
      <c r="O21" s="26">
        <f t="shared" si="1"/>
        <v>0.51519999999999999</v>
      </c>
      <c r="P21" s="25">
        <v>0.33400000000000002</v>
      </c>
      <c r="Q21" s="25">
        <v>0.53300000000000003</v>
      </c>
      <c r="R21" s="25">
        <v>0.42599999999999999</v>
      </c>
      <c r="S21" s="25">
        <v>0.47199999999999998</v>
      </c>
      <c r="T21" s="25">
        <v>0.53</v>
      </c>
      <c r="U21" s="26">
        <f t="shared" si="2"/>
        <v>0.45899999999999996</v>
      </c>
      <c r="V21" s="25">
        <v>0.49099999999999999</v>
      </c>
      <c r="W21" s="25">
        <v>0.56999999999999995</v>
      </c>
      <c r="X21" s="25">
        <v>0.51600000000000001</v>
      </c>
      <c r="Y21" s="25">
        <v>0.46200000000000002</v>
      </c>
      <c r="Z21" s="25">
        <v>0.61299999999999999</v>
      </c>
      <c r="AA21" s="26">
        <f t="shared" si="3"/>
        <v>0.53039999999999998</v>
      </c>
      <c r="AB21" s="25">
        <v>0.49099999999999999</v>
      </c>
      <c r="AC21" s="25">
        <v>0.56999999999999995</v>
      </c>
      <c r="AD21" s="25">
        <v>0.51600000000000001</v>
      </c>
      <c r="AE21" s="25">
        <v>0.46200000000000002</v>
      </c>
      <c r="AF21" s="25">
        <v>0.61299999999999999</v>
      </c>
      <c r="AG21" s="26">
        <f t="shared" si="4"/>
        <v>0.53039999999999998</v>
      </c>
      <c r="AH21" s="25">
        <f t="shared" si="5"/>
        <v>0</v>
      </c>
      <c r="AI21" s="25">
        <f t="shared" si="6"/>
        <v>1.5199999999999991E-2</v>
      </c>
    </row>
    <row r="22" spans="1:35" x14ac:dyDescent="0.25">
      <c r="A22" s="24" t="s">
        <v>132</v>
      </c>
      <c r="B22" s="25" t="s">
        <v>124</v>
      </c>
      <c r="C22" s="25">
        <v>0</v>
      </c>
      <c r="D22" s="25">
        <v>0.95099999999999996</v>
      </c>
      <c r="E22" s="25">
        <v>0.95299999999999996</v>
      </c>
      <c r="F22" s="25">
        <v>0.93700000000000006</v>
      </c>
      <c r="G22" s="25">
        <v>0.94899999999999995</v>
      </c>
      <c r="H22" s="25">
        <v>0.95799999999999996</v>
      </c>
      <c r="I22" s="26">
        <f t="shared" si="0"/>
        <v>0.9496</v>
      </c>
      <c r="J22" s="25">
        <v>0.96299999999999997</v>
      </c>
      <c r="K22" s="25">
        <v>0.96099999999999997</v>
      </c>
      <c r="L22" s="25">
        <v>0.95799999999999996</v>
      </c>
      <c r="M22" s="25">
        <v>0.95399999999999996</v>
      </c>
      <c r="N22" s="25">
        <v>0.95599999999999996</v>
      </c>
      <c r="O22" s="26">
        <f t="shared" si="1"/>
        <v>0.95839999999999992</v>
      </c>
      <c r="P22" s="25">
        <v>0.94699999999999995</v>
      </c>
      <c r="Q22" s="25">
        <v>0.94599999999999995</v>
      </c>
      <c r="R22" s="25">
        <v>0.94199999999999995</v>
      </c>
      <c r="S22" s="25">
        <v>0.94199999999999995</v>
      </c>
      <c r="T22" s="25">
        <v>0.95299999999999996</v>
      </c>
      <c r="U22" s="26">
        <f t="shared" si="2"/>
        <v>0.94600000000000006</v>
      </c>
      <c r="V22" s="25">
        <v>0.94199999999999995</v>
      </c>
      <c r="W22" s="25">
        <v>0.94</v>
      </c>
      <c r="X22" s="25">
        <v>0.94499999999999995</v>
      </c>
      <c r="Y22" s="25">
        <v>0.94599999999999995</v>
      </c>
      <c r="Z22" s="25">
        <v>0.94699999999999995</v>
      </c>
      <c r="AA22" s="26">
        <f t="shared" si="3"/>
        <v>0.94399999999999995</v>
      </c>
      <c r="AB22" s="25">
        <v>0.94199999999999995</v>
      </c>
      <c r="AC22" s="25">
        <v>0.94</v>
      </c>
      <c r="AD22" s="25">
        <v>0.94499999999999995</v>
      </c>
      <c r="AE22" s="25">
        <v>0.94599999999999995</v>
      </c>
      <c r="AF22" s="25">
        <v>0.94699999999999995</v>
      </c>
      <c r="AG22" s="26">
        <f t="shared" si="4"/>
        <v>0.94399999999999995</v>
      </c>
      <c r="AH22" s="25">
        <f t="shared" si="5"/>
        <v>0</v>
      </c>
      <c r="AI22" s="25">
        <f t="shared" si="6"/>
        <v>-1.4399999999999968E-2</v>
      </c>
    </row>
    <row r="23" spans="1:35" x14ac:dyDescent="0.25">
      <c r="A23" s="24" t="s">
        <v>132</v>
      </c>
      <c r="B23" s="25" t="s">
        <v>125</v>
      </c>
      <c r="C23" s="25">
        <v>0.2</v>
      </c>
      <c r="D23" s="25">
        <v>0.83</v>
      </c>
      <c r="E23" s="25">
        <v>0.84399999999999997</v>
      </c>
      <c r="F23" s="25">
        <v>0.84699999999999998</v>
      </c>
      <c r="G23" s="25">
        <v>0.84899999999999998</v>
      </c>
      <c r="H23" s="25">
        <v>0.85799999999999998</v>
      </c>
      <c r="I23" s="26">
        <f t="shared" si="0"/>
        <v>0.84559999999999991</v>
      </c>
      <c r="J23" s="25">
        <v>0.89800000000000002</v>
      </c>
      <c r="K23" s="25">
        <v>0.92100000000000004</v>
      </c>
      <c r="L23" s="25">
        <v>0.90500000000000003</v>
      </c>
      <c r="M23" s="25">
        <v>0.91200000000000003</v>
      </c>
      <c r="N23" s="25">
        <v>0.91</v>
      </c>
      <c r="O23" s="26">
        <f t="shared" si="1"/>
        <v>0.90920000000000001</v>
      </c>
      <c r="P23" s="25">
        <v>0.94699999999999995</v>
      </c>
      <c r="Q23" s="25">
        <v>0.94599999999999995</v>
      </c>
      <c r="R23" s="25">
        <v>0.94199999999999995</v>
      </c>
      <c r="S23" s="25">
        <v>0.94199999999999995</v>
      </c>
      <c r="T23" s="25">
        <v>0.95299999999999996</v>
      </c>
      <c r="U23" s="26">
        <f t="shared" si="2"/>
        <v>0.94600000000000006</v>
      </c>
      <c r="V23" s="25">
        <v>0.94199999999999995</v>
      </c>
      <c r="W23" s="25">
        <v>0.94</v>
      </c>
      <c r="X23" s="25">
        <v>0.94499999999999995</v>
      </c>
      <c r="Y23" s="25">
        <v>0.94599999999999995</v>
      </c>
      <c r="Z23" s="25">
        <v>0.94699999999999995</v>
      </c>
      <c r="AA23" s="26">
        <f t="shared" si="3"/>
        <v>0.94399999999999995</v>
      </c>
      <c r="AB23" s="25">
        <v>0.94199999999999995</v>
      </c>
      <c r="AC23" s="25">
        <v>0.94</v>
      </c>
      <c r="AD23" s="25">
        <v>0.94499999999999995</v>
      </c>
      <c r="AE23" s="25">
        <v>0.94599999999999995</v>
      </c>
      <c r="AF23" s="25">
        <v>0.94699999999999995</v>
      </c>
      <c r="AG23" s="26">
        <f t="shared" si="4"/>
        <v>0.94399999999999995</v>
      </c>
      <c r="AH23" s="25">
        <f t="shared" si="5"/>
        <v>0</v>
      </c>
      <c r="AI23" s="25">
        <f t="shared" si="6"/>
        <v>3.4799999999999942E-2</v>
      </c>
    </row>
    <row r="24" spans="1:35" x14ac:dyDescent="0.25">
      <c r="A24" s="24" t="s">
        <v>132</v>
      </c>
      <c r="B24" s="25" t="s">
        <v>125</v>
      </c>
      <c r="C24" s="25">
        <v>0.3</v>
      </c>
      <c r="D24" s="25">
        <v>0.75800000000000001</v>
      </c>
      <c r="E24" s="25">
        <v>0.81499999999999995</v>
      </c>
      <c r="F24" s="25">
        <v>0.72899999999999998</v>
      </c>
      <c r="G24" s="25">
        <v>0.77300000000000002</v>
      </c>
      <c r="H24" s="25">
        <v>0.79400000000000004</v>
      </c>
      <c r="I24" s="26">
        <f t="shared" si="0"/>
        <v>0.77380000000000004</v>
      </c>
      <c r="J24" s="25">
        <v>0.88900000000000001</v>
      </c>
      <c r="K24" s="25">
        <v>0.85099999999999998</v>
      </c>
      <c r="L24" s="25">
        <v>0.86099999999999999</v>
      </c>
      <c r="M24" s="25">
        <v>0.83799999999999997</v>
      </c>
      <c r="N24" s="25">
        <v>0.88400000000000001</v>
      </c>
      <c r="O24" s="26">
        <f t="shared" si="1"/>
        <v>0.86460000000000004</v>
      </c>
      <c r="P24" s="25">
        <v>0.71</v>
      </c>
      <c r="Q24" s="25">
        <v>0.67</v>
      </c>
      <c r="R24" s="25">
        <v>0.71499999999999997</v>
      </c>
      <c r="S24" s="25">
        <v>0.61399999999999999</v>
      </c>
      <c r="T24" s="25">
        <v>0.73799999999999999</v>
      </c>
      <c r="U24" s="26">
        <f t="shared" si="2"/>
        <v>0.6893999999999999</v>
      </c>
      <c r="V24" s="25">
        <v>0.75600000000000001</v>
      </c>
      <c r="W24" s="25">
        <v>0.81899999999999995</v>
      </c>
      <c r="X24" s="25">
        <v>0.78400000000000003</v>
      </c>
      <c r="Y24" s="25">
        <v>0.78400000000000003</v>
      </c>
      <c r="Z24" s="25">
        <v>0.83299999999999996</v>
      </c>
      <c r="AA24" s="26">
        <f t="shared" si="3"/>
        <v>0.79520000000000002</v>
      </c>
      <c r="AB24" s="25">
        <v>0.75600000000000001</v>
      </c>
      <c r="AC24" s="25">
        <v>0.81899999999999995</v>
      </c>
      <c r="AD24" s="25">
        <v>0.78400000000000003</v>
      </c>
      <c r="AE24" s="25">
        <v>0.78400000000000003</v>
      </c>
      <c r="AF24" s="25">
        <v>0.83299999999999996</v>
      </c>
      <c r="AG24" s="26">
        <f t="shared" si="4"/>
        <v>0.79520000000000002</v>
      </c>
      <c r="AH24" s="25">
        <f t="shared" si="5"/>
        <v>0</v>
      </c>
      <c r="AI24" s="25">
        <f t="shared" si="6"/>
        <v>-6.9400000000000017E-2</v>
      </c>
    </row>
    <row r="25" spans="1:35" x14ac:dyDescent="0.25">
      <c r="A25" s="24" t="s">
        <v>132</v>
      </c>
      <c r="B25" s="25" t="s">
        <v>125</v>
      </c>
      <c r="C25" s="25">
        <v>0.4</v>
      </c>
      <c r="D25" s="25">
        <v>0.64900000000000002</v>
      </c>
      <c r="E25" s="25">
        <v>0.64500000000000002</v>
      </c>
      <c r="F25" s="25">
        <v>0.65500000000000003</v>
      </c>
      <c r="G25" s="25">
        <v>0.68899999999999995</v>
      </c>
      <c r="H25" s="25">
        <v>0.60399999999999998</v>
      </c>
      <c r="I25" s="26">
        <f t="shared" si="0"/>
        <v>0.64839999999999998</v>
      </c>
      <c r="J25" s="25">
        <v>0.76100000000000001</v>
      </c>
      <c r="K25" s="25">
        <v>0.73299999999999998</v>
      </c>
      <c r="L25" s="25">
        <v>0.81</v>
      </c>
      <c r="M25" s="25">
        <v>0.77900000000000003</v>
      </c>
      <c r="N25" s="25">
        <v>0.76600000000000001</v>
      </c>
      <c r="O25" s="26">
        <f t="shared" si="1"/>
        <v>0.76980000000000004</v>
      </c>
      <c r="P25" s="25">
        <v>0.60499999999999998</v>
      </c>
      <c r="Q25" s="25">
        <v>0.60499999999999998</v>
      </c>
      <c r="R25" s="25">
        <v>0.63100000000000001</v>
      </c>
      <c r="S25" s="25">
        <v>0.61899999999999999</v>
      </c>
      <c r="T25" s="25">
        <v>0.53800000000000003</v>
      </c>
      <c r="U25" s="26">
        <f t="shared" si="2"/>
        <v>0.59960000000000002</v>
      </c>
      <c r="V25" s="25">
        <v>0.71899999999999997</v>
      </c>
      <c r="W25" s="25">
        <v>0.72099999999999997</v>
      </c>
      <c r="X25" s="25">
        <v>0.72199999999999998</v>
      </c>
      <c r="Y25" s="25">
        <v>0.78200000000000003</v>
      </c>
      <c r="Z25" s="25">
        <v>0.75</v>
      </c>
      <c r="AA25" s="26">
        <f t="shared" si="3"/>
        <v>0.73880000000000001</v>
      </c>
      <c r="AB25" s="25">
        <v>0.71899999999999997</v>
      </c>
      <c r="AC25" s="25">
        <v>0.72099999999999997</v>
      </c>
      <c r="AD25" s="25">
        <v>0.72199999999999998</v>
      </c>
      <c r="AE25" s="25">
        <v>0.78200000000000003</v>
      </c>
      <c r="AF25" s="25">
        <v>0.75</v>
      </c>
      <c r="AG25" s="26">
        <f t="shared" si="4"/>
        <v>0.73880000000000001</v>
      </c>
      <c r="AH25" s="25">
        <f t="shared" si="5"/>
        <v>0</v>
      </c>
      <c r="AI25" s="25">
        <f t="shared" si="6"/>
        <v>-3.1000000000000028E-2</v>
      </c>
    </row>
    <row r="26" spans="1:35" x14ac:dyDescent="0.25">
      <c r="A26" s="24" t="s">
        <v>132</v>
      </c>
      <c r="B26" s="25" t="s">
        <v>125</v>
      </c>
      <c r="C26" s="25">
        <v>0.5</v>
      </c>
      <c r="D26" s="25">
        <v>0.52700000000000002</v>
      </c>
      <c r="E26" s="25">
        <v>0.54100000000000004</v>
      </c>
      <c r="F26" s="25">
        <v>0.497</v>
      </c>
      <c r="G26" s="25">
        <v>0.47499999999999998</v>
      </c>
      <c r="H26" s="25">
        <v>0.48699999999999999</v>
      </c>
      <c r="I26" s="26">
        <f t="shared" si="0"/>
        <v>0.50540000000000007</v>
      </c>
      <c r="J26" s="25">
        <v>0.54700000000000004</v>
      </c>
      <c r="K26" s="25">
        <v>0.501</v>
      </c>
      <c r="L26" s="25">
        <v>0.52</v>
      </c>
      <c r="M26" s="25">
        <v>0.50600000000000001</v>
      </c>
      <c r="N26" s="25">
        <v>0.53900000000000003</v>
      </c>
      <c r="O26" s="26">
        <f t="shared" si="1"/>
        <v>0.52259999999999995</v>
      </c>
      <c r="P26" s="25">
        <v>0.53200000000000003</v>
      </c>
      <c r="Q26" s="25">
        <v>0.51900000000000002</v>
      </c>
      <c r="R26" s="25">
        <v>0.53400000000000003</v>
      </c>
      <c r="S26" s="25">
        <v>0.48699999999999999</v>
      </c>
      <c r="T26" s="25">
        <v>0.46400000000000002</v>
      </c>
      <c r="U26" s="26">
        <f t="shared" si="2"/>
        <v>0.50719999999999998</v>
      </c>
      <c r="V26" s="25">
        <v>0.56999999999999995</v>
      </c>
      <c r="W26" s="25">
        <v>0.48</v>
      </c>
      <c r="X26" s="25">
        <v>0.48899999999999999</v>
      </c>
      <c r="Y26" s="25">
        <v>0.47299999999999998</v>
      </c>
      <c r="Z26" s="25">
        <v>0.504</v>
      </c>
      <c r="AA26" s="26">
        <f t="shared" si="3"/>
        <v>0.50319999999999987</v>
      </c>
      <c r="AB26" s="25">
        <v>0.56999999999999995</v>
      </c>
      <c r="AC26" s="25">
        <v>0.48</v>
      </c>
      <c r="AD26" s="25">
        <v>0.48899999999999999</v>
      </c>
      <c r="AE26" s="25">
        <v>0.47299999999999998</v>
      </c>
      <c r="AF26" s="25">
        <v>0.504</v>
      </c>
      <c r="AG26" s="26">
        <f t="shared" si="4"/>
        <v>0.50319999999999987</v>
      </c>
      <c r="AH26" s="25">
        <f t="shared" si="5"/>
        <v>0</v>
      </c>
      <c r="AI26" s="25">
        <f t="shared" si="6"/>
        <v>-1.9400000000000084E-2</v>
      </c>
    </row>
    <row r="27" spans="1:35" x14ac:dyDescent="0.25">
      <c r="A27" s="24" t="s">
        <v>132</v>
      </c>
      <c r="B27" s="25" t="s">
        <v>126</v>
      </c>
      <c r="C27" s="25">
        <v>0.2</v>
      </c>
      <c r="D27" s="25">
        <v>0.875</v>
      </c>
      <c r="E27" s="25">
        <v>0.88400000000000001</v>
      </c>
      <c r="F27" s="25">
        <v>0.86799999999999999</v>
      </c>
      <c r="G27" s="25">
        <v>0.88400000000000001</v>
      </c>
      <c r="H27" s="25">
        <v>0.89800000000000002</v>
      </c>
      <c r="I27" s="26">
        <f t="shared" si="0"/>
        <v>0.88179999999999992</v>
      </c>
      <c r="J27" s="25">
        <v>0.90300000000000002</v>
      </c>
      <c r="K27" s="25">
        <v>0.89500000000000002</v>
      </c>
      <c r="L27" s="25">
        <v>0.88200000000000001</v>
      </c>
      <c r="M27" s="25">
        <v>0.90900000000000003</v>
      </c>
      <c r="N27" s="25">
        <v>0.90500000000000003</v>
      </c>
      <c r="O27" s="26">
        <f t="shared" si="1"/>
        <v>0.89880000000000015</v>
      </c>
      <c r="P27" s="25"/>
      <c r="Q27" s="25"/>
      <c r="R27" s="25"/>
      <c r="S27" s="25"/>
      <c r="T27" s="25"/>
      <c r="U27" s="26" t="str">
        <f t="shared" si="2"/>
        <v/>
      </c>
      <c r="V27" s="25"/>
      <c r="W27" s="25"/>
      <c r="X27" s="25"/>
      <c r="Y27" s="25"/>
      <c r="Z27" s="25"/>
      <c r="AA27" s="26" t="str">
        <f t="shared" si="3"/>
        <v/>
      </c>
      <c r="AB27" s="25">
        <v>0.90500000000000003</v>
      </c>
      <c r="AC27" s="25">
        <v>0.91</v>
      </c>
      <c r="AD27" s="25">
        <v>0.9</v>
      </c>
      <c r="AE27" s="25">
        <v>0.90700000000000003</v>
      </c>
      <c r="AF27" s="25">
        <v>0.91</v>
      </c>
      <c r="AG27" s="26">
        <f t="shared" si="4"/>
        <v>0.90639999999999998</v>
      </c>
      <c r="AH27" s="25" t="str">
        <f t="shared" si="5"/>
        <v/>
      </c>
      <c r="AI27" s="25">
        <f t="shared" si="6"/>
        <v>7.5999999999998291E-3</v>
      </c>
    </row>
    <row r="28" spans="1:35" x14ac:dyDescent="0.25">
      <c r="A28" s="24" t="s">
        <v>132</v>
      </c>
      <c r="B28" s="25" t="s">
        <v>126</v>
      </c>
      <c r="C28" s="25">
        <v>0.3</v>
      </c>
      <c r="D28" s="25">
        <v>0.84699999999999998</v>
      </c>
      <c r="E28" s="25">
        <v>0.85899999999999999</v>
      </c>
      <c r="F28" s="25">
        <v>0.84699999999999998</v>
      </c>
      <c r="G28" s="25">
        <v>0.81699999999999995</v>
      </c>
      <c r="H28" s="25">
        <v>0.86099999999999999</v>
      </c>
      <c r="I28" s="26">
        <f t="shared" si="0"/>
        <v>0.84619999999999995</v>
      </c>
      <c r="J28" s="25">
        <v>0.86499999999999999</v>
      </c>
      <c r="K28" s="25">
        <v>0.86799999999999999</v>
      </c>
      <c r="L28" s="25">
        <v>0.879</v>
      </c>
      <c r="M28" s="25">
        <v>0.86099999999999999</v>
      </c>
      <c r="N28" s="25">
        <v>0.85799999999999998</v>
      </c>
      <c r="O28" s="26">
        <f t="shared" si="1"/>
        <v>0.86619999999999986</v>
      </c>
      <c r="P28" s="25"/>
      <c r="Q28" s="25"/>
      <c r="R28" s="25"/>
      <c r="S28" s="25"/>
      <c r="T28" s="25"/>
      <c r="U28" s="26" t="str">
        <f t="shared" si="2"/>
        <v/>
      </c>
      <c r="V28" s="25"/>
      <c r="W28" s="25"/>
      <c r="X28" s="25"/>
      <c r="Y28" s="25"/>
      <c r="Z28" s="25"/>
      <c r="AA28" s="26" t="str">
        <f t="shared" si="3"/>
        <v/>
      </c>
      <c r="AB28" s="25">
        <v>0.90500000000000003</v>
      </c>
      <c r="AC28" s="25">
        <v>0.90900000000000003</v>
      </c>
      <c r="AD28" s="25">
        <v>0.90300000000000002</v>
      </c>
      <c r="AE28" s="25">
        <v>0.91200000000000003</v>
      </c>
      <c r="AF28" s="25">
        <v>0.91200000000000003</v>
      </c>
      <c r="AG28" s="26">
        <f t="shared" si="4"/>
        <v>0.90820000000000012</v>
      </c>
      <c r="AH28" s="25" t="str">
        <f t="shared" si="5"/>
        <v/>
      </c>
      <c r="AI28" s="25">
        <f t="shared" si="6"/>
        <v>4.2000000000000259E-2</v>
      </c>
    </row>
    <row r="29" spans="1:35" x14ac:dyDescent="0.25">
      <c r="A29" s="24" t="s">
        <v>132</v>
      </c>
      <c r="B29" s="25" t="s">
        <v>126</v>
      </c>
      <c r="C29" s="25">
        <v>0.4</v>
      </c>
      <c r="D29" s="25">
        <v>0.82199999999999995</v>
      </c>
      <c r="E29" s="25">
        <v>0.81699999999999995</v>
      </c>
      <c r="F29" s="25">
        <v>0.82199999999999995</v>
      </c>
      <c r="G29" s="25">
        <v>0.78400000000000003</v>
      </c>
      <c r="H29" s="25">
        <v>0.80500000000000005</v>
      </c>
      <c r="I29" s="26">
        <f t="shared" si="0"/>
        <v>0.80999999999999994</v>
      </c>
      <c r="J29" s="25">
        <v>0.82399999999999995</v>
      </c>
      <c r="K29" s="25">
        <v>0.82899999999999996</v>
      </c>
      <c r="L29" s="25">
        <v>0.80300000000000005</v>
      </c>
      <c r="M29" s="25">
        <v>0.82299999999999995</v>
      </c>
      <c r="N29" s="25">
        <v>0.81899999999999995</v>
      </c>
      <c r="O29" s="26">
        <f t="shared" si="1"/>
        <v>0.8196</v>
      </c>
      <c r="P29" s="25"/>
      <c r="Q29" s="25"/>
      <c r="R29" s="25"/>
      <c r="S29" s="25"/>
      <c r="T29" s="25"/>
      <c r="U29" s="26" t="str">
        <f t="shared" si="2"/>
        <v/>
      </c>
      <c r="V29" s="25"/>
      <c r="W29" s="25"/>
      <c r="X29" s="25"/>
      <c r="Y29" s="25"/>
      <c r="Z29" s="25"/>
      <c r="AA29" s="26" t="str">
        <f t="shared" si="3"/>
        <v/>
      </c>
      <c r="AB29" s="25">
        <v>0.91</v>
      </c>
      <c r="AC29" s="25">
        <v>0.90500000000000003</v>
      </c>
      <c r="AD29" s="25">
        <v>0.9</v>
      </c>
      <c r="AE29" s="25">
        <v>0.90700000000000003</v>
      </c>
      <c r="AF29" s="25">
        <v>0.90900000000000003</v>
      </c>
      <c r="AG29" s="26">
        <f t="shared" si="4"/>
        <v>0.90619999999999989</v>
      </c>
      <c r="AH29" s="25" t="str">
        <f t="shared" si="5"/>
        <v/>
      </c>
      <c r="AI29" s="25">
        <f t="shared" si="6"/>
        <v>8.6599999999999899E-2</v>
      </c>
    </row>
    <row r="30" spans="1:35" x14ac:dyDescent="0.25">
      <c r="A30" s="24" t="s">
        <v>132</v>
      </c>
      <c r="B30" s="25" t="s">
        <v>126</v>
      </c>
      <c r="C30" s="25">
        <v>0.5</v>
      </c>
      <c r="D30" s="25">
        <v>0.749</v>
      </c>
      <c r="E30" s="25">
        <v>0.73499999999999999</v>
      </c>
      <c r="F30" s="25">
        <v>0.749</v>
      </c>
      <c r="G30" s="25">
        <v>0.75900000000000001</v>
      </c>
      <c r="H30" s="25">
        <v>0.754</v>
      </c>
      <c r="I30" s="26">
        <f t="shared" si="0"/>
        <v>0.74919999999999998</v>
      </c>
      <c r="J30" s="25">
        <v>0.77200000000000002</v>
      </c>
      <c r="K30" s="25">
        <v>0.78400000000000003</v>
      </c>
      <c r="L30" s="25">
        <v>0.747</v>
      </c>
      <c r="M30" s="25">
        <v>0.77200000000000002</v>
      </c>
      <c r="N30" s="25">
        <v>0.75700000000000001</v>
      </c>
      <c r="O30" s="26">
        <f t="shared" si="1"/>
        <v>0.76640000000000008</v>
      </c>
      <c r="P30" s="25"/>
      <c r="Q30" s="25"/>
      <c r="R30" s="25"/>
      <c r="S30" s="25"/>
      <c r="T30" s="25"/>
      <c r="U30" s="26" t="str">
        <f t="shared" si="2"/>
        <v/>
      </c>
      <c r="V30" s="25"/>
      <c r="W30" s="25"/>
      <c r="X30" s="25"/>
      <c r="Y30" s="25"/>
      <c r="Z30" s="25"/>
      <c r="AA30" s="26" t="str">
        <f t="shared" si="3"/>
        <v/>
      </c>
      <c r="AB30" s="25">
        <v>0.90300000000000002</v>
      </c>
      <c r="AC30" s="25">
        <v>0.89800000000000002</v>
      </c>
      <c r="AD30" s="25">
        <v>0.9</v>
      </c>
      <c r="AE30" s="25">
        <v>0.90300000000000002</v>
      </c>
      <c r="AF30" s="25">
        <v>0.91</v>
      </c>
      <c r="AG30" s="26">
        <f t="shared" si="4"/>
        <v>0.90280000000000005</v>
      </c>
      <c r="AH30" s="25" t="str">
        <f t="shared" si="5"/>
        <v/>
      </c>
      <c r="AI30" s="25">
        <f t="shared" si="6"/>
        <v>0.13639999999999997</v>
      </c>
    </row>
    <row r="31" spans="1:35" x14ac:dyDescent="0.25">
      <c r="A31" s="24" t="s">
        <v>132</v>
      </c>
      <c r="B31" s="25" t="s">
        <v>127</v>
      </c>
      <c r="C31" s="25">
        <v>0.2</v>
      </c>
      <c r="D31" s="25">
        <v>0.85399999999999998</v>
      </c>
      <c r="E31" s="25">
        <v>0.83499999999999996</v>
      </c>
      <c r="F31" s="25">
        <v>0.873</v>
      </c>
      <c r="G31" s="25">
        <v>0.86799999999999999</v>
      </c>
      <c r="H31" s="25">
        <v>0.875</v>
      </c>
      <c r="I31" s="26">
        <f t="shared" si="0"/>
        <v>0.86099999999999999</v>
      </c>
      <c r="J31" s="25">
        <v>0.92300000000000004</v>
      </c>
      <c r="K31" s="25">
        <v>0.88800000000000001</v>
      </c>
      <c r="L31" s="25">
        <v>0.93</v>
      </c>
      <c r="M31" s="25">
        <v>0.90700000000000003</v>
      </c>
      <c r="N31" s="25">
        <v>0.91200000000000003</v>
      </c>
      <c r="O31" s="26">
        <f t="shared" si="1"/>
        <v>0.91200000000000014</v>
      </c>
      <c r="P31" s="25">
        <v>0.94699999999999995</v>
      </c>
      <c r="Q31" s="25">
        <v>0.94599999999999995</v>
      </c>
      <c r="R31" s="25">
        <v>0.94199999999999995</v>
      </c>
      <c r="S31" s="25">
        <v>0.94199999999999995</v>
      </c>
      <c r="T31" s="25">
        <v>0.95299999999999996</v>
      </c>
      <c r="U31" s="26">
        <f t="shared" si="2"/>
        <v>0.94600000000000006</v>
      </c>
      <c r="V31" s="25">
        <v>0.94199999999999995</v>
      </c>
      <c r="W31" s="25">
        <v>0.94</v>
      </c>
      <c r="X31" s="25">
        <v>0.94499999999999995</v>
      </c>
      <c r="Y31" s="25">
        <v>0.94599999999999995</v>
      </c>
      <c r="Z31" s="25">
        <v>0.94699999999999995</v>
      </c>
      <c r="AA31" s="26">
        <f t="shared" si="3"/>
        <v>0.94399999999999995</v>
      </c>
      <c r="AB31" s="25">
        <v>0.94199999999999995</v>
      </c>
      <c r="AC31" s="25">
        <v>0.94</v>
      </c>
      <c r="AD31" s="25">
        <v>0.94499999999999995</v>
      </c>
      <c r="AE31" s="25">
        <v>0.94599999999999995</v>
      </c>
      <c r="AF31" s="25">
        <v>0.94699999999999995</v>
      </c>
      <c r="AG31" s="26">
        <f t="shared" si="4"/>
        <v>0.94399999999999995</v>
      </c>
      <c r="AH31" s="25">
        <f t="shared" si="5"/>
        <v>0</v>
      </c>
      <c r="AI31" s="25">
        <f t="shared" si="6"/>
        <v>3.1999999999999806E-2</v>
      </c>
    </row>
    <row r="32" spans="1:35" x14ac:dyDescent="0.25">
      <c r="A32" s="24" t="s">
        <v>132</v>
      </c>
      <c r="B32" s="25" t="s">
        <v>127</v>
      </c>
      <c r="C32" s="25">
        <v>0.3</v>
      </c>
      <c r="D32" s="25">
        <v>0.75600000000000001</v>
      </c>
      <c r="E32" s="25">
        <v>0.79300000000000004</v>
      </c>
      <c r="F32" s="25">
        <v>0.81</v>
      </c>
      <c r="G32" s="25">
        <v>0.78200000000000003</v>
      </c>
      <c r="H32" s="25">
        <v>0.83699999999999997</v>
      </c>
      <c r="I32" s="26">
        <f t="shared" si="0"/>
        <v>0.79559999999999997</v>
      </c>
      <c r="J32" s="25">
        <v>0.85099999999999998</v>
      </c>
      <c r="K32" s="25">
        <v>0.84499999999999997</v>
      </c>
      <c r="L32" s="25">
        <v>0.85099999999999998</v>
      </c>
      <c r="M32" s="25">
        <v>0.86299999999999999</v>
      </c>
      <c r="N32" s="25">
        <v>0.86599999999999999</v>
      </c>
      <c r="O32" s="26">
        <f t="shared" si="1"/>
        <v>0.85519999999999996</v>
      </c>
      <c r="P32" s="25">
        <v>0.71699999999999997</v>
      </c>
      <c r="Q32" s="25">
        <v>0.74199999999999999</v>
      </c>
      <c r="R32" s="25">
        <v>0.74299999999999999</v>
      </c>
      <c r="S32" s="25">
        <v>0.747</v>
      </c>
      <c r="T32" s="25">
        <v>0.754</v>
      </c>
      <c r="U32" s="26">
        <f t="shared" si="2"/>
        <v>0.74059999999999993</v>
      </c>
      <c r="V32" s="25">
        <v>0.83299999999999996</v>
      </c>
      <c r="W32" s="25">
        <v>0.78900000000000003</v>
      </c>
      <c r="X32" s="25">
        <v>0.88700000000000001</v>
      </c>
      <c r="Y32" s="25">
        <v>0.79300000000000004</v>
      </c>
      <c r="Z32" s="25">
        <v>0.79800000000000004</v>
      </c>
      <c r="AA32" s="26">
        <f t="shared" si="3"/>
        <v>0.82</v>
      </c>
      <c r="AB32" s="25">
        <v>0.83299999999999996</v>
      </c>
      <c r="AC32" s="25">
        <v>0.78900000000000003</v>
      </c>
      <c r="AD32" s="25">
        <v>0.88700000000000001</v>
      </c>
      <c r="AE32" s="25">
        <v>0.79300000000000004</v>
      </c>
      <c r="AF32" s="25">
        <v>0.79800000000000004</v>
      </c>
      <c r="AG32" s="26">
        <f t="shared" si="4"/>
        <v>0.82</v>
      </c>
      <c r="AH32" s="25">
        <f t="shared" si="5"/>
        <v>0</v>
      </c>
      <c r="AI32" s="25">
        <f t="shared" si="6"/>
        <v>-3.5200000000000009E-2</v>
      </c>
    </row>
    <row r="33" spans="1:35" x14ac:dyDescent="0.25">
      <c r="A33" s="24" t="s">
        <v>132</v>
      </c>
      <c r="B33" s="25" t="s">
        <v>127</v>
      </c>
      <c r="C33" s="25">
        <v>0.4</v>
      </c>
      <c r="D33" s="25">
        <v>0.69899999999999995</v>
      </c>
      <c r="E33" s="25">
        <v>0.64300000000000002</v>
      </c>
      <c r="F33" s="25">
        <v>0.71499999999999997</v>
      </c>
      <c r="G33" s="25">
        <v>0.629</v>
      </c>
      <c r="H33" s="25">
        <v>0.67300000000000004</v>
      </c>
      <c r="I33" s="26">
        <f t="shared" si="0"/>
        <v>0.67179999999999995</v>
      </c>
      <c r="J33" s="25">
        <v>0.747</v>
      </c>
      <c r="K33" s="25">
        <v>0.71299999999999997</v>
      </c>
      <c r="L33" s="25">
        <v>0.71299999999999997</v>
      </c>
      <c r="M33" s="25">
        <v>0.69599999999999995</v>
      </c>
      <c r="N33" s="25">
        <v>0.68899999999999995</v>
      </c>
      <c r="O33" s="26">
        <f t="shared" si="1"/>
        <v>0.71160000000000001</v>
      </c>
      <c r="P33" s="25">
        <v>0.52900000000000003</v>
      </c>
      <c r="Q33" s="25">
        <v>0.53100000000000003</v>
      </c>
      <c r="R33" s="25">
        <v>0.69799999999999995</v>
      </c>
      <c r="S33" s="25">
        <v>0.53300000000000003</v>
      </c>
      <c r="T33" s="25">
        <v>0.59099999999999997</v>
      </c>
      <c r="U33" s="26">
        <f t="shared" si="2"/>
        <v>0.57639999999999991</v>
      </c>
      <c r="V33" s="25">
        <v>0.58499999999999996</v>
      </c>
      <c r="W33" s="25">
        <v>0.58399999999999996</v>
      </c>
      <c r="X33" s="25">
        <v>0.60499999999999998</v>
      </c>
      <c r="Y33" s="25">
        <v>0.53400000000000003</v>
      </c>
      <c r="Z33" s="25">
        <v>0.51300000000000001</v>
      </c>
      <c r="AA33" s="26">
        <f t="shared" si="3"/>
        <v>0.56419999999999992</v>
      </c>
      <c r="AB33" s="25">
        <v>0.58499999999999996</v>
      </c>
      <c r="AC33" s="25">
        <v>0.58399999999999996</v>
      </c>
      <c r="AD33" s="25">
        <v>0.60499999999999998</v>
      </c>
      <c r="AE33" s="25">
        <v>0.53400000000000003</v>
      </c>
      <c r="AF33" s="25">
        <v>0.51300000000000001</v>
      </c>
      <c r="AG33" s="26">
        <f t="shared" si="4"/>
        <v>0.56419999999999992</v>
      </c>
      <c r="AH33" s="25">
        <f t="shared" si="5"/>
        <v>0</v>
      </c>
      <c r="AI33" s="25">
        <f t="shared" si="6"/>
        <v>-0.14740000000000009</v>
      </c>
    </row>
    <row r="34" spans="1:35" x14ac:dyDescent="0.25">
      <c r="A34" s="24" t="s">
        <v>132</v>
      </c>
      <c r="B34" s="25" t="s">
        <v>127</v>
      </c>
      <c r="C34" s="25">
        <v>0.5</v>
      </c>
      <c r="D34" s="25">
        <v>0.47099999999999997</v>
      </c>
      <c r="E34" s="25">
        <v>0.54100000000000004</v>
      </c>
      <c r="F34" s="25">
        <v>0.499</v>
      </c>
      <c r="G34" s="25">
        <v>0.45</v>
      </c>
      <c r="H34" s="25">
        <v>0.53600000000000003</v>
      </c>
      <c r="I34" s="26">
        <f t="shared" si="0"/>
        <v>0.49939999999999996</v>
      </c>
      <c r="J34" s="25">
        <v>0.57099999999999995</v>
      </c>
      <c r="K34" s="25">
        <v>0.50800000000000001</v>
      </c>
      <c r="L34" s="25">
        <v>0.626</v>
      </c>
      <c r="M34" s="25">
        <v>0.53400000000000003</v>
      </c>
      <c r="N34" s="25">
        <v>0.496</v>
      </c>
      <c r="O34" s="26">
        <f t="shared" si="1"/>
        <v>0.54699999999999993</v>
      </c>
      <c r="P34" s="25">
        <v>0.48299999999999998</v>
      </c>
      <c r="Q34" s="25">
        <v>0.53800000000000003</v>
      </c>
      <c r="R34" s="25">
        <v>0.50800000000000001</v>
      </c>
      <c r="S34" s="25">
        <v>0.51500000000000001</v>
      </c>
      <c r="T34" s="25">
        <v>0.55200000000000005</v>
      </c>
      <c r="U34" s="26">
        <f t="shared" si="2"/>
        <v>0.51919999999999999</v>
      </c>
      <c r="V34" s="25">
        <v>0.58199999999999996</v>
      </c>
      <c r="W34" s="25">
        <v>0.48799999999999999</v>
      </c>
      <c r="X34" s="25">
        <v>0.59599999999999997</v>
      </c>
      <c r="Y34" s="25">
        <v>0.50800000000000001</v>
      </c>
      <c r="Z34" s="25">
        <v>0.51100000000000001</v>
      </c>
      <c r="AA34" s="26">
        <f t="shared" si="3"/>
        <v>0.53700000000000003</v>
      </c>
      <c r="AB34" s="25">
        <v>0.58199999999999996</v>
      </c>
      <c r="AC34" s="25">
        <v>0.48799999999999999</v>
      </c>
      <c r="AD34" s="25">
        <v>0.59599999999999997</v>
      </c>
      <c r="AE34" s="25">
        <v>0.50800000000000001</v>
      </c>
      <c r="AF34" s="25">
        <v>0.51100000000000001</v>
      </c>
      <c r="AG34" s="26">
        <f t="shared" si="4"/>
        <v>0.53700000000000003</v>
      </c>
      <c r="AH34" s="25">
        <f t="shared" si="5"/>
        <v>0</v>
      </c>
      <c r="AI34" s="25">
        <f t="shared" si="6"/>
        <v>-9.9999999999998979E-3</v>
      </c>
    </row>
    <row r="35" spans="1:35" x14ac:dyDescent="0.25">
      <c r="A35" s="24" t="s">
        <v>132</v>
      </c>
      <c r="B35" s="25" t="s">
        <v>128</v>
      </c>
      <c r="C35" s="25">
        <v>0.2</v>
      </c>
      <c r="D35" s="25">
        <v>0.78900000000000003</v>
      </c>
      <c r="E35" s="25">
        <v>0.77900000000000003</v>
      </c>
      <c r="F35" s="25">
        <v>0.76600000000000001</v>
      </c>
      <c r="G35" s="25">
        <v>0.81399999999999995</v>
      </c>
      <c r="H35" s="25">
        <v>0.83</v>
      </c>
      <c r="I35" s="26">
        <f t="shared" si="0"/>
        <v>0.79560000000000008</v>
      </c>
      <c r="J35" s="25">
        <v>0.84399999999999997</v>
      </c>
      <c r="K35" s="25">
        <v>0.84699999999999998</v>
      </c>
      <c r="L35" s="25">
        <v>0.81899999999999995</v>
      </c>
      <c r="M35" s="25">
        <v>0.85199999999999998</v>
      </c>
      <c r="N35" s="25">
        <v>0.85399999999999998</v>
      </c>
      <c r="O35" s="26">
        <f t="shared" si="1"/>
        <v>0.84319999999999984</v>
      </c>
      <c r="P35" s="25">
        <v>0.627</v>
      </c>
      <c r="Q35" s="25">
        <v>0.58099999999999996</v>
      </c>
      <c r="R35" s="25">
        <v>0.77500000000000002</v>
      </c>
      <c r="S35" s="25">
        <v>0.59899999999999998</v>
      </c>
      <c r="T35" s="25">
        <v>0.66800000000000004</v>
      </c>
      <c r="U35" s="26">
        <f t="shared" si="2"/>
        <v>0.65</v>
      </c>
      <c r="V35" s="25">
        <v>0.68200000000000005</v>
      </c>
      <c r="W35" s="25">
        <v>0.70699999999999996</v>
      </c>
      <c r="X35" s="25">
        <v>0.73699999999999999</v>
      </c>
      <c r="Y35" s="25">
        <v>0.76300000000000001</v>
      </c>
      <c r="Z35" s="25">
        <v>0.81599999999999995</v>
      </c>
      <c r="AA35" s="26">
        <f t="shared" si="3"/>
        <v>0.74099999999999988</v>
      </c>
      <c r="AB35" s="25">
        <v>0.78500000000000003</v>
      </c>
      <c r="AC35" s="25">
        <v>0.78700000000000003</v>
      </c>
      <c r="AD35" s="25">
        <v>0.73699999999999999</v>
      </c>
      <c r="AE35" s="25">
        <v>0.76300000000000001</v>
      </c>
      <c r="AF35" s="25">
        <v>0.83699999999999997</v>
      </c>
      <c r="AG35" s="26">
        <f t="shared" si="4"/>
        <v>0.78179999999999994</v>
      </c>
      <c r="AH35" s="25">
        <f t="shared" si="5"/>
        <v>4.0800000000000058E-2</v>
      </c>
      <c r="AI35" s="25">
        <f t="shared" si="6"/>
        <v>-6.1399999999999899E-2</v>
      </c>
    </row>
    <row r="36" spans="1:35" x14ac:dyDescent="0.25">
      <c r="A36" s="24" t="s">
        <v>132</v>
      </c>
      <c r="B36" s="25" t="s">
        <v>128</v>
      </c>
      <c r="C36" s="25">
        <v>0.3</v>
      </c>
      <c r="D36" s="25">
        <v>0.754</v>
      </c>
      <c r="E36" s="25">
        <v>0.71499999999999997</v>
      </c>
      <c r="F36" s="25">
        <v>0.71</v>
      </c>
      <c r="G36" s="25">
        <v>0.70599999999999996</v>
      </c>
      <c r="H36" s="25">
        <v>0.76800000000000002</v>
      </c>
      <c r="I36" s="26">
        <f t="shared" si="0"/>
        <v>0.73059999999999992</v>
      </c>
      <c r="J36" s="25">
        <v>0.79100000000000004</v>
      </c>
      <c r="K36" s="25">
        <v>0.78400000000000003</v>
      </c>
      <c r="L36" s="25">
        <v>0.80100000000000005</v>
      </c>
      <c r="M36" s="25">
        <v>0.80800000000000005</v>
      </c>
      <c r="N36" s="25">
        <v>0.80300000000000005</v>
      </c>
      <c r="O36" s="26">
        <f t="shared" si="1"/>
        <v>0.7974</v>
      </c>
      <c r="P36" s="25">
        <v>0.63300000000000001</v>
      </c>
      <c r="Q36" s="25">
        <v>0.58199999999999996</v>
      </c>
      <c r="R36" s="25">
        <v>0.69099999999999995</v>
      </c>
      <c r="S36" s="25">
        <v>0.57999999999999996</v>
      </c>
      <c r="T36" s="25">
        <v>0.67</v>
      </c>
      <c r="U36" s="26">
        <f t="shared" si="2"/>
        <v>0.63119999999999998</v>
      </c>
      <c r="V36" s="25">
        <v>0.78700000000000003</v>
      </c>
      <c r="W36" s="25">
        <v>0.55400000000000005</v>
      </c>
      <c r="X36" s="25">
        <v>0.72099999999999997</v>
      </c>
      <c r="Y36" s="25">
        <v>0.64700000000000002</v>
      </c>
      <c r="Z36" s="25">
        <v>0.751</v>
      </c>
      <c r="AA36" s="26">
        <f t="shared" si="3"/>
        <v>0.69200000000000006</v>
      </c>
      <c r="AB36" s="25">
        <v>0.78700000000000003</v>
      </c>
      <c r="AC36" s="25">
        <v>0.55400000000000005</v>
      </c>
      <c r="AD36" s="25">
        <v>0.72099999999999997</v>
      </c>
      <c r="AE36" s="25">
        <v>0.64700000000000002</v>
      </c>
      <c r="AF36" s="25">
        <v>0.751</v>
      </c>
      <c r="AG36" s="26">
        <f t="shared" si="4"/>
        <v>0.69200000000000006</v>
      </c>
      <c r="AH36" s="25">
        <f t="shared" si="5"/>
        <v>0</v>
      </c>
      <c r="AI36" s="25">
        <f t="shared" si="6"/>
        <v>-0.10539999999999994</v>
      </c>
    </row>
    <row r="37" spans="1:35" x14ac:dyDescent="0.25">
      <c r="A37" s="24" t="s">
        <v>132</v>
      </c>
      <c r="B37" s="25" t="s">
        <v>128</v>
      </c>
      <c r="C37" s="25">
        <v>0.4</v>
      </c>
      <c r="D37" s="25">
        <v>0.64</v>
      </c>
      <c r="E37" s="25">
        <v>0.69799999999999995</v>
      </c>
      <c r="F37" s="25">
        <v>0.64700000000000002</v>
      </c>
      <c r="G37" s="25">
        <v>0.63500000000000001</v>
      </c>
      <c r="H37" s="25">
        <v>0.622</v>
      </c>
      <c r="I37" s="26">
        <f t="shared" ref="I37:I68" si="7">IFERROR(AVERAGE(D37:H37),"")</f>
        <v>0.64839999999999998</v>
      </c>
      <c r="J37" s="25">
        <v>0.69199999999999995</v>
      </c>
      <c r="K37" s="25">
        <v>0.70699999999999996</v>
      </c>
      <c r="L37" s="25">
        <v>0.73799999999999999</v>
      </c>
      <c r="M37" s="25">
        <v>0.71199999999999997</v>
      </c>
      <c r="N37" s="25">
        <v>0.72199999999999998</v>
      </c>
      <c r="O37" s="26">
        <f t="shared" ref="O37:O68" si="8">IFERROR(AVERAGE(J37:N37),"")</f>
        <v>0.71420000000000006</v>
      </c>
      <c r="P37" s="25">
        <v>0.57099999999999995</v>
      </c>
      <c r="Q37" s="25">
        <v>0.59399999999999997</v>
      </c>
      <c r="R37" s="25">
        <v>0.55900000000000005</v>
      </c>
      <c r="S37" s="25">
        <v>0.55500000000000005</v>
      </c>
      <c r="T37" s="25">
        <v>0.56299999999999994</v>
      </c>
      <c r="U37" s="26">
        <f t="shared" ref="U37:U68" si="9">IFERROR(AVERAGE(P37:T37),"")</f>
        <v>0.56840000000000013</v>
      </c>
      <c r="V37" s="25">
        <v>0.63100000000000001</v>
      </c>
      <c r="W37" s="25">
        <v>0.63100000000000001</v>
      </c>
      <c r="X37" s="25">
        <v>0.69099999999999995</v>
      </c>
      <c r="Y37" s="25">
        <v>0.72599999999999998</v>
      </c>
      <c r="Z37" s="25">
        <v>0.72899999999999998</v>
      </c>
      <c r="AA37" s="26">
        <f t="shared" ref="AA37:AA68" si="10">IFERROR(AVERAGE(V37:Z37),"")</f>
        <v>0.68159999999999998</v>
      </c>
      <c r="AB37" s="25">
        <v>0.63100000000000001</v>
      </c>
      <c r="AC37" s="25">
        <v>0.63100000000000001</v>
      </c>
      <c r="AD37" s="25">
        <v>0.69099999999999995</v>
      </c>
      <c r="AE37" s="25">
        <v>0.72599999999999998</v>
      </c>
      <c r="AF37" s="25">
        <v>0.72899999999999998</v>
      </c>
      <c r="AG37" s="26">
        <f t="shared" ref="AG37:AG68" si="11">IFERROR(AVERAGE(AB37:AF37),"")</f>
        <v>0.68159999999999998</v>
      </c>
      <c r="AH37" s="25">
        <f t="shared" ref="AH37:AH68" si="12">IFERROR(AG37-AA37,"")</f>
        <v>0</v>
      </c>
      <c r="AI37" s="25">
        <f t="shared" ref="AI37:AI68" si="13">IFERROR(AG37-O37,"")</f>
        <v>-3.2600000000000073E-2</v>
      </c>
    </row>
    <row r="38" spans="1:35" x14ac:dyDescent="0.25">
      <c r="A38" s="24" t="s">
        <v>132</v>
      </c>
      <c r="B38" s="25" t="s">
        <v>128</v>
      </c>
      <c r="C38" s="25">
        <v>0.5</v>
      </c>
      <c r="D38" s="25">
        <v>0.46</v>
      </c>
      <c r="E38" s="25">
        <v>0.53600000000000003</v>
      </c>
      <c r="F38" s="25">
        <v>0.56200000000000006</v>
      </c>
      <c r="G38" s="25">
        <v>0.496</v>
      </c>
      <c r="H38" s="25">
        <v>0.45300000000000001</v>
      </c>
      <c r="I38" s="26">
        <f t="shared" si="7"/>
        <v>0.50140000000000007</v>
      </c>
      <c r="J38" s="25">
        <v>0.42699999999999999</v>
      </c>
      <c r="K38" s="25">
        <v>0.45</v>
      </c>
      <c r="L38" s="25">
        <v>0.48199999999999998</v>
      </c>
      <c r="M38" s="25">
        <v>0.44600000000000001</v>
      </c>
      <c r="N38" s="25">
        <v>0.52200000000000002</v>
      </c>
      <c r="O38" s="26">
        <f t="shared" si="8"/>
        <v>0.46539999999999998</v>
      </c>
      <c r="P38" s="25">
        <v>0.432</v>
      </c>
      <c r="Q38" s="25">
        <v>0.52</v>
      </c>
      <c r="R38" s="25">
        <v>0.52900000000000003</v>
      </c>
      <c r="S38" s="25">
        <v>0.47599999999999998</v>
      </c>
      <c r="T38" s="25">
        <v>0.44400000000000001</v>
      </c>
      <c r="U38" s="26">
        <f t="shared" si="9"/>
        <v>0.48019999999999996</v>
      </c>
      <c r="V38" s="25">
        <v>0.52</v>
      </c>
      <c r="W38" s="25">
        <v>0.49</v>
      </c>
      <c r="X38" s="25">
        <v>0.47799999999999998</v>
      </c>
      <c r="Y38" s="25">
        <v>0.44500000000000001</v>
      </c>
      <c r="Z38" s="25">
        <v>0.501</v>
      </c>
      <c r="AA38" s="26">
        <f t="shared" si="10"/>
        <v>0.48680000000000001</v>
      </c>
      <c r="AB38" s="25">
        <v>0.52</v>
      </c>
      <c r="AC38" s="25">
        <v>0.49</v>
      </c>
      <c r="AD38" s="25">
        <v>0.47799999999999998</v>
      </c>
      <c r="AE38" s="25">
        <v>0.44500000000000001</v>
      </c>
      <c r="AF38" s="25">
        <v>0.501</v>
      </c>
      <c r="AG38" s="26">
        <f t="shared" si="11"/>
        <v>0.48680000000000001</v>
      </c>
      <c r="AH38" s="25">
        <f t="shared" si="12"/>
        <v>0</v>
      </c>
      <c r="AI38" s="25">
        <f t="shared" si="13"/>
        <v>2.140000000000003E-2</v>
      </c>
    </row>
    <row r="39" spans="1:35" x14ac:dyDescent="0.25">
      <c r="A39" s="24" t="s">
        <v>123</v>
      </c>
      <c r="B39" s="25" t="s">
        <v>124</v>
      </c>
      <c r="C39" s="25">
        <v>0</v>
      </c>
      <c r="D39" s="25">
        <v>0.73</v>
      </c>
      <c r="E39" s="25">
        <v>0.76800000000000002</v>
      </c>
      <c r="F39" s="25">
        <v>0.72699999999999998</v>
      </c>
      <c r="G39" s="25">
        <v>0.73399999999999999</v>
      </c>
      <c r="H39" s="25">
        <v>0.78600000000000003</v>
      </c>
      <c r="I39" s="26">
        <f t="shared" si="7"/>
        <v>0.749</v>
      </c>
      <c r="J39" s="25">
        <v>0.79400000000000004</v>
      </c>
      <c r="K39" s="25">
        <v>0.78700000000000003</v>
      </c>
      <c r="L39" s="25">
        <v>0.77600000000000002</v>
      </c>
      <c r="M39" s="25">
        <v>0.78300000000000003</v>
      </c>
      <c r="N39" s="25">
        <v>0.746</v>
      </c>
      <c r="O39" s="26">
        <f t="shared" si="8"/>
        <v>0.7772</v>
      </c>
      <c r="P39" s="25"/>
      <c r="Q39" s="25"/>
      <c r="R39" s="25"/>
      <c r="S39" s="25"/>
      <c r="T39" s="25"/>
      <c r="U39" s="26" t="str">
        <f t="shared" si="9"/>
        <v/>
      </c>
      <c r="V39" s="25"/>
      <c r="W39" s="25"/>
      <c r="X39" s="25"/>
      <c r="Y39" s="25"/>
      <c r="Z39" s="25"/>
      <c r="AA39" s="26" t="str">
        <f t="shared" si="10"/>
        <v/>
      </c>
      <c r="AB39" s="25">
        <v>0.69199999999999995</v>
      </c>
      <c r="AC39" s="25">
        <v>0.69399999999999995</v>
      </c>
      <c r="AD39" s="25">
        <v>0.70099999999999996</v>
      </c>
      <c r="AE39" s="25">
        <v>0.71199999999999997</v>
      </c>
      <c r="AF39" s="25">
        <v>0.71199999999999997</v>
      </c>
      <c r="AG39" s="26">
        <f t="shared" si="11"/>
        <v>0.70219999999999982</v>
      </c>
      <c r="AH39" s="25" t="str">
        <f t="shared" si="12"/>
        <v/>
      </c>
      <c r="AI39" s="25">
        <f t="shared" si="13"/>
        <v>-7.5000000000000178E-2</v>
      </c>
    </row>
    <row r="40" spans="1:35" x14ac:dyDescent="0.25">
      <c r="A40" s="24" t="s">
        <v>123</v>
      </c>
      <c r="B40" s="25" t="s">
        <v>125</v>
      </c>
      <c r="C40" s="25">
        <v>0.2</v>
      </c>
      <c r="D40" s="25">
        <v>0.63400000000000001</v>
      </c>
      <c r="E40" s="25">
        <v>0.65900000000000003</v>
      </c>
      <c r="F40" s="25">
        <v>0.66300000000000003</v>
      </c>
      <c r="G40" s="25">
        <v>0.63300000000000001</v>
      </c>
      <c r="H40" s="25">
        <v>0.70399999999999996</v>
      </c>
      <c r="I40" s="26">
        <f t="shared" si="7"/>
        <v>0.65860000000000007</v>
      </c>
      <c r="J40" s="25">
        <v>0.72299999999999998</v>
      </c>
      <c r="K40" s="25">
        <v>0.71499999999999997</v>
      </c>
      <c r="L40" s="25">
        <v>0.68500000000000005</v>
      </c>
      <c r="M40" s="25">
        <v>0.65900000000000003</v>
      </c>
      <c r="N40" s="25">
        <v>0.70099999999999996</v>
      </c>
      <c r="O40" s="26">
        <f t="shared" si="8"/>
        <v>0.6966</v>
      </c>
      <c r="P40" s="25">
        <v>0.71499999999999997</v>
      </c>
      <c r="Q40" s="25">
        <v>0.71899999999999997</v>
      </c>
      <c r="R40" s="25">
        <v>0.66300000000000003</v>
      </c>
      <c r="S40" s="25">
        <v>0.59499999999999997</v>
      </c>
      <c r="T40" s="25">
        <v>0.66300000000000003</v>
      </c>
      <c r="U40" s="26">
        <f t="shared" si="9"/>
        <v>0.67100000000000004</v>
      </c>
      <c r="V40" s="25">
        <v>0.71899999999999997</v>
      </c>
      <c r="W40" s="25">
        <v>0.72299999999999998</v>
      </c>
      <c r="X40" s="25">
        <v>0.64100000000000001</v>
      </c>
      <c r="Y40" s="25">
        <v>0.58299999999999996</v>
      </c>
      <c r="Z40" s="25">
        <v>0.67400000000000004</v>
      </c>
      <c r="AA40" s="26">
        <f t="shared" si="10"/>
        <v>0.66800000000000004</v>
      </c>
      <c r="AB40" s="25">
        <v>0.71899999999999997</v>
      </c>
      <c r="AC40" s="25">
        <v>0.72299999999999998</v>
      </c>
      <c r="AD40" s="25">
        <v>0.64100000000000001</v>
      </c>
      <c r="AE40" s="25">
        <v>0.58299999999999996</v>
      </c>
      <c r="AF40" s="25">
        <v>0.67400000000000004</v>
      </c>
      <c r="AG40" s="26">
        <f t="shared" si="11"/>
        <v>0.66800000000000004</v>
      </c>
      <c r="AH40" s="25">
        <f t="shared" si="12"/>
        <v>0</v>
      </c>
      <c r="AI40" s="25">
        <f t="shared" si="13"/>
        <v>-2.8599999999999959E-2</v>
      </c>
    </row>
    <row r="41" spans="1:35" x14ac:dyDescent="0.25">
      <c r="A41" s="24" t="s">
        <v>123</v>
      </c>
      <c r="B41" s="25" t="s">
        <v>125</v>
      </c>
      <c r="C41" s="25">
        <v>0.3</v>
      </c>
      <c r="D41" s="25">
        <v>0.54800000000000004</v>
      </c>
      <c r="E41" s="25">
        <v>0.58799999999999997</v>
      </c>
      <c r="F41" s="25">
        <v>0.65200000000000002</v>
      </c>
      <c r="G41" s="25">
        <v>0.61399999999999999</v>
      </c>
      <c r="H41" s="25">
        <v>0.64100000000000001</v>
      </c>
      <c r="I41" s="26">
        <f t="shared" si="7"/>
        <v>0.60860000000000003</v>
      </c>
      <c r="J41" s="25">
        <v>0.59599999999999997</v>
      </c>
      <c r="K41" s="25">
        <v>0.63</v>
      </c>
      <c r="L41" s="25">
        <v>0.61399999999999999</v>
      </c>
      <c r="M41" s="25">
        <v>0.65100000000000002</v>
      </c>
      <c r="N41" s="25">
        <v>0.64800000000000002</v>
      </c>
      <c r="O41" s="26">
        <f t="shared" si="8"/>
        <v>0.62779999999999991</v>
      </c>
      <c r="P41" s="25">
        <v>0.57699999999999996</v>
      </c>
      <c r="Q41" s="25">
        <v>0.61</v>
      </c>
      <c r="R41" s="25">
        <v>0.59599999999999997</v>
      </c>
      <c r="S41" s="25">
        <v>0.61799999999999999</v>
      </c>
      <c r="T41" s="25">
        <v>0.621</v>
      </c>
      <c r="U41" s="26">
        <f t="shared" si="9"/>
        <v>0.60439999999999994</v>
      </c>
      <c r="V41" s="25">
        <v>0.61099999999999999</v>
      </c>
      <c r="W41" s="25">
        <v>0.61799999999999999</v>
      </c>
      <c r="X41" s="25">
        <v>0.629</v>
      </c>
      <c r="Y41" s="25">
        <v>0.57699999999999996</v>
      </c>
      <c r="Z41" s="25">
        <v>0.64400000000000002</v>
      </c>
      <c r="AA41" s="26">
        <f t="shared" si="10"/>
        <v>0.61580000000000001</v>
      </c>
      <c r="AB41" s="25">
        <v>0.61099999999999999</v>
      </c>
      <c r="AC41" s="25">
        <v>0.61799999999999999</v>
      </c>
      <c r="AD41" s="25">
        <v>0.629</v>
      </c>
      <c r="AE41" s="25">
        <v>0.57699999999999996</v>
      </c>
      <c r="AF41" s="25">
        <v>0.64400000000000002</v>
      </c>
      <c r="AG41" s="26">
        <f t="shared" si="11"/>
        <v>0.61580000000000001</v>
      </c>
      <c r="AH41" s="25">
        <f t="shared" si="12"/>
        <v>0</v>
      </c>
      <c r="AI41" s="25">
        <f t="shared" si="13"/>
        <v>-1.19999999999999E-2</v>
      </c>
    </row>
    <row r="42" spans="1:35" x14ac:dyDescent="0.25">
      <c r="A42" s="24" t="s">
        <v>123</v>
      </c>
      <c r="B42" s="25" t="s">
        <v>125</v>
      </c>
      <c r="C42" s="25">
        <v>0.4</v>
      </c>
      <c r="D42" s="25">
        <v>0.58799999999999997</v>
      </c>
      <c r="E42" s="25">
        <v>0.59799999999999998</v>
      </c>
      <c r="F42" s="25">
        <v>0.57299999999999995</v>
      </c>
      <c r="G42" s="25">
        <v>0.59599999999999997</v>
      </c>
      <c r="H42" s="25">
        <v>0.53200000000000003</v>
      </c>
      <c r="I42" s="26">
        <f t="shared" si="7"/>
        <v>0.57740000000000002</v>
      </c>
      <c r="J42" s="25">
        <v>0.58799999999999997</v>
      </c>
      <c r="K42" s="25">
        <v>0.57999999999999996</v>
      </c>
      <c r="L42" s="25">
        <v>0.57399999999999995</v>
      </c>
      <c r="M42" s="25">
        <v>0.629</v>
      </c>
      <c r="N42" s="25">
        <v>0.54</v>
      </c>
      <c r="O42" s="26">
        <f t="shared" si="8"/>
        <v>0.58220000000000005</v>
      </c>
      <c r="P42" s="25">
        <v>0.60599999999999998</v>
      </c>
      <c r="Q42" s="25">
        <v>0.56499999999999995</v>
      </c>
      <c r="R42" s="25">
        <v>0.54700000000000004</v>
      </c>
      <c r="S42" s="25">
        <v>0.502</v>
      </c>
      <c r="T42" s="25">
        <v>0.53200000000000003</v>
      </c>
      <c r="U42" s="26">
        <f t="shared" si="9"/>
        <v>0.5504</v>
      </c>
      <c r="V42" s="25">
        <v>0.59199999999999997</v>
      </c>
      <c r="W42" s="25">
        <v>0.53900000000000003</v>
      </c>
      <c r="X42" s="25">
        <v>0.52400000000000002</v>
      </c>
      <c r="Y42" s="25">
        <v>0.57599999999999996</v>
      </c>
      <c r="Z42" s="25">
        <v>0.49399999999999999</v>
      </c>
      <c r="AA42" s="26">
        <f t="shared" si="10"/>
        <v>0.54499999999999993</v>
      </c>
      <c r="AB42" s="25">
        <v>0.59199999999999997</v>
      </c>
      <c r="AC42" s="25">
        <v>0.53900000000000003</v>
      </c>
      <c r="AD42" s="25">
        <v>0.52400000000000002</v>
      </c>
      <c r="AE42" s="25">
        <v>0.57599999999999996</v>
      </c>
      <c r="AF42" s="25">
        <v>0.49399999999999999</v>
      </c>
      <c r="AG42" s="26">
        <f t="shared" si="11"/>
        <v>0.54499999999999993</v>
      </c>
      <c r="AH42" s="25">
        <f t="shared" si="12"/>
        <v>0</v>
      </c>
      <c r="AI42" s="25">
        <f t="shared" si="13"/>
        <v>-3.7200000000000122E-2</v>
      </c>
    </row>
    <row r="43" spans="1:35" x14ac:dyDescent="0.25">
      <c r="A43" s="24" t="s">
        <v>123</v>
      </c>
      <c r="B43" s="25" t="s">
        <v>125</v>
      </c>
      <c r="C43" s="25">
        <v>0.5</v>
      </c>
      <c r="D43" s="25">
        <v>0.502</v>
      </c>
      <c r="E43" s="25">
        <v>0.44900000000000001</v>
      </c>
      <c r="F43" s="25">
        <v>0.498</v>
      </c>
      <c r="G43" s="25">
        <v>0.53900000000000003</v>
      </c>
      <c r="H43" s="25">
        <v>0.502</v>
      </c>
      <c r="I43" s="26">
        <f t="shared" si="7"/>
        <v>0.49800000000000005</v>
      </c>
      <c r="J43" s="25">
        <v>0.47599999999999998</v>
      </c>
      <c r="K43" s="25">
        <v>0.45700000000000002</v>
      </c>
      <c r="L43" s="25">
        <v>0.498</v>
      </c>
      <c r="M43" s="25">
        <v>0.44600000000000001</v>
      </c>
      <c r="N43" s="25">
        <v>0.505</v>
      </c>
      <c r="O43" s="26">
        <f t="shared" si="8"/>
        <v>0.47640000000000005</v>
      </c>
      <c r="P43" s="25">
        <v>0.435</v>
      </c>
      <c r="Q43" s="25">
        <v>0.48299999999999998</v>
      </c>
      <c r="R43" s="25">
        <v>0.45</v>
      </c>
      <c r="S43" s="25">
        <v>0.52400000000000002</v>
      </c>
      <c r="T43" s="25">
        <v>0.54300000000000004</v>
      </c>
      <c r="U43" s="26">
        <f t="shared" si="9"/>
        <v>0.48699999999999999</v>
      </c>
      <c r="V43" s="25">
        <v>0.44900000000000001</v>
      </c>
      <c r="W43" s="25">
        <v>0.46100000000000002</v>
      </c>
      <c r="X43" s="25">
        <v>0.51600000000000001</v>
      </c>
      <c r="Y43" s="25">
        <v>0.46899999999999997</v>
      </c>
      <c r="Z43" s="25">
        <v>0.55400000000000005</v>
      </c>
      <c r="AA43" s="26">
        <f t="shared" si="10"/>
        <v>0.48979999999999996</v>
      </c>
      <c r="AB43" s="25">
        <v>0.44900000000000001</v>
      </c>
      <c r="AC43" s="25">
        <v>0.46100000000000002</v>
      </c>
      <c r="AD43" s="25">
        <v>0.51600000000000001</v>
      </c>
      <c r="AE43" s="25">
        <v>0.46899999999999997</v>
      </c>
      <c r="AF43" s="25">
        <v>0.55400000000000005</v>
      </c>
      <c r="AG43" s="26">
        <f t="shared" si="11"/>
        <v>0.48979999999999996</v>
      </c>
      <c r="AH43" s="25">
        <f t="shared" si="12"/>
        <v>0</v>
      </c>
      <c r="AI43" s="25">
        <f t="shared" si="13"/>
        <v>1.3399999999999912E-2</v>
      </c>
    </row>
    <row r="44" spans="1:35" x14ac:dyDescent="0.25">
      <c r="A44" s="24" t="s">
        <v>123</v>
      </c>
      <c r="B44" s="25" t="s">
        <v>126</v>
      </c>
      <c r="C44" s="25">
        <v>0.2</v>
      </c>
      <c r="D44" s="25">
        <v>0.749</v>
      </c>
      <c r="E44" s="25">
        <v>0.73</v>
      </c>
      <c r="F44" s="25">
        <v>0.745</v>
      </c>
      <c r="G44" s="25">
        <v>0.753</v>
      </c>
      <c r="H44" s="25">
        <v>0.749</v>
      </c>
      <c r="I44" s="26">
        <f t="shared" si="7"/>
        <v>0.74520000000000008</v>
      </c>
      <c r="J44" s="25">
        <v>0.77800000000000002</v>
      </c>
      <c r="K44" s="25">
        <v>0.77500000000000002</v>
      </c>
      <c r="L44" s="25">
        <v>0.74199999999999999</v>
      </c>
      <c r="M44" s="25">
        <v>0.749</v>
      </c>
      <c r="N44" s="25">
        <v>0.76100000000000001</v>
      </c>
      <c r="O44" s="26">
        <f t="shared" si="8"/>
        <v>0.76100000000000001</v>
      </c>
      <c r="P44" s="25"/>
      <c r="Q44" s="25"/>
      <c r="R44" s="25"/>
      <c r="S44" s="25"/>
      <c r="T44" s="25"/>
      <c r="U44" s="26" t="str">
        <f t="shared" si="9"/>
        <v/>
      </c>
      <c r="V44" s="25"/>
      <c r="W44" s="25"/>
      <c r="X44" s="25"/>
      <c r="Y44" s="25"/>
      <c r="Z44" s="25"/>
      <c r="AA44" s="26" t="str">
        <f t="shared" si="10"/>
        <v/>
      </c>
      <c r="AB44" s="25">
        <v>0.68500000000000005</v>
      </c>
      <c r="AC44" s="25">
        <v>0.68600000000000005</v>
      </c>
      <c r="AD44" s="25">
        <v>0.69699999999999995</v>
      </c>
      <c r="AE44" s="25">
        <v>0.69299999999999995</v>
      </c>
      <c r="AF44" s="25">
        <v>0.70399999999999996</v>
      </c>
      <c r="AG44" s="26">
        <f t="shared" si="11"/>
        <v>0.69299999999999995</v>
      </c>
      <c r="AH44" s="25" t="str">
        <f t="shared" si="12"/>
        <v/>
      </c>
      <c r="AI44" s="25">
        <f t="shared" si="13"/>
        <v>-6.800000000000006E-2</v>
      </c>
    </row>
    <row r="45" spans="1:35" x14ac:dyDescent="0.25">
      <c r="A45" s="24" t="s">
        <v>123</v>
      </c>
      <c r="B45" s="25" t="s">
        <v>126</v>
      </c>
      <c r="C45" s="25">
        <v>0.3</v>
      </c>
      <c r="D45" s="25">
        <v>0.76400000000000001</v>
      </c>
      <c r="E45" s="25">
        <v>0.753</v>
      </c>
      <c r="F45" s="25">
        <v>0.753</v>
      </c>
      <c r="G45" s="25">
        <v>0.73</v>
      </c>
      <c r="H45" s="25">
        <v>0.76400000000000001</v>
      </c>
      <c r="I45" s="26">
        <f t="shared" si="7"/>
        <v>0.75280000000000002</v>
      </c>
      <c r="J45" s="25">
        <v>0.78300000000000003</v>
      </c>
      <c r="K45" s="25">
        <v>0.77600000000000002</v>
      </c>
      <c r="L45" s="25">
        <v>0.78700000000000003</v>
      </c>
      <c r="M45" s="25">
        <v>0.78700000000000003</v>
      </c>
      <c r="N45" s="25">
        <v>0.746</v>
      </c>
      <c r="O45" s="26">
        <f t="shared" si="8"/>
        <v>0.77580000000000005</v>
      </c>
      <c r="P45" s="25"/>
      <c r="Q45" s="25"/>
      <c r="R45" s="25"/>
      <c r="S45" s="25"/>
      <c r="T45" s="25"/>
      <c r="U45" s="26" t="str">
        <f t="shared" si="9"/>
        <v/>
      </c>
      <c r="V45" s="25"/>
      <c r="W45" s="25"/>
      <c r="X45" s="25"/>
      <c r="Y45" s="25"/>
      <c r="Z45" s="25"/>
      <c r="AA45" s="26" t="str">
        <f t="shared" si="10"/>
        <v/>
      </c>
      <c r="AB45" s="25">
        <v>0.70399999999999996</v>
      </c>
      <c r="AC45" s="25">
        <v>0.72</v>
      </c>
      <c r="AD45" s="25">
        <v>0.71199999999999997</v>
      </c>
      <c r="AE45" s="25">
        <v>0.70799999999999996</v>
      </c>
      <c r="AF45" s="25">
        <v>0.69699999999999995</v>
      </c>
      <c r="AG45" s="26">
        <f t="shared" si="11"/>
        <v>0.70820000000000005</v>
      </c>
      <c r="AH45" s="25" t="str">
        <f t="shared" si="12"/>
        <v/>
      </c>
      <c r="AI45" s="25">
        <f t="shared" si="13"/>
        <v>-6.7599999999999993E-2</v>
      </c>
    </row>
    <row r="46" spans="1:35" x14ac:dyDescent="0.25">
      <c r="A46" s="24" t="s">
        <v>123</v>
      </c>
      <c r="B46" s="25" t="s">
        <v>126</v>
      </c>
      <c r="C46" s="25">
        <v>0.4</v>
      </c>
      <c r="D46" s="25">
        <v>0.745</v>
      </c>
      <c r="E46" s="25">
        <v>0.78700000000000003</v>
      </c>
      <c r="F46" s="25">
        <v>0.753</v>
      </c>
      <c r="G46" s="25">
        <v>0.77500000000000002</v>
      </c>
      <c r="H46" s="25">
        <v>0.79</v>
      </c>
      <c r="I46" s="26">
        <f t="shared" si="7"/>
        <v>0.77</v>
      </c>
      <c r="J46" s="25">
        <v>0.75600000000000001</v>
      </c>
      <c r="K46" s="25">
        <v>0.78700000000000003</v>
      </c>
      <c r="L46" s="25">
        <v>0.80500000000000005</v>
      </c>
      <c r="M46" s="25">
        <v>0.76100000000000001</v>
      </c>
      <c r="N46" s="25">
        <v>0.75600000000000001</v>
      </c>
      <c r="O46" s="26">
        <f t="shared" si="8"/>
        <v>0.77300000000000002</v>
      </c>
      <c r="P46" s="25"/>
      <c r="Q46" s="25"/>
      <c r="R46" s="25"/>
      <c r="S46" s="25"/>
      <c r="T46" s="25"/>
      <c r="U46" s="26" t="str">
        <f t="shared" si="9"/>
        <v/>
      </c>
      <c r="V46" s="25"/>
      <c r="W46" s="25"/>
      <c r="X46" s="25"/>
      <c r="Y46" s="25"/>
      <c r="Z46" s="25"/>
      <c r="AA46" s="26" t="str">
        <f t="shared" si="10"/>
        <v/>
      </c>
      <c r="AB46" s="25">
        <v>0.69199999999999995</v>
      </c>
      <c r="AC46" s="25">
        <v>0.70499999999999996</v>
      </c>
      <c r="AD46" s="25">
        <v>0.70399999999999996</v>
      </c>
      <c r="AE46" s="25">
        <v>0.69699999999999995</v>
      </c>
      <c r="AF46" s="25">
        <v>0.69699999999999995</v>
      </c>
      <c r="AG46" s="26">
        <f t="shared" si="11"/>
        <v>0.69900000000000007</v>
      </c>
      <c r="AH46" s="25" t="str">
        <f t="shared" si="12"/>
        <v/>
      </c>
      <c r="AI46" s="25">
        <f t="shared" si="13"/>
        <v>-7.3999999999999955E-2</v>
      </c>
    </row>
    <row r="47" spans="1:35" x14ac:dyDescent="0.25">
      <c r="A47" s="24" t="s">
        <v>123</v>
      </c>
      <c r="B47" s="25" t="s">
        <v>126</v>
      </c>
      <c r="C47" s="25">
        <v>0.5</v>
      </c>
      <c r="D47" s="25">
        <v>0.79400000000000004</v>
      </c>
      <c r="E47" s="25">
        <v>0.76400000000000001</v>
      </c>
      <c r="F47" s="25">
        <v>0.76800000000000002</v>
      </c>
      <c r="G47" s="25">
        <v>0.76400000000000001</v>
      </c>
      <c r="H47" s="25">
        <v>0.753</v>
      </c>
      <c r="I47" s="26">
        <f t="shared" si="7"/>
        <v>0.76859999999999995</v>
      </c>
      <c r="J47" s="25">
        <v>0.78700000000000003</v>
      </c>
      <c r="K47" s="25">
        <v>0.753</v>
      </c>
      <c r="L47" s="25">
        <v>0.76800000000000002</v>
      </c>
      <c r="M47" s="25">
        <v>0.76400000000000001</v>
      </c>
      <c r="N47" s="25">
        <v>0.76</v>
      </c>
      <c r="O47" s="26">
        <f t="shared" si="8"/>
        <v>0.76639999999999997</v>
      </c>
      <c r="P47" s="25"/>
      <c r="Q47" s="25"/>
      <c r="R47" s="25"/>
      <c r="S47" s="25"/>
      <c r="T47" s="25"/>
      <c r="U47" s="26" t="str">
        <f t="shared" si="9"/>
        <v/>
      </c>
      <c r="V47" s="25"/>
      <c r="W47" s="25"/>
      <c r="X47" s="25"/>
      <c r="Y47" s="25"/>
      <c r="Z47" s="25"/>
      <c r="AA47" s="26" t="str">
        <f t="shared" si="10"/>
        <v/>
      </c>
      <c r="AB47" s="25">
        <v>0.69599999999999995</v>
      </c>
      <c r="AC47" s="25">
        <v>0.70899999999999996</v>
      </c>
      <c r="AD47" s="25">
        <v>0.69699999999999995</v>
      </c>
      <c r="AE47" s="25">
        <v>0.70399999999999996</v>
      </c>
      <c r="AF47" s="25">
        <v>0.72299999999999998</v>
      </c>
      <c r="AG47" s="26">
        <f t="shared" si="11"/>
        <v>0.70579999999999998</v>
      </c>
      <c r="AH47" s="25" t="str">
        <f t="shared" si="12"/>
        <v/>
      </c>
      <c r="AI47" s="25">
        <f t="shared" si="13"/>
        <v>-6.0599999999999987E-2</v>
      </c>
    </row>
    <row r="48" spans="1:35" x14ac:dyDescent="0.25">
      <c r="A48" s="24" t="s">
        <v>123</v>
      </c>
      <c r="B48" s="25" t="s">
        <v>127</v>
      </c>
      <c r="C48" s="25">
        <v>0.2</v>
      </c>
      <c r="D48" s="25">
        <v>0.73</v>
      </c>
      <c r="E48" s="25">
        <v>0.77200000000000002</v>
      </c>
      <c r="F48" s="25">
        <v>0.76500000000000001</v>
      </c>
      <c r="G48" s="25">
        <v>0.753</v>
      </c>
      <c r="H48" s="25">
        <v>0.73399999999999999</v>
      </c>
      <c r="I48" s="26">
        <f t="shared" si="7"/>
        <v>0.75080000000000002</v>
      </c>
      <c r="J48" s="25">
        <v>0.75700000000000001</v>
      </c>
      <c r="K48" s="25">
        <v>0.77900000000000003</v>
      </c>
      <c r="L48" s="25">
        <v>0.73399999999999999</v>
      </c>
      <c r="M48" s="25">
        <v>0.75600000000000001</v>
      </c>
      <c r="N48" s="25">
        <v>0.749</v>
      </c>
      <c r="O48" s="26">
        <f t="shared" si="8"/>
        <v>0.755</v>
      </c>
      <c r="P48" s="25"/>
      <c r="Q48" s="25"/>
      <c r="R48" s="25">
        <v>0.72199999999999998</v>
      </c>
      <c r="S48" s="25"/>
      <c r="T48" s="25"/>
      <c r="U48" s="26">
        <f t="shared" si="9"/>
        <v>0.72199999999999998</v>
      </c>
      <c r="V48" s="25"/>
      <c r="W48" s="25"/>
      <c r="X48" s="25">
        <v>0.59299999999999997</v>
      </c>
      <c r="Y48" s="25"/>
      <c r="Z48" s="25"/>
      <c r="AA48" s="26">
        <f t="shared" si="10"/>
        <v>0.59299999999999997</v>
      </c>
      <c r="AB48" s="25">
        <v>0.66600000000000004</v>
      </c>
      <c r="AC48" s="25">
        <v>0.69399999999999995</v>
      </c>
      <c r="AD48" s="25">
        <v>0.67500000000000004</v>
      </c>
      <c r="AE48" s="25">
        <v>0.69299999999999995</v>
      </c>
      <c r="AF48" s="25">
        <v>0.7</v>
      </c>
      <c r="AG48" s="26">
        <f t="shared" si="11"/>
        <v>0.68559999999999999</v>
      </c>
      <c r="AH48" s="25">
        <f t="shared" si="12"/>
        <v>9.2600000000000016E-2</v>
      </c>
      <c r="AI48" s="25">
        <f t="shared" si="13"/>
        <v>-6.9400000000000017E-2</v>
      </c>
    </row>
    <row r="49" spans="1:35" x14ac:dyDescent="0.25">
      <c r="A49" s="24" t="s">
        <v>123</v>
      </c>
      <c r="B49" s="25" t="s">
        <v>127</v>
      </c>
      <c r="C49" s="25">
        <v>0.3</v>
      </c>
      <c r="D49" s="25">
        <v>0.65500000000000003</v>
      </c>
      <c r="E49" s="25">
        <v>0.745</v>
      </c>
      <c r="F49" s="25">
        <v>0.68899999999999995</v>
      </c>
      <c r="G49" s="25">
        <v>0.70399999999999996</v>
      </c>
      <c r="H49" s="25">
        <v>0.67</v>
      </c>
      <c r="I49" s="26">
        <f t="shared" si="7"/>
        <v>0.69259999999999999</v>
      </c>
      <c r="J49" s="25">
        <v>0.74099999999999999</v>
      </c>
      <c r="K49" s="25">
        <v>0.73499999999999999</v>
      </c>
      <c r="L49" s="25">
        <v>0.70399999999999996</v>
      </c>
      <c r="M49" s="25">
        <v>0.76</v>
      </c>
      <c r="N49" s="25">
        <v>0.68500000000000005</v>
      </c>
      <c r="O49" s="26">
        <f t="shared" si="8"/>
        <v>0.72499999999999987</v>
      </c>
      <c r="P49" s="25">
        <v>0.64300000000000002</v>
      </c>
      <c r="Q49" s="25">
        <v>0.64800000000000002</v>
      </c>
      <c r="R49" s="25">
        <v>0.66700000000000004</v>
      </c>
      <c r="S49" s="25">
        <v>0.623</v>
      </c>
      <c r="T49" s="25">
        <v>0.621</v>
      </c>
      <c r="U49" s="26">
        <f t="shared" si="9"/>
        <v>0.64039999999999997</v>
      </c>
      <c r="V49" s="25">
        <v>0.57399999999999995</v>
      </c>
      <c r="W49" s="25">
        <v>0.70899999999999996</v>
      </c>
      <c r="X49" s="25">
        <v>0.57299999999999995</v>
      </c>
      <c r="Y49" s="25">
        <v>0.63200000000000001</v>
      </c>
      <c r="Z49" s="25">
        <v>0.61499999999999999</v>
      </c>
      <c r="AA49" s="26">
        <f t="shared" si="10"/>
        <v>0.62059999999999993</v>
      </c>
      <c r="AB49" s="25">
        <v>0.59099999999999997</v>
      </c>
      <c r="AC49" s="25">
        <v>0.67800000000000005</v>
      </c>
      <c r="AD49" s="25">
        <v>0.57299999999999995</v>
      </c>
      <c r="AE49" s="25">
        <v>0.65200000000000002</v>
      </c>
      <c r="AF49" s="25">
        <v>0.629</v>
      </c>
      <c r="AG49" s="26">
        <f t="shared" si="11"/>
        <v>0.62460000000000004</v>
      </c>
      <c r="AH49" s="25">
        <f t="shared" si="12"/>
        <v>4.0000000000001146E-3</v>
      </c>
      <c r="AI49" s="25">
        <f t="shared" si="13"/>
        <v>-0.10039999999999982</v>
      </c>
    </row>
    <row r="50" spans="1:35" x14ac:dyDescent="0.25">
      <c r="A50" s="24" t="s">
        <v>123</v>
      </c>
      <c r="B50" s="25" t="s">
        <v>127</v>
      </c>
      <c r="C50" s="25">
        <v>0.4</v>
      </c>
      <c r="D50" s="25">
        <v>0.60199999999999998</v>
      </c>
      <c r="E50" s="25">
        <v>0.66200000000000003</v>
      </c>
      <c r="F50" s="25">
        <v>0.63300000000000001</v>
      </c>
      <c r="G50" s="25">
        <v>0.67400000000000004</v>
      </c>
      <c r="H50" s="25">
        <v>0.65200000000000002</v>
      </c>
      <c r="I50" s="26">
        <f t="shared" si="7"/>
        <v>0.64460000000000006</v>
      </c>
      <c r="J50" s="25">
        <v>0.61299999999999999</v>
      </c>
      <c r="K50" s="25">
        <v>0.60299999999999998</v>
      </c>
      <c r="L50" s="25">
        <v>0.65200000000000002</v>
      </c>
      <c r="M50" s="25">
        <v>0.63700000000000001</v>
      </c>
      <c r="N50" s="25">
        <v>0.59199999999999997</v>
      </c>
      <c r="O50" s="26">
        <f t="shared" si="8"/>
        <v>0.61939999999999995</v>
      </c>
      <c r="P50" s="25">
        <v>0.55400000000000005</v>
      </c>
      <c r="Q50" s="25">
        <v>0.622</v>
      </c>
      <c r="R50" s="25">
        <v>0.54700000000000004</v>
      </c>
      <c r="S50" s="25">
        <v>0.60299999999999998</v>
      </c>
      <c r="T50" s="25">
        <v>0.57299999999999995</v>
      </c>
      <c r="U50" s="26">
        <f t="shared" si="9"/>
        <v>0.57980000000000009</v>
      </c>
      <c r="V50" s="25">
        <v>0.56200000000000006</v>
      </c>
      <c r="W50" s="25">
        <v>0.60299999999999998</v>
      </c>
      <c r="X50" s="25">
        <v>0.57699999999999996</v>
      </c>
      <c r="Y50" s="25">
        <v>0.55400000000000005</v>
      </c>
      <c r="Z50" s="25">
        <v>0.55000000000000004</v>
      </c>
      <c r="AA50" s="26">
        <f t="shared" si="10"/>
        <v>0.56920000000000004</v>
      </c>
      <c r="AB50" s="25">
        <v>0.56200000000000006</v>
      </c>
      <c r="AC50" s="25">
        <v>0.60299999999999998</v>
      </c>
      <c r="AD50" s="25">
        <v>0.57699999999999996</v>
      </c>
      <c r="AE50" s="25">
        <v>0.55400000000000005</v>
      </c>
      <c r="AF50" s="25">
        <v>0.55000000000000004</v>
      </c>
      <c r="AG50" s="26">
        <f t="shared" si="11"/>
        <v>0.56920000000000004</v>
      </c>
      <c r="AH50" s="25">
        <f t="shared" si="12"/>
        <v>0</v>
      </c>
      <c r="AI50" s="25">
        <f t="shared" si="13"/>
        <v>-5.0199999999999911E-2</v>
      </c>
    </row>
    <row r="51" spans="1:35" x14ac:dyDescent="0.25">
      <c r="A51" s="24" t="s">
        <v>123</v>
      </c>
      <c r="B51" s="25" t="s">
        <v>127</v>
      </c>
      <c r="C51" s="25">
        <v>0.5</v>
      </c>
      <c r="D51" s="25">
        <v>0.46100000000000002</v>
      </c>
      <c r="E51" s="25">
        <v>0.502</v>
      </c>
      <c r="F51" s="25">
        <v>0.51600000000000001</v>
      </c>
      <c r="G51" s="25">
        <v>0.49</v>
      </c>
      <c r="H51" s="25">
        <v>0.46</v>
      </c>
      <c r="I51" s="26">
        <f t="shared" si="7"/>
        <v>0.48580000000000007</v>
      </c>
      <c r="J51" s="25">
        <v>0.52</v>
      </c>
      <c r="K51" s="25">
        <v>0.51300000000000001</v>
      </c>
      <c r="L51" s="25">
        <v>0.502</v>
      </c>
      <c r="M51" s="25">
        <v>0.49</v>
      </c>
      <c r="N51" s="25">
        <v>0.378</v>
      </c>
      <c r="O51" s="26">
        <f t="shared" si="8"/>
        <v>0.48060000000000003</v>
      </c>
      <c r="P51" s="25">
        <v>0.45600000000000002</v>
      </c>
      <c r="Q51" s="25">
        <v>0.47199999999999998</v>
      </c>
      <c r="R51" s="25">
        <v>0.46100000000000002</v>
      </c>
      <c r="S51" s="25">
        <v>0.441</v>
      </c>
      <c r="T51" s="25">
        <v>0.498</v>
      </c>
      <c r="U51" s="26">
        <f t="shared" si="9"/>
        <v>0.46560000000000007</v>
      </c>
      <c r="V51" s="25">
        <v>0.48699999999999999</v>
      </c>
      <c r="W51" s="25">
        <v>0.498</v>
      </c>
      <c r="X51" s="25">
        <v>0.55100000000000005</v>
      </c>
      <c r="Y51" s="25">
        <v>0.38900000000000001</v>
      </c>
      <c r="Z51" s="25">
        <v>0.45300000000000001</v>
      </c>
      <c r="AA51" s="26">
        <f t="shared" si="10"/>
        <v>0.47560000000000002</v>
      </c>
      <c r="AB51" s="25">
        <v>0.48699999999999999</v>
      </c>
      <c r="AC51" s="25">
        <v>0.498</v>
      </c>
      <c r="AD51" s="25">
        <v>0.55100000000000005</v>
      </c>
      <c r="AE51" s="25">
        <v>0.38900000000000001</v>
      </c>
      <c r="AF51" s="25">
        <v>0.45300000000000001</v>
      </c>
      <c r="AG51" s="26">
        <f t="shared" si="11"/>
        <v>0.47560000000000002</v>
      </c>
      <c r="AH51" s="25">
        <f t="shared" si="12"/>
        <v>0</v>
      </c>
      <c r="AI51" s="25">
        <f t="shared" si="13"/>
        <v>-5.0000000000000044E-3</v>
      </c>
    </row>
    <row r="52" spans="1:35" x14ac:dyDescent="0.25">
      <c r="A52" s="24" t="s">
        <v>123</v>
      </c>
      <c r="B52" s="25" t="s">
        <v>128</v>
      </c>
      <c r="C52" s="25">
        <v>0.2</v>
      </c>
      <c r="D52" s="25">
        <v>0.626</v>
      </c>
      <c r="E52" s="25">
        <v>0.629</v>
      </c>
      <c r="F52" s="25">
        <v>0.60699999999999998</v>
      </c>
      <c r="G52" s="25">
        <v>0.53900000000000003</v>
      </c>
      <c r="H52" s="25">
        <v>0.61</v>
      </c>
      <c r="I52" s="26">
        <f t="shared" si="7"/>
        <v>0.60219999999999996</v>
      </c>
      <c r="J52" s="25">
        <v>0.66600000000000004</v>
      </c>
      <c r="K52" s="25">
        <v>0.626</v>
      </c>
      <c r="L52" s="25">
        <v>0.64</v>
      </c>
      <c r="M52" s="25">
        <v>0.60299999999999998</v>
      </c>
      <c r="N52" s="25">
        <v>0.61799999999999999</v>
      </c>
      <c r="O52" s="26">
        <f t="shared" si="8"/>
        <v>0.63060000000000005</v>
      </c>
      <c r="P52" s="25">
        <v>0.55800000000000005</v>
      </c>
      <c r="Q52" s="25">
        <v>0.56999999999999995</v>
      </c>
      <c r="R52" s="25">
        <v>0.57699999999999996</v>
      </c>
      <c r="S52" s="25">
        <v>0.55000000000000004</v>
      </c>
      <c r="T52" s="25">
        <v>0.58099999999999996</v>
      </c>
      <c r="U52" s="26">
        <f t="shared" si="9"/>
        <v>0.56719999999999993</v>
      </c>
      <c r="V52" s="25">
        <v>0.59499999999999997</v>
      </c>
      <c r="W52" s="25">
        <v>0.55800000000000005</v>
      </c>
      <c r="X52" s="25">
        <v>0.55100000000000005</v>
      </c>
      <c r="Y52" s="25">
        <v>0.54200000000000004</v>
      </c>
      <c r="Z52" s="25">
        <v>0.60399999999999998</v>
      </c>
      <c r="AA52" s="26">
        <f t="shared" si="10"/>
        <v>0.57000000000000006</v>
      </c>
      <c r="AB52" s="25">
        <v>0.59499999999999997</v>
      </c>
      <c r="AC52" s="25">
        <v>0.55800000000000005</v>
      </c>
      <c r="AD52" s="25">
        <v>0.55100000000000005</v>
      </c>
      <c r="AE52" s="25">
        <v>0.54200000000000004</v>
      </c>
      <c r="AF52" s="25">
        <v>0.60399999999999998</v>
      </c>
      <c r="AG52" s="26">
        <f t="shared" si="11"/>
        <v>0.57000000000000006</v>
      </c>
      <c r="AH52" s="25">
        <f t="shared" si="12"/>
        <v>0</v>
      </c>
      <c r="AI52" s="25">
        <f t="shared" si="13"/>
        <v>-6.0599999999999987E-2</v>
      </c>
    </row>
    <row r="53" spans="1:35" x14ac:dyDescent="0.25">
      <c r="A53" s="24" t="s">
        <v>123</v>
      </c>
      <c r="B53" s="25" t="s">
        <v>128</v>
      </c>
      <c r="C53" s="25">
        <v>0.3</v>
      </c>
      <c r="D53" s="25">
        <v>0.55800000000000005</v>
      </c>
      <c r="E53" s="25">
        <v>0.54700000000000004</v>
      </c>
      <c r="F53" s="25">
        <v>0.48</v>
      </c>
      <c r="G53" s="25">
        <v>0.498</v>
      </c>
      <c r="H53" s="25">
        <v>0.56499999999999995</v>
      </c>
      <c r="I53" s="26">
        <f t="shared" si="7"/>
        <v>0.52960000000000007</v>
      </c>
      <c r="J53" s="25">
        <v>0.60599999999999998</v>
      </c>
      <c r="K53" s="25">
        <v>0.55800000000000005</v>
      </c>
      <c r="L53" s="25">
        <v>0.56599999999999995</v>
      </c>
      <c r="M53" s="25">
        <v>0.57299999999999995</v>
      </c>
      <c r="N53" s="25">
        <v>0.55000000000000004</v>
      </c>
      <c r="O53" s="26">
        <f t="shared" si="8"/>
        <v>0.5706</v>
      </c>
      <c r="P53" s="25">
        <v>0.502</v>
      </c>
      <c r="Q53" s="25">
        <v>0.54300000000000004</v>
      </c>
      <c r="R53" s="25">
        <v>0.52900000000000003</v>
      </c>
      <c r="S53" s="25">
        <v>0.51</v>
      </c>
      <c r="T53" s="25">
        <v>0.54700000000000004</v>
      </c>
      <c r="U53" s="26">
        <f t="shared" si="9"/>
        <v>0.5262</v>
      </c>
      <c r="V53" s="25">
        <v>0.59599999999999997</v>
      </c>
      <c r="W53" s="25">
        <v>0.51300000000000001</v>
      </c>
      <c r="X53" s="25">
        <v>0.58099999999999996</v>
      </c>
      <c r="Y53" s="25">
        <v>0.56599999999999995</v>
      </c>
      <c r="Z53" s="25">
        <v>0.56200000000000006</v>
      </c>
      <c r="AA53" s="26">
        <f t="shared" si="10"/>
        <v>0.56359999999999988</v>
      </c>
      <c r="AB53" s="25">
        <v>0.59599999999999997</v>
      </c>
      <c r="AC53" s="25">
        <v>0.51300000000000001</v>
      </c>
      <c r="AD53" s="25">
        <v>0.58099999999999996</v>
      </c>
      <c r="AE53" s="25">
        <v>0.56599999999999995</v>
      </c>
      <c r="AF53" s="25">
        <v>0.56200000000000006</v>
      </c>
      <c r="AG53" s="26">
        <f t="shared" si="11"/>
        <v>0.56359999999999988</v>
      </c>
      <c r="AH53" s="25">
        <f t="shared" si="12"/>
        <v>0</v>
      </c>
      <c r="AI53" s="25">
        <f t="shared" si="13"/>
        <v>-7.0000000000001172E-3</v>
      </c>
    </row>
    <row r="54" spans="1:35" x14ac:dyDescent="0.25">
      <c r="A54" s="24" t="s">
        <v>123</v>
      </c>
      <c r="B54" s="25" t="s">
        <v>128</v>
      </c>
      <c r="C54" s="25">
        <v>0.4</v>
      </c>
      <c r="D54" s="25">
        <v>0.46800000000000003</v>
      </c>
      <c r="E54" s="25">
        <v>0.45</v>
      </c>
      <c r="F54" s="25">
        <v>0.45300000000000001</v>
      </c>
      <c r="G54" s="25">
        <v>0.42299999999999999</v>
      </c>
      <c r="H54" s="25">
        <v>0.49</v>
      </c>
      <c r="I54" s="26">
        <f t="shared" si="7"/>
        <v>0.45679999999999998</v>
      </c>
      <c r="J54" s="25">
        <v>0.498</v>
      </c>
      <c r="K54" s="25">
        <v>0.49</v>
      </c>
      <c r="L54" s="25">
        <v>0.48299999999999998</v>
      </c>
      <c r="M54" s="25">
        <v>0.53200000000000003</v>
      </c>
      <c r="N54" s="25">
        <v>0.495</v>
      </c>
      <c r="O54" s="26">
        <f t="shared" si="8"/>
        <v>0.49960000000000004</v>
      </c>
      <c r="P54" s="25">
        <v>0.45300000000000001</v>
      </c>
      <c r="Q54" s="25">
        <v>0.46400000000000002</v>
      </c>
      <c r="R54" s="25">
        <v>0.54300000000000004</v>
      </c>
      <c r="S54" s="25">
        <v>0.495</v>
      </c>
      <c r="T54" s="25">
        <v>0.45300000000000001</v>
      </c>
      <c r="U54" s="26">
        <f t="shared" si="9"/>
        <v>0.48159999999999997</v>
      </c>
      <c r="V54" s="25">
        <v>0.48299999999999998</v>
      </c>
      <c r="W54" s="25">
        <v>0.43099999999999999</v>
      </c>
      <c r="X54" s="25">
        <v>0.52800000000000002</v>
      </c>
      <c r="Y54" s="25">
        <v>0.52100000000000002</v>
      </c>
      <c r="Z54" s="25">
        <v>0.45700000000000002</v>
      </c>
      <c r="AA54" s="26">
        <f t="shared" si="10"/>
        <v>0.48399999999999999</v>
      </c>
      <c r="AB54" s="25">
        <v>0.48299999999999998</v>
      </c>
      <c r="AC54" s="25">
        <v>0.43099999999999999</v>
      </c>
      <c r="AD54" s="25">
        <v>0.52800000000000002</v>
      </c>
      <c r="AE54" s="25">
        <v>0.52100000000000002</v>
      </c>
      <c r="AF54" s="25">
        <v>0.45700000000000002</v>
      </c>
      <c r="AG54" s="26">
        <f t="shared" si="11"/>
        <v>0.48399999999999999</v>
      </c>
      <c r="AH54" s="25">
        <f t="shared" si="12"/>
        <v>0</v>
      </c>
      <c r="AI54" s="25">
        <f t="shared" si="13"/>
        <v>-1.5600000000000058E-2</v>
      </c>
    </row>
    <row r="55" spans="1:35" x14ac:dyDescent="0.25">
      <c r="A55" s="24" t="s">
        <v>123</v>
      </c>
      <c r="B55" s="25" t="s">
        <v>128</v>
      </c>
      <c r="C55" s="25">
        <v>0.5</v>
      </c>
      <c r="D55" s="25">
        <v>0.49</v>
      </c>
      <c r="E55" s="25">
        <v>0.50900000000000001</v>
      </c>
      <c r="F55" s="25">
        <v>0.45300000000000001</v>
      </c>
      <c r="G55" s="25">
        <v>0.53200000000000003</v>
      </c>
      <c r="H55" s="25">
        <v>0.56200000000000006</v>
      </c>
      <c r="I55" s="26">
        <f t="shared" si="7"/>
        <v>0.5092000000000001</v>
      </c>
      <c r="J55" s="25">
        <v>0.49099999999999999</v>
      </c>
      <c r="K55" s="25">
        <v>0.50900000000000001</v>
      </c>
      <c r="L55" s="25">
        <v>0.48699999999999999</v>
      </c>
      <c r="M55" s="25">
        <v>0.52500000000000002</v>
      </c>
      <c r="N55" s="25">
        <v>0.501</v>
      </c>
      <c r="O55" s="26">
        <f t="shared" si="8"/>
        <v>0.50259999999999994</v>
      </c>
      <c r="P55" s="25">
        <v>0.50900000000000001</v>
      </c>
      <c r="Q55" s="25">
        <v>0.48699999999999999</v>
      </c>
      <c r="R55" s="25">
        <v>0.47899999999999998</v>
      </c>
      <c r="S55" s="25">
        <v>0.48</v>
      </c>
      <c r="T55" s="25">
        <v>0.56999999999999995</v>
      </c>
      <c r="U55" s="26">
        <f t="shared" si="9"/>
        <v>0.505</v>
      </c>
      <c r="V55" s="25">
        <v>0.46899999999999997</v>
      </c>
      <c r="W55" s="25">
        <v>0.42599999999999999</v>
      </c>
      <c r="X55" s="25">
        <v>0.49399999999999999</v>
      </c>
      <c r="Y55" s="25">
        <v>0.58099999999999996</v>
      </c>
      <c r="Z55" s="25">
        <v>0.51400000000000001</v>
      </c>
      <c r="AA55" s="26">
        <f t="shared" si="10"/>
        <v>0.49680000000000002</v>
      </c>
      <c r="AB55" s="25">
        <v>0.46899999999999997</v>
      </c>
      <c r="AC55" s="25">
        <v>0.42599999999999999</v>
      </c>
      <c r="AD55" s="25">
        <v>0.49399999999999999</v>
      </c>
      <c r="AE55" s="25">
        <v>0.58099999999999996</v>
      </c>
      <c r="AF55" s="25">
        <v>0.51400000000000001</v>
      </c>
      <c r="AG55" s="26">
        <f t="shared" si="11"/>
        <v>0.49680000000000002</v>
      </c>
      <c r="AH55" s="25">
        <f t="shared" si="12"/>
        <v>0</v>
      </c>
      <c r="AI55" s="25">
        <f t="shared" si="13"/>
        <v>-5.7999999999999163E-3</v>
      </c>
    </row>
    <row r="56" spans="1:35" x14ac:dyDescent="0.25">
      <c r="A56" s="24" t="s">
        <v>134</v>
      </c>
      <c r="B56" s="25" t="s">
        <v>124</v>
      </c>
      <c r="C56" s="25">
        <v>0</v>
      </c>
      <c r="D56" s="25">
        <v>0.745</v>
      </c>
      <c r="E56" s="25">
        <v>0.755</v>
      </c>
      <c r="F56" s="25">
        <v>0.748</v>
      </c>
      <c r="G56" s="25">
        <v>0.749</v>
      </c>
      <c r="H56" s="25">
        <v>0.75800000000000001</v>
      </c>
      <c r="I56" s="26">
        <f t="shared" si="7"/>
        <v>0.75100000000000011</v>
      </c>
      <c r="J56" s="25">
        <v>0.73899999999999999</v>
      </c>
      <c r="K56" s="25">
        <v>0.745</v>
      </c>
      <c r="L56" s="25">
        <v>0.752</v>
      </c>
      <c r="M56" s="25">
        <v>0.745</v>
      </c>
      <c r="N56" s="25">
        <v>0.752</v>
      </c>
      <c r="O56" s="26">
        <f t="shared" si="8"/>
        <v>0.74659999999999993</v>
      </c>
      <c r="P56" s="25"/>
      <c r="Q56" s="25"/>
      <c r="R56" s="25"/>
      <c r="S56" s="25"/>
      <c r="T56" s="25"/>
      <c r="U56" s="26" t="str">
        <f t="shared" si="9"/>
        <v/>
      </c>
      <c r="V56" s="25"/>
      <c r="W56" s="25"/>
      <c r="X56" s="25"/>
      <c r="Y56" s="25"/>
      <c r="Z56" s="25"/>
      <c r="AA56" s="26" t="str">
        <f t="shared" si="10"/>
        <v/>
      </c>
      <c r="AB56" s="25">
        <v>0.53600000000000003</v>
      </c>
      <c r="AC56" s="25">
        <v>0.51</v>
      </c>
      <c r="AD56" s="25">
        <v>0.48399999999999999</v>
      </c>
      <c r="AE56" s="25">
        <v>0.52600000000000002</v>
      </c>
      <c r="AF56" s="25">
        <v>0.52600000000000002</v>
      </c>
      <c r="AG56" s="26">
        <f t="shared" si="11"/>
        <v>0.51639999999999997</v>
      </c>
      <c r="AH56" s="25" t="str">
        <f t="shared" si="12"/>
        <v/>
      </c>
      <c r="AI56" s="25">
        <f t="shared" si="13"/>
        <v>-0.23019999999999996</v>
      </c>
    </row>
    <row r="57" spans="1:35" x14ac:dyDescent="0.25">
      <c r="A57" s="24" t="s">
        <v>134</v>
      </c>
      <c r="B57" s="25" t="s">
        <v>125</v>
      </c>
      <c r="C57" s="25">
        <v>0.2</v>
      </c>
      <c r="D57" s="25">
        <v>0.73499999999999999</v>
      </c>
      <c r="E57" s="25">
        <v>0.745</v>
      </c>
      <c r="F57" s="25">
        <v>0.74199999999999999</v>
      </c>
      <c r="G57" s="25">
        <v>0.745</v>
      </c>
      <c r="H57" s="25">
        <v>0.72499999999999998</v>
      </c>
      <c r="I57" s="26">
        <f t="shared" si="7"/>
        <v>0.73840000000000006</v>
      </c>
      <c r="J57" s="25">
        <v>0.748</v>
      </c>
      <c r="K57" s="25">
        <v>0.755</v>
      </c>
      <c r="L57" s="25">
        <v>0.755</v>
      </c>
      <c r="M57" s="25">
        <v>0.73199999999999998</v>
      </c>
      <c r="N57" s="25">
        <v>0.71599999999999997</v>
      </c>
      <c r="O57" s="26">
        <f t="shared" si="8"/>
        <v>0.74120000000000008</v>
      </c>
      <c r="P57" s="25">
        <v>0.71599999999999997</v>
      </c>
      <c r="Q57" s="25">
        <v>0.71899999999999997</v>
      </c>
      <c r="R57" s="25">
        <v>0.68300000000000005</v>
      </c>
      <c r="S57" s="25">
        <v>0.70599999999999996</v>
      </c>
      <c r="T57" s="25">
        <v>0.71599999999999997</v>
      </c>
      <c r="U57" s="26">
        <f t="shared" si="9"/>
        <v>0.70799999999999996</v>
      </c>
      <c r="V57" s="25">
        <v>0.70299999999999996</v>
      </c>
      <c r="W57" s="25">
        <v>0.72599999999999998</v>
      </c>
      <c r="X57" s="25">
        <v>0.745</v>
      </c>
      <c r="Y57" s="25">
        <v>0.71299999999999997</v>
      </c>
      <c r="Z57" s="25">
        <v>0.70899999999999996</v>
      </c>
      <c r="AA57" s="26">
        <f t="shared" si="10"/>
        <v>0.71920000000000006</v>
      </c>
      <c r="AB57" s="25">
        <v>0.70299999999999996</v>
      </c>
      <c r="AC57" s="25">
        <v>0.72599999999999998</v>
      </c>
      <c r="AD57" s="25">
        <v>0.745</v>
      </c>
      <c r="AE57" s="25">
        <v>0.71299999999999997</v>
      </c>
      <c r="AF57" s="25">
        <v>0.70899999999999996</v>
      </c>
      <c r="AG57" s="26">
        <f t="shared" si="11"/>
        <v>0.71920000000000006</v>
      </c>
      <c r="AH57" s="25">
        <f t="shared" si="12"/>
        <v>0</v>
      </c>
      <c r="AI57" s="25">
        <f t="shared" si="13"/>
        <v>-2.200000000000002E-2</v>
      </c>
    </row>
    <row r="58" spans="1:35" x14ac:dyDescent="0.25">
      <c r="A58" s="24" t="s">
        <v>134</v>
      </c>
      <c r="B58" s="25" t="s">
        <v>125</v>
      </c>
      <c r="C58" s="25">
        <v>0.3</v>
      </c>
      <c r="D58" s="25">
        <v>0.73799999999999999</v>
      </c>
      <c r="E58" s="25">
        <v>0.73499999999999999</v>
      </c>
      <c r="F58" s="25">
        <v>0.69599999999999995</v>
      </c>
      <c r="G58" s="25">
        <v>0.71899999999999997</v>
      </c>
      <c r="H58" s="25">
        <v>0.66700000000000004</v>
      </c>
      <c r="I58" s="26">
        <f t="shared" si="7"/>
        <v>0.71099999999999997</v>
      </c>
      <c r="J58" s="25">
        <v>0.752</v>
      </c>
      <c r="K58" s="25">
        <v>0.73199999999999998</v>
      </c>
      <c r="L58" s="25">
        <v>0.748</v>
      </c>
      <c r="M58" s="25">
        <v>0.72199999999999998</v>
      </c>
      <c r="N58" s="25">
        <v>0.67</v>
      </c>
      <c r="O58" s="26">
        <f t="shared" si="8"/>
        <v>0.7248</v>
      </c>
      <c r="P58" s="25">
        <v>0.65700000000000003</v>
      </c>
      <c r="Q58" s="25">
        <v>0.65100000000000002</v>
      </c>
      <c r="R58" s="25">
        <v>0.72199999999999998</v>
      </c>
      <c r="S58" s="25">
        <v>0.67700000000000005</v>
      </c>
      <c r="T58" s="25">
        <v>0.66700000000000004</v>
      </c>
      <c r="U58" s="26">
        <f t="shared" si="9"/>
        <v>0.67480000000000007</v>
      </c>
      <c r="V58" s="25">
        <v>0.72899999999999998</v>
      </c>
      <c r="W58" s="25">
        <v>0.72599999999999998</v>
      </c>
      <c r="X58" s="25">
        <v>0.73499999999999999</v>
      </c>
      <c r="Y58" s="25">
        <v>0.68</v>
      </c>
      <c r="Z58" s="25">
        <v>0.68600000000000005</v>
      </c>
      <c r="AA58" s="26">
        <f t="shared" si="10"/>
        <v>0.71120000000000005</v>
      </c>
      <c r="AB58" s="25">
        <v>0.72899999999999998</v>
      </c>
      <c r="AC58" s="25">
        <v>0.72599999999999998</v>
      </c>
      <c r="AD58" s="25">
        <v>0.73499999999999999</v>
      </c>
      <c r="AE58" s="25">
        <v>0.68</v>
      </c>
      <c r="AF58" s="25">
        <v>0.68600000000000005</v>
      </c>
      <c r="AG58" s="26">
        <f t="shared" si="11"/>
        <v>0.71120000000000005</v>
      </c>
      <c r="AH58" s="25">
        <f t="shared" si="12"/>
        <v>0</v>
      </c>
      <c r="AI58" s="25">
        <f t="shared" si="13"/>
        <v>-1.3599999999999945E-2</v>
      </c>
    </row>
    <row r="59" spans="1:35" x14ac:dyDescent="0.25">
      <c r="A59" s="24" t="s">
        <v>134</v>
      </c>
      <c r="B59" s="25" t="s">
        <v>125</v>
      </c>
      <c r="C59" s="25">
        <v>0.4</v>
      </c>
      <c r="D59" s="25">
        <v>0.61899999999999999</v>
      </c>
      <c r="E59" s="25">
        <v>0.64400000000000002</v>
      </c>
      <c r="F59" s="25">
        <v>0.60199999999999998</v>
      </c>
      <c r="G59" s="25">
        <v>0.69299999999999995</v>
      </c>
      <c r="H59" s="25">
        <v>0.63100000000000001</v>
      </c>
      <c r="I59" s="26">
        <f t="shared" si="7"/>
        <v>0.63780000000000003</v>
      </c>
      <c r="J59" s="25">
        <v>0.58899999999999997</v>
      </c>
      <c r="K59" s="25">
        <v>0.64400000000000002</v>
      </c>
      <c r="L59" s="25">
        <v>0.64</v>
      </c>
      <c r="M59" s="25">
        <v>0.69299999999999995</v>
      </c>
      <c r="N59" s="25">
        <v>0.63100000000000001</v>
      </c>
      <c r="O59" s="26">
        <f t="shared" si="8"/>
        <v>0.63939999999999997</v>
      </c>
      <c r="P59" s="25">
        <v>0.56299999999999994</v>
      </c>
      <c r="Q59" s="25">
        <v>0.59199999999999997</v>
      </c>
      <c r="R59" s="25">
        <v>0.61799999999999999</v>
      </c>
      <c r="S59" s="25">
        <v>0.66</v>
      </c>
      <c r="T59" s="25">
        <v>0.624</v>
      </c>
      <c r="U59" s="26">
        <f t="shared" si="9"/>
        <v>0.61139999999999994</v>
      </c>
      <c r="V59" s="25">
        <v>0.56000000000000005</v>
      </c>
      <c r="W59" s="25">
        <v>0.65</v>
      </c>
      <c r="X59" s="25">
        <v>0.60099999999999998</v>
      </c>
      <c r="Y59" s="25">
        <v>0.70599999999999996</v>
      </c>
      <c r="Z59" s="25">
        <v>0.58799999999999997</v>
      </c>
      <c r="AA59" s="26">
        <f t="shared" si="10"/>
        <v>0.621</v>
      </c>
      <c r="AB59" s="25">
        <v>0.56000000000000005</v>
      </c>
      <c r="AC59" s="25">
        <v>0.65</v>
      </c>
      <c r="AD59" s="25">
        <v>0.60099999999999998</v>
      </c>
      <c r="AE59" s="25">
        <v>0.70599999999999996</v>
      </c>
      <c r="AF59" s="25">
        <v>0.58799999999999997</v>
      </c>
      <c r="AG59" s="26">
        <f t="shared" si="11"/>
        <v>0.621</v>
      </c>
      <c r="AH59" s="25">
        <f t="shared" si="12"/>
        <v>0</v>
      </c>
      <c r="AI59" s="25">
        <f t="shared" si="13"/>
        <v>-1.8399999999999972E-2</v>
      </c>
    </row>
    <row r="60" spans="1:35" x14ac:dyDescent="0.25">
      <c r="A60" s="24" t="s">
        <v>134</v>
      </c>
      <c r="B60" s="25" t="s">
        <v>125</v>
      </c>
      <c r="C60" s="25">
        <v>0.5</v>
      </c>
      <c r="D60" s="25">
        <v>0.48099999999999998</v>
      </c>
      <c r="E60" s="25">
        <v>0.48099999999999998</v>
      </c>
      <c r="F60" s="25">
        <v>0.55900000000000005</v>
      </c>
      <c r="G60" s="25">
        <v>0.38200000000000001</v>
      </c>
      <c r="H60" s="25">
        <v>0.63400000000000001</v>
      </c>
      <c r="I60" s="26">
        <f t="shared" si="7"/>
        <v>0.50739999999999996</v>
      </c>
      <c r="J60" s="25">
        <v>0.34699999999999998</v>
      </c>
      <c r="K60" s="25">
        <v>0.48799999999999999</v>
      </c>
      <c r="L60" s="25">
        <v>0.56200000000000006</v>
      </c>
      <c r="M60" s="25">
        <v>0.48</v>
      </c>
      <c r="N60" s="25">
        <v>0.63</v>
      </c>
      <c r="O60" s="26">
        <f t="shared" si="8"/>
        <v>0.50140000000000007</v>
      </c>
      <c r="P60" s="25">
        <v>0.47</v>
      </c>
      <c r="Q60" s="25">
        <v>0.52300000000000002</v>
      </c>
      <c r="R60" s="25">
        <v>0.51700000000000002</v>
      </c>
      <c r="S60" s="25">
        <v>0.35599999999999998</v>
      </c>
      <c r="T60" s="25">
        <v>0.51300000000000001</v>
      </c>
      <c r="U60" s="26">
        <f t="shared" si="9"/>
        <v>0.4758</v>
      </c>
      <c r="V60" s="25">
        <v>0.39600000000000002</v>
      </c>
      <c r="W60" s="25">
        <v>0.45800000000000002</v>
      </c>
      <c r="X60" s="25">
        <v>0.57499999999999996</v>
      </c>
      <c r="Y60" s="25">
        <v>0.52600000000000002</v>
      </c>
      <c r="Z60" s="25">
        <v>0.56200000000000006</v>
      </c>
      <c r="AA60" s="26">
        <f t="shared" si="10"/>
        <v>0.50340000000000007</v>
      </c>
      <c r="AB60" s="25">
        <v>0.39600000000000002</v>
      </c>
      <c r="AC60" s="25">
        <v>0.45800000000000002</v>
      </c>
      <c r="AD60" s="25">
        <v>0.57499999999999996</v>
      </c>
      <c r="AE60" s="25">
        <v>0.52600000000000002</v>
      </c>
      <c r="AF60" s="25">
        <v>0.56200000000000006</v>
      </c>
      <c r="AG60" s="26">
        <f t="shared" si="11"/>
        <v>0.50340000000000007</v>
      </c>
      <c r="AH60" s="25">
        <f t="shared" si="12"/>
        <v>0</v>
      </c>
      <c r="AI60" s="25">
        <f t="shared" si="13"/>
        <v>2.0000000000000018E-3</v>
      </c>
    </row>
    <row r="61" spans="1:35" x14ac:dyDescent="0.25">
      <c r="A61" s="24" t="s">
        <v>134</v>
      </c>
      <c r="B61" s="25" t="s">
        <v>126</v>
      </c>
      <c r="C61" s="25">
        <v>0.2</v>
      </c>
      <c r="D61" s="25">
        <v>0.748</v>
      </c>
      <c r="E61" s="25">
        <v>0.73499999999999999</v>
      </c>
      <c r="F61" s="25">
        <v>0.71899999999999997</v>
      </c>
      <c r="G61" s="25">
        <v>0.73199999999999998</v>
      </c>
      <c r="H61" s="25">
        <v>0.73799999999999999</v>
      </c>
      <c r="I61" s="26">
        <f t="shared" si="7"/>
        <v>0.73440000000000005</v>
      </c>
      <c r="J61" s="25">
        <v>0.74199999999999999</v>
      </c>
      <c r="K61" s="25">
        <v>0.73899999999999999</v>
      </c>
      <c r="L61" s="25">
        <v>0.71599999999999997</v>
      </c>
      <c r="M61" s="25">
        <v>0.749</v>
      </c>
      <c r="N61" s="25">
        <v>0.72199999999999998</v>
      </c>
      <c r="O61" s="26">
        <f t="shared" si="8"/>
        <v>0.73360000000000003</v>
      </c>
      <c r="P61" s="25">
        <v>0.72599999999999998</v>
      </c>
      <c r="Q61" s="25">
        <v>0.61799999999999999</v>
      </c>
      <c r="R61" s="25">
        <v>0.65700000000000003</v>
      </c>
      <c r="S61" s="25">
        <v>0.72299999999999998</v>
      </c>
      <c r="T61" s="25">
        <v>0.69899999999999995</v>
      </c>
      <c r="U61" s="26">
        <f t="shared" si="9"/>
        <v>0.68459999999999988</v>
      </c>
      <c r="V61" s="25">
        <v>0.71499999999999997</v>
      </c>
      <c r="W61" s="25">
        <v>0.71299999999999997</v>
      </c>
      <c r="X61" s="25">
        <v>0.71899999999999997</v>
      </c>
      <c r="Y61" s="25">
        <v>0.749</v>
      </c>
      <c r="Z61" s="25">
        <v>0.71599999999999997</v>
      </c>
      <c r="AA61" s="26">
        <f t="shared" si="10"/>
        <v>0.72240000000000004</v>
      </c>
      <c r="AB61" s="25">
        <v>0.71499999999999997</v>
      </c>
      <c r="AC61" s="25">
        <v>0.71299999999999997</v>
      </c>
      <c r="AD61" s="25">
        <v>0.71899999999999997</v>
      </c>
      <c r="AE61" s="25">
        <v>0.749</v>
      </c>
      <c r="AF61" s="25">
        <v>0.71599999999999997</v>
      </c>
      <c r="AG61" s="26">
        <f t="shared" si="11"/>
        <v>0.72240000000000004</v>
      </c>
      <c r="AH61" s="25">
        <f t="shared" si="12"/>
        <v>0</v>
      </c>
      <c r="AI61" s="25">
        <f t="shared" si="13"/>
        <v>-1.1199999999999988E-2</v>
      </c>
    </row>
    <row r="62" spans="1:35" x14ac:dyDescent="0.25">
      <c r="A62" s="24" t="s">
        <v>134</v>
      </c>
      <c r="B62" s="25" t="s">
        <v>126</v>
      </c>
      <c r="C62" s="25">
        <v>0.3</v>
      </c>
      <c r="D62" s="25">
        <v>0.71599999999999997</v>
      </c>
      <c r="E62" s="25">
        <v>0.628</v>
      </c>
      <c r="F62" s="25">
        <v>0.61399999999999999</v>
      </c>
      <c r="G62" s="25">
        <v>0.66700000000000004</v>
      </c>
      <c r="H62" s="25">
        <v>0.59099999999999997</v>
      </c>
      <c r="I62" s="26">
        <f t="shared" si="7"/>
        <v>0.64319999999999999</v>
      </c>
      <c r="J62" s="25">
        <v>0.66300000000000003</v>
      </c>
      <c r="K62" s="25">
        <v>0.60499999999999998</v>
      </c>
      <c r="L62" s="25">
        <v>0.63400000000000001</v>
      </c>
      <c r="M62" s="25">
        <v>0.68</v>
      </c>
      <c r="N62" s="25">
        <v>0.61099999999999999</v>
      </c>
      <c r="O62" s="26">
        <f t="shared" si="8"/>
        <v>0.63860000000000006</v>
      </c>
      <c r="P62" s="25">
        <v>0.69299999999999995</v>
      </c>
      <c r="Q62" s="25">
        <v>0.624</v>
      </c>
      <c r="R62" s="25">
        <v>0.64400000000000002</v>
      </c>
      <c r="S62" s="25">
        <v>0.64800000000000002</v>
      </c>
      <c r="T62" s="25">
        <v>0.61099999999999999</v>
      </c>
      <c r="U62" s="26">
        <f t="shared" si="9"/>
        <v>0.64399999999999991</v>
      </c>
      <c r="V62" s="25">
        <v>0.67700000000000005</v>
      </c>
      <c r="W62" s="25">
        <v>0.63100000000000001</v>
      </c>
      <c r="X62" s="25">
        <v>0.67300000000000004</v>
      </c>
      <c r="Y62" s="25">
        <v>0.69</v>
      </c>
      <c r="Z62" s="25">
        <v>0.63100000000000001</v>
      </c>
      <c r="AA62" s="26">
        <f t="shared" si="10"/>
        <v>0.6604000000000001</v>
      </c>
      <c r="AB62" s="25">
        <v>0.67700000000000005</v>
      </c>
      <c r="AC62" s="25">
        <v>0.63100000000000001</v>
      </c>
      <c r="AD62" s="25">
        <v>0.67300000000000004</v>
      </c>
      <c r="AE62" s="25">
        <v>0.69</v>
      </c>
      <c r="AF62" s="25">
        <v>0.63100000000000001</v>
      </c>
      <c r="AG62" s="26">
        <f t="shared" si="11"/>
        <v>0.6604000000000001</v>
      </c>
      <c r="AH62" s="25">
        <f t="shared" si="12"/>
        <v>0</v>
      </c>
      <c r="AI62" s="25">
        <f t="shared" si="13"/>
        <v>2.1800000000000042E-2</v>
      </c>
    </row>
    <row r="63" spans="1:35" x14ac:dyDescent="0.25">
      <c r="A63" s="24" t="s">
        <v>134</v>
      </c>
      <c r="B63" s="25" t="s">
        <v>126</v>
      </c>
      <c r="C63" s="25">
        <v>0.4</v>
      </c>
      <c r="D63" s="25">
        <v>0.48099999999999998</v>
      </c>
      <c r="E63" s="25">
        <v>0.51300000000000001</v>
      </c>
      <c r="F63" s="25">
        <v>0.48299999999999998</v>
      </c>
      <c r="G63" s="25">
        <v>0.36199999999999999</v>
      </c>
      <c r="H63" s="25">
        <v>0.503</v>
      </c>
      <c r="I63" s="26">
        <f t="shared" si="7"/>
        <v>0.46840000000000004</v>
      </c>
      <c r="J63" s="25">
        <v>0.43099999999999999</v>
      </c>
      <c r="K63" s="25">
        <v>0.44800000000000001</v>
      </c>
      <c r="L63" s="25">
        <v>0.48</v>
      </c>
      <c r="M63" s="25">
        <v>0.40200000000000002</v>
      </c>
      <c r="N63" s="25">
        <v>0.52900000000000003</v>
      </c>
      <c r="O63" s="26">
        <f t="shared" si="8"/>
        <v>0.45800000000000002</v>
      </c>
      <c r="P63" s="25">
        <v>0.53</v>
      </c>
      <c r="Q63" s="25">
        <v>0.51900000000000002</v>
      </c>
      <c r="R63" s="25">
        <v>0.47699999999999998</v>
      </c>
      <c r="S63" s="25">
        <v>0.33300000000000002</v>
      </c>
      <c r="T63" s="25">
        <v>0.56499999999999995</v>
      </c>
      <c r="U63" s="26">
        <f t="shared" si="9"/>
        <v>0.4847999999999999</v>
      </c>
      <c r="V63" s="25">
        <v>0.51</v>
      </c>
      <c r="W63" s="25">
        <v>0.497</v>
      </c>
      <c r="X63" s="25">
        <v>0.43099999999999999</v>
      </c>
      <c r="Y63" s="25">
        <v>0.441</v>
      </c>
      <c r="Z63" s="25">
        <v>0.55900000000000005</v>
      </c>
      <c r="AA63" s="26">
        <f t="shared" si="10"/>
        <v>0.48760000000000003</v>
      </c>
      <c r="AB63" s="25">
        <v>0.51</v>
      </c>
      <c r="AC63" s="25">
        <v>0.497</v>
      </c>
      <c r="AD63" s="25">
        <v>0.43099999999999999</v>
      </c>
      <c r="AE63" s="25">
        <v>0.441</v>
      </c>
      <c r="AF63" s="25">
        <v>0.55900000000000005</v>
      </c>
      <c r="AG63" s="26">
        <f t="shared" si="11"/>
        <v>0.48760000000000003</v>
      </c>
      <c r="AH63" s="25">
        <f t="shared" si="12"/>
        <v>0</v>
      </c>
      <c r="AI63" s="25">
        <f t="shared" si="13"/>
        <v>2.9600000000000015E-2</v>
      </c>
    </row>
    <row r="64" spans="1:35" x14ac:dyDescent="0.25">
      <c r="A64" s="24" t="s">
        <v>134</v>
      </c>
      <c r="B64" s="25" t="s">
        <v>126</v>
      </c>
      <c r="C64" s="25">
        <v>0.5</v>
      </c>
      <c r="D64" s="25">
        <v>0.313</v>
      </c>
      <c r="E64" s="25">
        <v>0.26500000000000001</v>
      </c>
      <c r="F64" s="25">
        <v>0.29699999999999999</v>
      </c>
      <c r="G64" s="25">
        <v>0.29699999999999999</v>
      </c>
      <c r="H64" s="25">
        <v>0.27400000000000002</v>
      </c>
      <c r="I64" s="26">
        <f t="shared" si="7"/>
        <v>0.28920000000000001</v>
      </c>
      <c r="J64" s="25">
        <v>0.32</v>
      </c>
      <c r="K64" s="25">
        <v>0.307</v>
      </c>
      <c r="L64" s="25">
        <v>0.317</v>
      </c>
      <c r="M64" s="25">
        <v>0.29099999999999998</v>
      </c>
      <c r="N64" s="25">
        <v>0.29699999999999999</v>
      </c>
      <c r="O64" s="26">
        <f t="shared" si="8"/>
        <v>0.30639999999999995</v>
      </c>
      <c r="P64" s="25">
        <v>0.47299999999999998</v>
      </c>
      <c r="Q64" s="25">
        <v>0.41099999999999998</v>
      </c>
      <c r="R64" s="25">
        <v>0.46400000000000002</v>
      </c>
      <c r="S64" s="25">
        <v>0.32</v>
      </c>
      <c r="T64" s="25">
        <v>0.48599999999999999</v>
      </c>
      <c r="U64" s="26">
        <f t="shared" si="9"/>
        <v>0.43079999999999996</v>
      </c>
      <c r="V64" s="25">
        <v>0.38800000000000001</v>
      </c>
      <c r="W64" s="25">
        <v>0.32</v>
      </c>
      <c r="X64" s="25">
        <v>0.35899999999999999</v>
      </c>
      <c r="Y64" s="25">
        <v>0.34699999999999998</v>
      </c>
      <c r="Z64" s="25">
        <v>0.42099999999999999</v>
      </c>
      <c r="AA64" s="26">
        <f t="shared" si="10"/>
        <v>0.36699999999999999</v>
      </c>
      <c r="AB64" s="25">
        <v>0.38800000000000001</v>
      </c>
      <c r="AC64" s="25">
        <v>0.32</v>
      </c>
      <c r="AD64" s="25">
        <v>0.35899999999999999</v>
      </c>
      <c r="AE64" s="25">
        <v>0.34699999999999998</v>
      </c>
      <c r="AF64" s="25">
        <v>0.42099999999999999</v>
      </c>
      <c r="AG64" s="26">
        <f t="shared" si="11"/>
        <v>0.36699999999999999</v>
      </c>
      <c r="AH64" s="25">
        <f t="shared" si="12"/>
        <v>0</v>
      </c>
      <c r="AI64" s="25">
        <f t="shared" si="13"/>
        <v>6.0600000000000043E-2</v>
      </c>
    </row>
    <row r="65" spans="1:35" x14ac:dyDescent="0.25">
      <c r="A65" s="24" t="s">
        <v>134</v>
      </c>
      <c r="B65" s="25" t="s">
        <v>127</v>
      </c>
      <c r="C65" s="25">
        <v>0.2</v>
      </c>
      <c r="D65" s="25">
        <v>0.76200000000000001</v>
      </c>
      <c r="E65" s="25">
        <v>0.72599999999999998</v>
      </c>
      <c r="F65" s="25">
        <v>0.74199999999999999</v>
      </c>
      <c r="G65" s="25">
        <v>0.74199999999999999</v>
      </c>
      <c r="H65" s="25">
        <v>0.74199999999999999</v>
      </c>
      <c r="I65" s="26">
        <f t="shared" si="7"/>
        <v>0.74280000000000002</v>
      </c>
      <c r="J65" s="25">
        <v>0.748</v>
      </c>
      <c r="K65" s="25">
        <v>0.72899999999999998</v>
      </c>
      <c r="L65" s="25">
        <v>0.73499999999999999</v>
      </c>
      <c r="M65" s="25">
        <v>0.748</v>
      </c>
      <c r="N65" s="25">
        <v>0.74199999999999999</v>
      </c>
      <c r="O65" s="26">
        <f t="shared" si="8"/>
        <v>0.74039999999999995</v>
      </c>
      <c r="P65" s="25">
        <v>0.80300000000000005</v>
      </c>
      <c r="Q65" s="25">
        <v>0.70499999999999996</v>
      </c>
      <c r="R65" s="25">
        <v>0.68899999999999995</v>
      </c>
      <c r="S65" s="25">
        <v>0.76200000000000001</v>
      </c>
      <c r="T65" s="25">
        <v>0.70499999999999996</v>
      </c>
      <c r="U65" s="26">
        <f t="shared" si="9"/>
        <v>0.73280000000000001</v>
      </c>
      <c r="V65" s="25">
        <v>0.78700000000000003</v>
      </c>
      <c r="W65" s="25">
        <v>0.71299999999999997</v>
      </c>
      <c r="X65" s="25">
        <v>0.69899999999999995</v>
      </c>
      <c r="Y65" s="25">
        <v>0.754</v>
      </c>
      <c r="Z65" s="25">
        <v>0.72099999999999997</v>
      </c>
      <c r="AA65" s="26">
        <f t="shared" si="10"/>
        <v>0.73480000000000001</v>
      </c>
      <c r="AB65" s="25">
        <v>0.56499999999999995</v>
      </c>
      <c r="AC65" s="25">
        <v>0.64500000000000002</v>
      </c>
      <c r="AD65" s="25">
        <v>0.64700000000000002</v>
      </c>
      <c r="AE65" s="25">
        <v>0.624</v>
      </c>
      <c r="AF65" s="25">
        <v>0.59899999999999998</v>
      </c>
      <c r="AG65" s="26">
        <f t="shared" si="11"/>
        <v>0.61599999999999999</v>
      </c>
      <c r="AH65" s="25">
        <f t="shared" si="12"/>
        <v>-0.11880000000000002</v>
      </c>
      <c r="AI65" s="25">
        <f t="shared" si="13"/>
        <v>-0.12439999999999996</v>
      </c>
    </row>
    <row r="66" spans="1:35" x14ac:dyDescent="0.25">
      <c r="A66" s="24" t="s">
        <v>134</v>
      </c>
      <c r="B66" s="25" t="s">
        <v>127</v>
      </c>
      <c r="C66" s="25">
        <v>0.3</v>
      </c>
      <c r="D66" s="25">
        <v>0.69</v>
      </c>
      <c r="E66" s="25">
        <v>0.69</v>
      </c>
      <c r="F66" s="25">
        <v>0.67300000000000004</v>
      </c>
      <c r="G66" s="25">
        <v>0.755</v>
      </c>
      <c r="H66" s="25">
        <v>0.69299999999999995</v>
      </c>
      <c r="I66" s="26">
        <f t="shared" si="7"/>
        <v>0.70019999999999993</v>
      </c>
      <c r="J66" s="25">
        <v>0.68</v>
      </c>
      <c r="K66" s="25">
        <v>0.71899999999999997</v>
      </c>
      <c r="L66" s="25">
        <v>0.68600000000000005</v>
      </c>
      <c r="M66" s="25">
        <v>0.745</v>
      </c>
      <c r="N66" s="25">
        <v>0.69299999999999995</v>
      </c>
      <c r="O66" s="26">
        <f t="shared" si="8"/>
        <v>0.7046</v>
      </c>
      <c r="P66" s="25">
        <v>0.61399999999999999</v>
      </c>
      <c r="Q66" s="25">
        <v>0.66400000000000003</v>
      </c>
      <c r="R66" s="25">
        <v>0.621</v>
      </c>
      <c r="S66" s="25">
        <v>0.70299999999999996</v>
      </c>
      <c r="T66" s="25">
        <v>0.70899999999999996</v>
      </c>
      <c r="U66" s="26">
        <f t="shared" si="9"/>
        <v>0.66220000000000001</v>
      </c>
      <c r="V66" s="25">
        <v>0.65</v>
      </c>
      <c r="W66" s="25">
        <v>0.70299999999999996</v>
      </c>
      <c r="X66" s="25">
        <v>0.65300000000000002</v>
      </c>
      <c r="Y66" s="25">
        <v>0.71599999999999997</v>
      </c>
      <c r="Z66" s="25">
        <v>0.68300000000000005</v>
      </c>
      <c r="AA66" s="26">
        <f t="shared" si="10"/>
        <v>0.68100000000000005</v>
      </c>
      <c r="AB66" s="25">
        <v>0.65</v>
      </c>
      <c r="AC66" s="25">
        <v>0.70299999999999996</v>
      </c>
      <c r="AD66" s="25">
        <v>0.65300000000000002</v>
      </c>
      <c r="AE66" s="25">
        <v>0.71599999999999997</v>
      </c>
      <c r="AF66" s="25">
        <v>0.68300000000000005</v>
      </c>
      <c r="AG66" s="26">
        <f t="shared" si="11"/>
        <v>0.68100000000000005</v>
      </c>
      <c r="AH66" s="25">
        <f t="shared" si="12"/>
        <v>0</v>
      </c>
      <c r="AI66" s="25">
        <f t="shared" si="13"/>
        <v>-2.3599999999999954E-2</v>
      </c>
    </row>
    <row r="67" spans="1:35" x14ac:dyDescent="0.25">
      <c r="A67" s="24" t="s">
        <v>134</v>
      </c>
      <c r="B67" s="25" t="s">
        <v>127</v>
      </c>
      <c r="C67" s="25">
        <v>0.4</v>
      </c>
      <c r="D67" s="25">
        <v>0.66700000000000004</v>
      </c>
      <c r="E67" s="25">
        <v>0.61499999999999999</v>
      </c>
      <c r="F67" s="25">
        <v>0.67300000000000004</v>
      </c>
      <c r="G67" s="25">
        <v>0.64700000000000002</v>
      </c>
      <c r="H67" s="25">
        <v>0.61799999999999999</v>
      </c>
      <c r="I67" s="26">
        <f t="shared" si="7"/>
        <v>0.64400000000000002</v>
      </c>
      <c r="J67" s="25">
        <v>0.64</v>
      </c>
      <c r="K67" s="25">
        <v>0.61099999999999999</v>
      </c>
      <c r="L67" s="25">
        <v>0.70599999999999996</v>
      </c>
      <c r="M67" s="25">
        <v>0.63700000000000001</v>
      </c>
      <c r="N67" s="25">
        <v>0.64700000000000002</v>
      </c>
      <c r="O67" s="26">
        <f t="shared" si="8"/>
        <v>0.64819999999999989</v>
      </c>
      <c r="P67" s="25">
        <v>0.64100000000000001</v>
      </c>
      <c r="Q67" s="25">
        <v>0.59799999999999998</v>
      </c>
      <c r="R67" s="25">
        <v>0.59499999999999997</v>
      </c>
      <c r="S67" s="25">
        <v>0.63400000000000001</v>
      </c>
      <c r="T67" s="25">
        <v>0.65</v>
      </c>
      <c r="U67" s="26">
        <f t="shared" si="9"/>
        <v>0.62359999999999993</v>
      </c>
      <c r="V67" s="25">
        <v>0.65300000000000002</v>
      </c>
      <c r="W67" s="25">
        <v>0.58799999999999997</v>
      </c>
      <c r="X67" s="25">
        <v>0.63700000000000001</v>
      </c>
      <c r="Y67" s="25">
        <v>0.64700000000000002</v>
      </c>
      <c r="Z67" s="25">
        <v>0.63700000000000001</v>
      </c>
      <c r="AA67" s="26">
        <f t="shared" si="10"/>
        <v>0.63240000000000007</v>
      </c>
      <c r="AB67" s="25">
        <v>0.65300000000000002</v>
      </c>
      <c r="AC67" s="25">
        <v>0.58799999999999997</v>
      </c>
      <c r="AD67" s="25">
        <v>0.63700000000000001</v>
      </c>
      <c r="AE67" s="25">
        <v>0.64700000000000002</v>
      </c>
      <c r="AF67" s="25">
        <v>0.63700000000000001</v>
      </c>
      <c r="AG67" s="26">
        <f t="shared" si="11"/>
        <v>0.63240000000000007</v>
      </c>
      <c r="AH67" s="25">
        <f t="shared" si="12"/>
        <v>0</v>
      </c>
      <c r="AI67" s="25">
        <f t="shared" si="13"/>
        <v>-1.5799999999999814E-2</v>
      </c>
    </row>
    <row r="68" spans="1:35" x14ac:dyDescent="0.25">
      <c r="A68" s="24" t="s">
        <v>134</v>
      </c>
      <c r="B68" s="25" t="s">
        <v>127</v>
      </c>
      <c r="C68" s="25">
        <v>0.5</v>
      </c>
      <c r="D68" s="25">
        <v>0.48699999999999999</v>
      </c>
      <c r="E68" s="25">
        <v>0.48699999999999999</v>
      </c>
      <c r="F68" s="25">
        <v>0.497</v>
      </c>
      <c r="G68" s="25">
        <v>0.5</v>
      </c>
      <c r="H68" s="25">
        <v>0.441</v>
      </c>
      <c r="I68" s="26">
        <f t="shared" si="7"/>
        <v>0.4824</v>
      </c>
      <c r="J68" s="25">
        <v>0.52300000000000002</v>
      </c>
      <c r="K68" s="25">
        <v>0.51700000000000002</v>
      </c>
      <c r="L68" s="25">
        <v>0.60799999999999998</v>
      </c>
      <c r="M68" s="25">
        <v>0.46800000000000003</v>
      </c>
      <c r="N68" s="25">
        <v>0.52300000000000002</v>
      </c>
      <c r="O68" s="26">
        <f t="shared" si="8"/>
        <v>0.52780000000000005</v>
      </c>
      <c r="P68" s="25">
        <v>0.58499999999999996</v>
      </c>
      <c r="Q68" s="25">
        <v>0.54</v>
      </c>
      <c r="R68" s="25">
        <v>0.53700000000000003</v>
      </c>
      <c r="S68" s="25">
        <v>0.42799999999999999</v>
      </c>
      <c r="T68" s="25">
        <v>0.40200000000000002</v>
      </c>
      <c r="U68" s="26">
        <f t="shared" si="9"/>
        <v>0.49840000000000001</v>
      </c>
      <c r="V68" s="25">
        <v>0.58499999999999996</v>
      </c>
      <c r="W68" s="25">
        <v>0.54200000000000004</v>
      </c>
      <c r="X68" s="25">
        <v>0.60499999999999998</v>
      </c>
      <c r="Y68" s="25">
        <v>0.48799999999999999</v>
      </c>
      <c r="Z68" s="25">
        <v>0.501</v>
      </c>
      <c r="AA68" s="26">
        <f t="shared" si="10"/>
        <v>0.54419999999999991</v>
      </c>
      <c r="AB68" s="25">
        <v>0.58499999999999996</v>
      </c>
      <c r="AC68" s="25">
        <v>0.54200000000000004</v>
      </c>
      <c r="AD68" s="25">
        <v>0.60499999999999998</v>
      </c>
      <c r="AE68" s="25">
        <v>0.48799999999999999</v>
      </c>
      <c r="AF68" s="25">
        <v>0.501</v>
      </c>
      <c r="AG68" s="26">
        <f t="shared" si="11"/>
        <v>0.54419999999999991</v>
      </c>
      <c r="AH68" s="25">
        <f t="shared" si="12"/>
        <v>0</v>
      </c>
      <c r="AI68" s="25">
        <f t="shared" si="13"/>
        <v>1.6399999999999859E-2</v>
      </c>
    </row>
    <row r="69" spans="1:35" x14ac:dyDescent="0.25">
      <c r="A69" s="24" t="s">
        <v>134</v>
      </c>
      <c r="B69" s="25" t="s">
        <v>128</v>
      </c>
      <c r="C69" s="25">
        <v>0.2</v>
      </c>
      <c r="D69" s="25">
        <v>0.72199999999999998</v>
      </c>
      <c r="E69" s="25">
        <v>0.748</v>
      </c>
      <c r="F69" s="25">
        <v>0.745</v>
      </c>
      <c r="G69" s="25">
        <v>0.70899999999999996</v>
      </c>
      <c r="H69" s="25">
        <v>0.72899999999999998</v>
      </c>
      <c r="I69" s="26">
        <f t="shared" ref="I69:I100" si="14">IFERROR(AVERAGE(D69:H69),"")</f>
        <v>0.73060000000000003</v>
      </c>
      <c r="J69" s="25">
        <v>0.72499999999999998</v>
      </c>
      <c r="K69" s="25">
        <v>0.76500000000000001</v>
      </c>
      <c r="L69" s="25">
        <v>0.72499999999999998</v>
      </c>
      <c r="M69" s="25">
        <v>0.73899999999999999</v>
      </c>
      <c r="N69" s="25">
        <v>0.72899999999999998</v>
      </c>
      <c r="O69" s="26">
        <f t="shared" ref="O69:O100" si="15">IFERROR(AVERAGE(J69:N69),"")</f>
        <v>0.73659999999999992</v>
      </c>
      <c r="P69" s="25">
        <v>0.71599999999999997</v>
      </c>
      <c r="Q69" s="25">
        <v>0.72199999999999998</v>
      </c>
      <c r="R69" s="25">
        <v>0.66700000000000004</v>
      </c>
      <c r="S69" s="25">
        <v>0.71599999999999997</v>
      </c>
      <c r="T69" s="25">
        <v>0.67</v>
      </c>
      <c r="U69" s="26">
        <f t="shared" ref="U69:U100" si="16">IFERROR(AVERAGE(P69:T69),"")</f>
        <v>0.69819999999999993</v>
      </c>
      <c r="V69" s="25">
        <v>0.70899999999999996</v>
      </c>
      <c r="W69" s="25">
        <v>0.73499999999999999</v>
      </c>
      <c r="X69" s="25">
        <v>0.69</v>
      </c>
      <c r="Y69" s="25">
        <v>0.71899999999999997</v>
      </c>
      <c r="Z69" s="25">
        <v>0.70299999999999996</v>
      </c>
      <c r="AA69" s="26">
        <f t="shared" ref="AA69:AA100" si="17">IFERROR(AVERAGE(V69:Z69),"")</f>
        <v>0.71119999999999994</v>
      </c>
      <c r="AB69" s="25">
        <v>0.70899999999999996</v>
      </c>
      <c r="AC69" s="25">
        <v>0.73499999999999999</v>
      </c>
      <c r="AD69" s="25">
        <v>0.69</v>
      </c>
      <c r="AE69" s="25">
        <v>0.71899999999999997</v>
      </c>
      <c r="AF69" s="25">
        <v>0.70299999999999996</v>
      </c>
      <c r="AG69" s="26">
        <f t="shared" ref="AG69:AG100" si="18">IFERROR(AVERAGE(AB69:AF69),"")</f>
        <v>0.71119999999999994</v>
      </c>
      <c r="AH69" s="25">
        <f t="shared" ref="AH69:AH100" si="19">IFERROR(AG69-AA69,"")</f>
        <v>0</v>
      </c>
      <c r="AI69" s="25">
        <f t="shared" ref="AI69:AI100" si="20">IFERROR(AG69-O69,"")</f>
        <v>-2.5399999999999978E-2</v>
      </c>
    </row>
    <row r="70" spans="1:35" x14ac:dyDescent="0.25">
      <c r="A70" s="24" t="s">
        <v>134</v>
      </c>
      <c r="B70" s="25" t="s">
        <v>128</v>
      </c>
      <c r="C70" s="25">
        <v>0.3</v>
      </c>
      <c r="D70" s="25">
        <v>0.72499999999999998</v>
      </c>
      <c r="E70" s="25">
        <v>0.70899999999999996</v>
      </c>
      <c r="F70" s="25">
        <v>0.72499999999999998</v>
      </c>
      <c r="G70" s="25">
        <v>0.68600000000000005</v>
      </c>
      <c r="H70" s="25">
        <v>0.748</v>
      </c>
      <c r="I70" s="26">
        <f t="shared" si="14"/>
        <v>0.71860000000000002</v>
      </c>
      <c r="J70" s="25">
        <v>0.73499999999999999</v>
      </c>
      <c r="K70" s="25">
        <v>0.71199999999999997</v>
      </c>
      <c r="L70" s="25">
        <v>0.73499999999999999</v>
      </c>
      <c r="M70" s="25">
        <v>0.74199999999999999</v>
      </c>
      <c r="N70" s="25">
        <v>0.748</v>
      </c>
      <c r="O70" s="26">
        <f t="shared" si="15"/>
        <v>0.73439999999999994</v>
      </c>
      <c r="P70" s="25">
        <v>0.64</v>
      </c>
      <c r="Q70" s="25">
        <v>0.66</v>
      </c>
      <c r="R70" s="25">
        <v>0.71899999999999997</v>
      </c>
      <c r="S70" s="25">
        <v>0.68600000000000005</v>
      </c>
      <c r="T70" s="25">
        <v>0.70899999999999996</v>
      </c>
      <c r="U70" s="26">
        <f t="shared" si="16"/>
        <v>0.68280000000000007</v>
      </c>
      <c r="V70" s="25">
        <v>0.71899999999999997</v>
      </c>
      <c r="W70" s="25">
        <v>0.72499999999999998</v>
      </c>
      <c r="X70" s="25">
        <v>0.71199999999999997</v>
      </c>
      <c r="Y70" s="25">
        <v>0.66700000000000004</v>
      </c>
      <c r="Z70" s="25">
        <v>0.69599999999999995</v>
      </c>
      <c r="AA70" s="26">
        <f t="shared" si="17"/>
        <v>0.70379999999999987</v>
      </c>
      <c r="AB70" s="25">
        <v>0.71899999999999997</v>
      </c>
      <c r="AC70" s="25">
        <v>0.72499999999999998</v>
      </c>
      <c r="AD70" s="25">
        <v>0.71199999999999997</v>
      </c>
      <c r="AE70" s="25">
        <v>0.66700000000000004</v>
      </c>
      <c r="AF70" s="25">
        <v>0.69599999999999995</v>
      </c>
      <c r="AG70" s="26">
        <f t="shared" si="18"/>
        <v>0.70379999999999987</v>
      </c>
      <c r="AH70" s="25">
        <f t="shared" si="19"/>
        <v>0</v>
      </c>
      <c r="AI70" s="25">
        <f t="shared" si="20"/>
        <v>-3.0600000000000072E-2</v>
      </c>
    </row>
    <row r="71" spans="1:35" x14ac:dyDescent="0.25">
      <c r="A71" s="24" t="s">
        <v>134</v>
      </c>
      <c r="B71" s="25" t="s">
        <v>128</v>
      </c>
      <c r="C71" s="25">
        <v>0.4</v>
      </c>
      <c r="D71" s="25">
        <v>0.67700000000000005</v>
      </c>
      <c r="E71" s="25">
        <v>0.624</v>
      </c>
      <c r="F71" s="25">
        <v>0.627</v>
      </c>
      <c r="G71" s="25">
        <v>0.68300000000000005</v>
      </c>
      <c r="H71" s="25">
        <v>0.58799999999999997</v>
      </c>
      <c r="I71" s="26">
        <f t="shared" si="14"/>
        <v>0.63980000000000004</v>
      </c>
      <c r="J71" s="25">
        <v>0.745</v>
      </c>
      <c r="K71" s="25">
        <v>0.65</v>
      </c>
      <c r="L71" s="25">
        <v>0.627</v>
      </c>
      <c r="M71" s="25">
        <v>0.63400000000000001</v>
      </c>
      <c r="N71" s="25">
        <v>0.57799999999999996</v>
      </c>
      <c r="O71" s="26">
        <f t="shared" si="15"/>
        <v>0.64680000000000004</v>
      </c>
      <c r="P71" s="25">
        <v>0.64</v>
      </c>
      <c r="Q71" s="25">
        <v>0.54600000000000004</v>
      </c>
      <c r="R71" s="25">
        <v>0.61699999999999999</v>
      </c>
      <c r="S71" s="25">
        <v>0.628</v>
      </c>
      <c r="T71" s="25">
        <v>0.51600000000000001</v>
      </c>
      <c r="U71" s="26">
        <f t="shared" si="16"/>
        <v>0.58940000000000003</v>
      </c>
      <c r="V71" s="25">
        <v>0.68700000000000006</v>
      </c>
      <c r="W71" s="25">
        <v>0.61699999999999999</v>
      </c>
      <c r="X71" s="25">
        <v>0.61499999999999999</v>
      </c>
      <c r="Y71" s="25">
        <v>0.61099999999999999</v>
      </c>
      <c r="Z71" s="25">
        <v>0.47699999999999998</v>
      </c>
      <c r="AA71" s="26">
        <f t="shared" si="17"/>
        <v>0.60140000000000005</v>
      </c>
      <c r="AB71" s="25">
        <v>0.68700000000000006</v>
      </c>
      <c r="AC71" s="25">
        <v>0.61699999999999999</v>
      </c>
      <c r="AD71" s="25">
        <v>0.61499999999999999</v>
      </c>
      <c r="AE71" s="25">
        <v>0.61099999999999999</v>
      </c>
      <c r="AF71" s="25">
        <v>0.47699999999999998</v>
      </c>
      <c r="AG71" s="26">
        <f t="shared" si="18"/>
        <v>0.60140000000000005</v>
      </c>
      <c r="AH71" s="25">
        <f t="shared" si="19"/>
        <v>0</v>
      </c>
      <c r="AI71" s="25">
        <f t="shared" si="20"/>
        <v>-4.5399999999999996E-2</v>
      </c>
    </row>
    <row r="72" spans="1:35" x14ac:dyDescent="0.25">
      <c r="A72" s="24" t="s">
        <v>134</v>
      </c>
      <c r="B72" s="25" t="s">
        <v>128</v>
      </c>
      <c r="C72" s="25">
        <v>0.5</v>
      </c>
      <c r="D72" s="25">
        <v>0.54300000000000004</v>
      </c>
      <c r="E72" s="25">
        <v>0.57099999999999995</v>
      </c>
      <c r="F72" s="25">
        <v>0.41399999999999998</v>
      </c>
      <c r="G72" s="25">
        <v>0.441</v>
      </c>
      <c r="H72" s="25">
        <v>0.45700000000000002</v>
      </c>
      <c r="I72" s="26">
        <f t="shared" si="14"/>
        <v>0.48519999999999996</v>
      </c>
      <c r="J72" s="25">
        <v>0.50600000000000001</v>
      </c>
      <c r="K72" s="25">
        <v>0.56799999999999995</v>
      </c>
      <c r="L72" s="25">
        <v>0.47699999999999998</v>
      </c>
      <c r="M72" s="25">
        <v>0.45100000000000001</v>
      </c>
      <c r="N72" s="25">
        <v>0.47399999999999998</v>
      </c>
      <c r="O72" s="26">
        <f t="shared" si="15"/>
        <v>0.49519999999999997</v>
      </c>
      <c r="P72" s="25">
        <v>0.54200000000000004</v>
      </c>
      <c r="Q72" s="25">
        <v>0.55800000000000005</v>
      </c>
      <c r="R72" s="25">
        <v>0.47599999999999998</v>
      </c>
      <c r="S72" s="25">
        <v>0.38900000000000001</v>
      </c>
      <c r="T72" s="25">
        <v>0.441</v>
      </c>
      <c r="U72" s="26">
        <f t="shared" si="16"/>
        <v>0.48120000000000002</v>
      </c>
      <c r="V72" s="25">
        <v>0.49</v>
      </c>
      <c r="W72" s="25">
        <v>0.55200000000000005</v>
      </c>
      <c r="X72" s="25">
        <v>0.40899999999999997</v>
      </c>
      <c r="Y72" s="25">
        <v>0.44400000000000001</v>
      </c>
      <c r="Z72" s="25">
        <v>0.42499999999999999</v>
      </c>
      <c r="AA72" s="26">
        <f t="shared" si="17"/>
        <v>0.46399999999999997</v>
      </c>
      <c r="AB72" s="25">
        <v>0.49</v>
      </c>
      <c r="AC72" s="25">
        <v>0.55200000000000005</v>
      </c>
      <c r="AD72" s="25">
        <v>0.40899999999999997</v>
      </c>
      <c r="AE72" s="25">
        <v>0.44400000000000001</v>
      </c>
      <c r="AF72" s="25">
        <v>0.42499999999999999</v>
      </c>
      <c r="AG72" s="26">
        <f t="shared" si="18"/>
        <v>0.46399999999999997</v>
      </c>
      <c r="AH72" s="25">
        <f t="shared" si="19"/>
        <v>0</v>
      </c>
      <c r="AI72" s="25">
        <f t="shared" si="20"/>
        <v>-3.1200000000000006E-2</v>
      </c>
    </row>
    <row r="73" spans="1:35" x14ac:dyDescent="0.25">
      <c r="A73" s="24" t="s">
        <v>135</v>
      </c>
      <c r="B73" s="25" t="s">
        <v>124</v>
      </c>
      <c r="C73" s="25">
        <v>0</v>
      </c>
      <c r="D73" s="25">
        <v>0.79400000000000004</v>
      </c>
      <c r="E73" s="25">
        <v>0.81799999999999995</v>
      </c>
      <c r="F73" s="25">
        <v>0.77500000000000002</v>
      </c>
      <c r="G73" s="25">
        <v>0.82799999999999996</v>
      </c>
      <c r="H73" s="25">
        <v>0.83799999999999997</v>
      </c>
      <c r="I73" s="26">
        <f t="shared" si="14"/>
        <v>0.81059999999999999</v>
      </c>
      <c r="J73" s="25">
        <v>0.81799999999999995</v>
      </c>
      <c r="K73" s="25">
        <v>0.82199999999999995</v>
      </c>
      <c r="L73" s="25">
        <v>0.79500000000000004</v>
      </c>
      <c r="M73" s="25">
        <v>0.79800000000000004</v>
      </c>
      <c r="N73" s="25">
        <v>0.81799999999999995</v>
      </c>
      <c r="O73" s="26">
        <f t="shared" si="15"/>
        <v>0.81020000000000003</v>
      </c>
      <c r="P73" s="25">
        <v>0.78400000000000003</v>
      </c>
      <c r="Q73" s="25">
        <v>0.79100000000000004</v>
      </c>
      <c r="R73" s="25">
        <v>0.76800000000000002</v>
      </c>
      <c r="S73" s="25">
        <v>0.80100000000000005</v>
      </c>
      <c r="T73" s="25">
        <v>0.79500000000000004</v>
      </c>
      <c r="U73" s="26">
        <f t="shared" si="16"/>
        <v>0.78780000000000006</v>
      </c>
      <c r="V73" s="25">
        <v>0.78500000000000003</v>
      </c>
      <c r="W73" s="25">
        <v>0.79100000000000004</v>
      </c>
      <c r="X73" s="25">
        <v>0.79200000000000004</v>
      </c>
      <c r="Y73" s="25">
        <v>0.79100000000000004</v>
      </c>
      <c r="Z73" s="25">
        <v>0.79100000000000004</v>
      </c>
      <c r="AA73" s="26">
        <f t="shared" si="17"/>
        <v>0.79</v>
      </c>
      <c r="AB73" s="25">
        <v>0.78500000000000003</v>
      </c>
      <c r="AC73" s="25">
        <v>0.79100000000000004</v>
      </c>
      <c r="AD73" s="25">
        <v>0.79200000000000004</v>
      </c>
      <c r="AE73" s="25">
        <v>0.79100000000000004</v>
      </c>
      <c r="AF73" s="25">
        <v>0.79100000000000004</v>
      </c>
      <c r="AG73" s="26">
        <f t="shared" si="18"/>
        <v>0.79</v>
      </c>
      <c r="AH73" s="25">
        <f t="shared" si="19"/>
        <v>0</v>
      </c>
      <c r="AI73" s="25">
        <f t="shared" si="20"/>
        <v>-2.0199999999999996E-2</v>
      </c>
    </row>
    <row r="74" spans="1:35" x14ac:dyDescent="0.25">
      <c r="A74" s="24" t="s">
        <v>135</v>
      </c>
      <c r="B74" s="25" t="s">
        <v>125</v>
      </c>
      <c r="C74" s="25">
        <v>0.2</v>
      </c>
      <c r="D74" s="25">
        <v>0.71699999999999997</v>
      </c>
      <c r="E74" s="25">
        <v>0.72399999999999998</v>
      </c>
      <c r="F74" s="25">
        <v>0.76100000000000001</v>
      </c>
      <c r="G74" s="25">
        <v>0.72699999999999998</v>
      </c>
      <c r="H74" s="25">
        <v>0.80500000000000005</v>
      </c>
      <c r="I74" s="26">
        <f t="shared" si="14"/>
        <v>0.74680000000000002</v>
      </c>
      <c r="J74" s="25">
        <v>0.72699999999999998</v>
      </c>
      <c r="K74" s="25">
        <v>0.77100000000000002</v>
      </c>
      <c r="L74" s="25">
        <v>0.74099999999999999</v>
      </c>
      <c r="M74" s="25">
        <v>0.76400000000000001</v>
      </c>
      <c r="N74" s="25">
        <v>0.79400000000000004</v>
      </c>
      <c r="O74" s="26">
        <f t="shared" si="15"/>
        <v>0.75940000000000007</v>
      </c>
      <c r="P74" s="25">
        <v>0.67700000000000005</v>
      </c>
      <c r="Q74" s="25">
        <v>0.58299999999999996</v>
      </c>
      <c r="R74" s="25">
        <v>0.73399999999999999</v>
      </c>
      <c r="S74" s="25">
        <v>0.70699999999999996</v>
      </c>
      <c r="T74" s="25">
        <v>0.78400000000000003</v>
      </c>
      <c r="U74" s="26">
        <f t="shared" si="16"/>
        <v>0.69700000000000006</v>
      </c>
      <c r="V74" s="25">
        <v>0.68400000000000005</v>
      </c>
      <c r="W74" s="25">
        <v>0.58599999999999997</v>
      </c>
      <c r="X74" s="25">
        <v>0.65700000000000003</v>
      </c>
      <c r="Y74" s="25">
        <v>0.69299999999999995</v>
      </c>
      <c r="Z74" s="25">
        <v>0.78400000000000003</v>
      </c>
      <c r="AA74" s="26">
        <f t="shared" si="17"/>
        <v>0.68079999999999996</v>
      </c>
      <c r="AB74" s="25">
        <v>0.68400000000000005</v>
      </c>
      <c r="AC74" s="25">
        <v>0.58599999999999997</v>
      </c>
      <c r="AD74" s="25">
        <v>0.65700000000000003</v>
      </c>
      <c r="AE74" s="25">
        <v>0.69299999999999995</v>
      </c>
      <c r="AF74" s="25">
        <v>0.78400000000000003</v>
      </c>
      <c r="AG74" s="26">
        <f t="shared" si="18"/>
        <v>0.68079999999999996</v>
      </c>
      <c r="AH74" s="25">
        <f t="shared" si="19"/>
        <v>0</v>
      </c>
      <c r="AI74" s="25">
        <f t="shared" si="20"/>
        <v>-7.8600000000000114E-2</v>
      </c>
    </row>
    <row r="75" spans="1:35" x14ac:dyDescent="0.25">
      <c r="A75" s="24" t="s">
        <v>135</v>
      </c>
      <c r="B75" s="25" t="s">
        <v>125</v>
      </c>
      <c r="C75" s="25">
        <v>0.3</v>
      </c>
      <c r="D75" s="25">
        <v>0.74099999999999999</v>
      </c>
      <c r="E75" s="25">
        <v>0.68700000000000006</v>
      </c>
      <c r="F75" s="25">
        <v>0.71099999999999997</v>
      </c>
      <c r="G75" s="25">
        <v>0.69</v>
      </c>
      <c r="H75" s="25">
        <v>0.68</v>
      </c>
      <c r="I75" s="26">
        <f t="shared" si="14"/>
        <v>0.70179999999999998</v>
      </c>
      <c r="J75" s="25">
        <v>0.72</v>
      </c>
      <c r="K75" s="25">
        <v>0.70399999999999996</v>
      </c>
      <c r="L75" s="25">
        <v>0.78800000000000003</v>
      </c>
      <c r="M75" s="25">
        <v>0.72399999999999998</v>
      </c>
      <c r="N75" s="25">
        <v>0.72699999999999998</v>
      </c>
      <c r="O75" s="26">
        <f t="shared" si="15"/>
        <v>0.73259999999999992</v>
      </c>
      <c r="P75" s="25">
        <v>0.58499999999999996</v>
      </c>
      <c r="Q75" s="25">
        <v>0.64</v>
      </c>
      <c r="R75" s="25">
        <v>0.65300000000000002</v>
      </c>
      <c r="S75" s="25">
        <v>0.7</v>
      </c>
      <c r="T75" s="25">
        <v>0.60599999999999998</v>
      </c>
      <c r="U75" s="26">
        <f t="shared" si="16"/>
        <v>0.63680000000000003</v>
      </c>
      <c r="V75" s="25">
        <v>0.60299999999999998</v>
      </c>
      <c r="W75" s="25">
        <v>0.63900000000000001</v>
      </c>
      <c r="X75" s="25">
        <v>0.68700000000000006</v>
      </c>
      <c r="Y75" s="25">
        <v>0.70099999999999996</v>
      </c>
      <c r="Z75" s="25">
        <v>0.68</v>
      </c>
      <c r="AA75" s="26">
        <f t="shared" si="17"/>
        <v>0.66200000000000003</v>
      </c>
      <c r="AB75" s="25">
        <v>0.60299999999999998</v>
      </c>
      <c r="AC75" s="25">
        <v>0.63900000000000001</v>
      </c>
      <c r="AD75" s="25">
        <v>0.68700000000000006</v>
      </c>
      <c r="AE75" s="25">
        <v>0.70099999999999996</v>
      </c>
      <c r="AF75" s="25">
        <v>0.68</v>
      </c>
      <c r="AG75" s="26">
        <f t="shared" si="18"/>
        <v>0.66200000000000003</v>
      </c>
      <c r="AH75" s="25">
        <f t="shared" si="19"/>
        <v>0</v>
      </c>
      <c r="AI75" s="25">
        <f t="shared" si="20"/>
        <v>-7.0599999999999885E-2</v>
      </c>
    </row>
    <row r="76" spans="1:35" x14ac:dyDescent="0.25">
      <c r="A76" s="24" t="s">
        <v>135</v>
      </c>
      <c r="B76" s="25" t="s">
        <v>125</v>
      </c>
      <c r="C76" s="25">
        <v>0.4</v>
      </c>
      <c r="D76" s="25">
        <v>0.60599999999999998</v>
      </c>
      <c r="E76" s="25">
        <v>0.61299999999999999</v>
      </c>
      <c r="F76" s="25">
        <v>0.60299999999999998</v>
      </c>
      <c r="G76" s="25">
        <v>0.61299999999999999</v>
      </c>
      <c r="H76" s="25">
        <v>0.65300000000000002</v>
      </c>
      <c r="I76" s="26">
        <f t="shared" si="14"/>
        <v>0.61759999999999993</v>
      </c>
      <c r="J76" s="25">
        <v>0.55600000000000005</v>
      </c>
      <c r="K76" s="25">
        <v>0.626</v>
      </c>
      <c r="L76" s="25">
        <v>0.58699999999999997</v>
      </c>
      <c r="M76" s="25">
        <v>0.63300000000000001</v>
      </c>
      <c r="N76" s="25">
        <v>0.67300000000000004</v>
      </c>
      <c r="O76" s="26">
        <f t="shared" si="15"/>
        <v>0.61499999999999999</v>
      </c>
      <c r="P76" s="25">
        <v>0.56200000000000006</v>
      </c>
      <c r="Q76" s="25">
        <v>0.55300000000000005</v>
      </c>
      <c r="R76" s="25">
        <v>0.60299999999999998</v>
      </c>
      <c r="S76" s="25">
        <v>0.52900000000000003</v>
      </c>
      <c r="T76" s="25">
        <v>0.58599999999999997</v>
      </c>
      <c r="U76" s="26">
        <f t="shared" si="16"/>
        <v>0.56659999999999999</v>
      </c>
      <c r="V76" s="25">
        <v>0.55800000000000005</v>
      </c>
      <c r="W76" s="25">
        <v>0.61</v>
      </c>
      <c r="X76" s="25">
        <v>0.57599999999999996</v>
      </c>
      <c r="Y76" s="25">
        <v>0.60899999999999999</v>
      </c>
      <c r="Z76" s="25">
        <v>0.64300000000000002</v>
      </c>
      <c r="AA76" s="26">
        <f t="shared" si="17"/>
        <v>0.59920000000000007</v>
      </c>
      <c r="AB76" s="25">
        <v>0.55800000000000005</v>
      </c>
      <c r="AC76" s="25">
        <v>0.61</v>
      </c>
      <c r="AD76" s="25">
        <v>0.57599999999999996</v>
      </c>
      <c r="AE76" s="25">
        <v>0.60899999999999999</v>
      </c>
      <c r="AF76" s="25">
        <v>0.64300000000000002</v>
      </c>
      <c r="AG76" s="26">
        <f t="shared" si="18"/>
        <v>0.59920000000000007</v>
      </c>
      <c r="AH76" s="25">
        <f t="shared" si="19"/>
        <v>0</v>
      </c>
      <c r="AI76" s="25">
        <f t="shared" si="20"/>
        <v>-1.5799999999999925E-2</v>
      </c>
    </row>
    <row r="77" spans="1:35" x14ac:dyDescent="0.25">
      <c r="A77" s="24" t="s">
        <v>135</v>
      </c>
      <c r="B77" s="25" t="s">
        <v>125</v>
      </c>
      <c r="C77" s="25">
        <v>0.5</v>
      </c>
      <c r="D77" s="25">
        <v>0.441</v>
      </c>
      <c r="E77" s="25">
        <v>0.434</v>
      </c>
      <c r="F77" s="25">
        <v>0.55500000000000005</v>
      </c>
      <c r="G77" s="25">
        <v>0.47799999999999998</v>
      </c>
      <c r="H77" s="25">
        <v>0.52200000000000002</v>
      </c>
      <c r="I77" s="26">
        <f t="shared" si="14"/>
        <v>0.48600000000000004</v>
      </c>
      <c r="J77" s="25">
        <v>0.52200000000000002</v>
      </c>
      <c r="K77" s="25">
        <v>0.48399999999999999</v>
      </c>
      <c r="L77" s="25">
        <v>0.49199999999999999</v>
      </c>
      <c r="M77" s="25">
        <v>0.59599999999999997</v>
      </c>
      <c r="N77" s="25">
        <v>0.42099999999999999</v>
      </c>
      <c r="O77" s="26">
        <f t="shared" si="15"/>
        <v>0.50299999999999989</v>
      </c>
      <c r="P77" s="25">
        <v>0.434</v>
      </c>
      <c r="Q77" s="25">
        <v>0.47799999999999998</v>
      </c>
      <c r="R77" s="25">
        <v>0.58199999999999996</v>
      </c>
      <c r="S77" s="25">
        <v>0.495</v>
      </c>
      <c r="T77" s="25">
        <v>0.53500000000000003</v>
      </c>
      <c r="U77" s="26">
        <f t="shared" si="16"/>
        <v>0.50480000000000003</v>
      </c>
      <c r="V77" s="25">
        <v>0.52</v>
      </c>
      <c r="W77" s="25">
        <v>0.48099999999999998</v>
      </c>
      <c r="X77" s="25">
        <v>0.46800000000000003</v>
      </c>
      <c r="Y77" s="25">
        <v>0.55500000000000005</v>
      </c>
      <c r="Z77" s="25">
        <v>0.48799999999999999</v>
      </c>
      <c r="AA77" s="26">
        <f t="shared" si="17"/>
        <v>0.50239999999999996</v>
      </c>
      <c r="AB77" s="25">
        <v>0.52</v>
      </c>
      <c r="AC77" s="25">
        <v>0.48099999999999998</v>
      </c>
      <c r="AD77" s="25">
        <v>0.46800000000000003</v>
      </c>
      <c r="AE77" s="25">
        <v>0.55500000000000005</v>
      </c>
      <c r="AF77" s="25">
        <v>0.48799999999999999</v>
      </c>
      <c r="AG77" s="26">
        <f t="shared" si="18"/>
        <v>0.50239999999999996</v>
      </c>
      <c r="AH77" s="25">
        <f t="shared" si="19"/>
        <v>0</v>
      </c>
      <c r="AI77" s="25">
        <f t="shared" si="20"/>
        <v>-5.9999999999993392E-4</v>
      </c>
    </row>
    <row r="78" spans="1:35" x14ac:dyDescent="0.25">
      <c r="A78" s="24" t="s">
        <v>135</v>
      </c>
      <c r="B78" s="25" t="s">
        <v>126</v>
      </c>
      <c r="C78" s="25">
        <v>0.2</v>
      </c>
      <c r="D78" s="25">
        <v>0.75700000000000001</v>
      </c>
      <c r="E78" s="25">
        <v>0.747</v>
      </c>
      <c r="F78" s="25">
        <v>0.76100000000000001</v>
      </c>
      <c r="G78" s="25">
        <v>0.747</v>
      </c>
      <c r="H78" s="25">
        <v>0.78100000000000003</v>
      </c>
      <c r="I78" s="26">
        <f t="shared" si="14"/>
        <v>0.75860000000000005</v>
      </c>
      <c r="J78" s="25">
        <v>0.754</v>
      </c>
      <c r="K78" s="25">
        <v>0.754</v>
      </c>
      <c r="L78" s="25">
        <v>0.76100000000000001</v>
      </c>
      <c r="M78" s="25">
        <v>0.76400000000000001</v>
      </c>
      <c r="N78" s="25">
        <v>0.75700000000000001</v>
      </c>
      <c r="O78" s="26">
        <f t="shared" si="15"/>
        <v>0.75800000000000012</v>
      </c>
      <c r="P78" s="25">
        <v>0.73399999999999999</v>
      </c>
      <c r="Q78" s="25">
        <v>0.69399999999999995</v>
      </c>
      <c r="R78" s="25">
        <v>0.72399999999999998</v>
      </c>
      <c r="S78" s="25">
        <v>0.68400000000000005</v>
      </c>
      <c r="T78" s="25">
        <v>0.72399999999999998</v>
      </c>
      <c r="U78" s="26">
        <f t="shared" si="16"/>
        <v>0.71200000000000008</v>
      </c>
      <c r="V78" s="25">
        <v>0.61399999999999999</v>
      </c>
      <c r="W78" s="25">
        <v>0.56899999999999995</v>
      </c>
      <c r="X78" s="25">
        <v>0.67</v>
      </c>
      <c r="Y78" s="25">
        <v>0.67300000000000004</v>
      </c>
      <c r="Z78" s="25">
        <v>0.67300000000000004</v>
      </c>
      <c r="AA78" s="26">
        <f t="shared" si="17"/>
        <v>0.63979999999999992</v>
      </c>
      <c r="AB78" s="25">
        <v>0.61399999999999999</v>
      </c>
      <c r="AC78" s="25">
        <v>0.56899999999999995</v>
      </c>
      <c r="AD78" s="25">
        <v>0.67</v>
      </c>
      <c r="AE78" s="25">
        <v>0.67300000000000004</v>
      </c>
      <c r="AF78" s="25">
        <v>0.67300000000000004</v>
      </c>
      <c r="AG78" s="26">
        <f t="shared" si="18"/>
        <v>0.63979999999999992</v>
      </c>
      <c r="AH78" s="25">
        <f t="shared" si="19"/>
        <v>0</v>
      </c>
      <c r="AI78" s="25">
        <f t="shared" si="20"/>
        <v>-0.11820000000000019</v>
      </c>
    </row>
    <row r="79" spans="1:35" x14ac:dyDescent="0.25">
      <c r="A79" s="24" t="s">
        <v>135</v>
      </c>
      <c r="B79" s="25" t="s">
        <v>126</v>
      </c>
      <c r="C79" s="25">
        <v>0.3</v>
      </c>
      <c r="D79" s="25">
        <v>0.71699999999999997</v>
      </c>
      <c r="E79" s="25">
        <v>0.73699999999999999</v>
      </c>
      <c r="F79" s="25">
        <v>0.71799999999999997</v>
      </c>
      <c r="G79" s="25">
        <v>0.74</v>
      </c>
      <c r="H79" s="25">
        <v>0.78100000000000003</v>
      </c>
      <c r="I79" s="26">
        <f t="shared" si="14"/>
        <v>0.73860000000000003</v>
      </c>
      <c r="J79" s="25">
        <v>0.73699999999999999</v>
      </c>
      <c r="K79" s="25">
        <v>0.71699999999999997</v>
      </c>
      <c r="L79" s="25">
        <v>0.79100000000000004</v>
      </c>
      <c r="M79" s="25">
        <v>0.71699999999999997</v>
      </c>
      <c r="N79" s="25">
        <v>0.72699999999999998</v>
      </c>
      <c r="O79" s="26">
        <f t="shared" si="15"/>
        <v>0.73780000000000001</v>
      </c>
      <c r="P79" s="25">
        <v>0.67700000000000005</v>
      </c>
      <c r="Q79" s="25">
        <v>0.65300000000000002</v>
      </c>
      <c r="R79" s="25">
        <v>0.64</v>
      </c>
      <c r="S79" s="25">
        <v>0.63300000000000001</v>
      </c>
      <c r="T79" s="25">
        <v>0.69</v>
      </c>
      <c r="U79" s="26">
        <f t="shared" si="16"/>
        <v>0.65860000000000007</v>
      </c>
      <c r="V79" s="25">
        <v>0.57899999999999996</v>
      </c>
      <c r="W79" s="25">
        <v>0.58599999999999997</v>
      </c>
      <c r="X79" s="25">
        <v>0.65700000000000003</v>
      </c>
      <c r="Y79" s="25">
        <v>0.64300000000000002</v>
      </c>
      <c r="Z79" s="25">
        <v>0.57899999999999996</v>
      </c>
      <c r="AA79" s="26">
        <f t="shared" si="17"/>
        <v>0.6087999999999999</v>
      </c>
      <c r="AB79" s="25">
        <v>0.57899999999999996</v>
      </c>
      <c r="AC79" s="25">
        <v>0.58599999999999997</v>
      </c>
      <c r="AD79" s="25">
        <v>0.65700000000000003</v>
      </c>
      <c r="AE79" s="25">
        <v>0.64300000000000002</v>
      </c>
      <c r="AF79" s="25">
        <v>0.57899999999999996</v>
      </c>
      <c r="AG79" s="26">
        <f t="shared" si="18"/>
        <v>0.6087999999999999</v>
      </c>
      <c r="AH79" s="25">
        <f t="shared" si="19"/>
        <v>0</v>
      </c>
      <c r="AI79" s="25">
        <f t="shared" si="20"/>
        <v>-0.12900000000000011</v>
      </c>
    </row>
    <row r="80" spans="1:35" x14ac:dyDescent="0.25">
      <c r="A80" s="24" t="s">
        <v>135</v>
      </c>
      <c r="B80" s="25" t="s">
        <v>126</v>
      </c>
      <c r="C80" s="25">
        <v>0.4</v>
      </c>
      <c r="D80" s="25">
        <v>0.68</v>
      </c>
      <c r="E80" s="25">
        <v>0.67300000000000004</v>
      </c>
      <c r="F80" s="25">
        <v>0.66400000000000003</v>
      </c>
      <c r="G80" s="25">
        <v>0.70399999999999996</v>
      </c>
      <c r="H80" s="25">
        <v>0.69399999999999995</v>
      </c>
      <c r="I80" s="26">
        <f t="shared" si="14"/>
        <v>0.68300000000000005</v>
      </c>
      <c r="J80" s="25">
        <v>0.67700000000000005</v>
      </c>
      <c r="K80" s="25">
        <v>0.67400000000000004</v>
      </c>
      <c r="L80" s="25">
        <v>0.7</v>
      </c>
      <c r="M80" s="25">
        <v>0.70699999999999996</v>
      </c>
      <c r="N80" s="25">
        <v>0.72</v>
      </c>
      <c r="O80" s="26">
        <f t="shared" si="15"/>
        <v>0.6956</v>
      </c>
      <c r="P80" s="25">
        <v>0.64</v>
      </c>
      <c r="Q80" s="25">
        <v>0.64</v>
      </c>
      <c r="R80" s="25">
        <v>0.623</v>
      </c>
      <c r="S80" s="25">
        <v>0.67</v>
      </c>
      <c r="T80" s="25">
        <v>0.61299999999999999</v>
      </c>
      <c r="U80" s="26">
        <f t="shared" si="16"/>
        <v>0.63719999999999999</v>
      </c>
      <c r="V80" s="25">
        <v>0.66700000000000004</v>
      </c>
      <c r="W80" s="25">
        <v>0.57599999999999996</v>
      </c>
      <c r="X80" s="25">
        <v>0.64</v>
      </c>
      <c r="Y80" s="25">
        <v>0.60899999999999999</v>
      </c>
      <c r="Z80" s="25">
        <v>0.50800000000000001</v>
      </c>
      <c r="AA80" s="26">
        <f t="shared" si="17"/>
        <v>0.6</v>
      </c>
      <c r="AB80" s="25">
        <v>0.66700000000000004</v>
      </c>
      <c r="AC80" s="25">
        <v>0.57599999999999996</v>
      </c>
      <c r="AD80" s="25">
        <v>0.64</v>
      </c>
      <c r="AE80" s="25">
        <v>0.60899999999999999</v>
      </c>
      <c r="AF80" s="25">
        <v>0.50800000000000001</v>
      </c>
      <c r="AG80" s="26">
        <f t="shared" si="18"/>
        <v>0.6</v>
      </c>
      <c r="AH80" s="25">
        <f t="shared" si="19"/>
        <v>0</v>
      </c>
      <c r="AI80" s="25">
        <f t="shared" si="20"/>
        <v>-9.5600000000000018E-2</v>
      </c>
    </row>
    <row r="81" spans="1:35" x14ac:dyDescent="0.25">
      <c r="A81" s="24" t="s">
        <v>135</v>
      </c>
      <c r="B81" s="25" t="s">
        <v>126</v>
      </c>
      <c r="C81" s="25">
        <v>0.5</v>
      </c>
      <c r="D81" s="25">
        <v>0.58199999999999996</v>
      </c>
      <c r="E81" s="25">
        <v>0.59599999999999997</v>
      </c>
      <c r="F81" s="25">
        <v>0.67</v>
      </c>
      <c r="G81" s="25">
        <v>0.65900000000000003</v>
      </c>
      <c r="H81" s="25">
        <v>0.64300000000000002</v>
      </c>
      <c r="I81" s="26">
        <f t="shared" si="14"/>
        <v>0.62999999999999989</v>
      </c>
      <c r="J81" s="25">
        <v>0.63</v>
      </c>
      <c r="K81" s="25">
        <v>0.61599999999999999</v>
      </c>
      <c r="L81" s="25">
        <v>0.60599999999999998</v>
      </c>
      <c r="M81" s="25">
        <v>0.63600000000000001</v>
      </c>
      <c r="N81" s="25">
        <v>0.61899999999999999</v>
      </c>
      <c r="O81" s="26">
        <f t="shared" si="15"/>
        <v>0.62140000000000006</v>
      </c>
      <c r="P81" s="25"/>
      <c r="Q81" s="25"/>
      <c r="R81" s="25"/>
      <c r="S81" s="25"/>
      <c r="T81" s="25"/>
      <c r="U81" s="26" t="str">
        <f t="shared" si="16"/>
        <v/>
      </c>
      <c r="V81" s="25"/>
      <c r="W81" s="25"/>
      <c r="X81" s="25"/>
      <c r="Y81" s="25"/>
      <c r="Z81" s="25"/>
      <c r="AA81" s="26" t="str">
        <f t="shared" si="17"/>
        <v/>
      </c>
      <c r="AB81" s="25">
        <v>0.75800000000000001</v>
      </c>
      <c r="AC81" s="25">
        <v>0.72399999999999998</v>
      </c>
      <c r="AD81" s="25">
        <v>0.751</v>
      </c>
      <c r="AE81" s="25">
        <v>0.72399999999999998</v>
      </c>
      <c r="AF81" s="25">
        <v>0.73399999999999999</v>
      </c>
      <c r="AG81" s="26">
        <f t="shared" si="18"/>
        <v>0.73819999999999997</v>
      </c>
      <c r="AH81" s="25" t="str">
        <f t="shared" si="19"/>
        <v/>
      </c>
      <c r="AI81" s="25">
        <f t="shared" si="20"/>
        <v>0.1167999999999999</v>
      </c>
    </row>
    <row r="82" spans="1:35" x14ac:dyDescent="0.25">
      <c r="A82" s="24" t="s">
        <v>135</v>
      </c>
      <c r="B82" s="25" t="s">
        <v>127</v>
      </c>
      <c r="C82" s="25">
        <v>0.2</v>
      </c>
      <c r="D82" s="25">
        <v>0.79400000000000004</v>
      </c>
      <c r="E82" s="25">
        <v>0.73399999999999999</v>
      </c>
      <c r="F82" s="25">
        <v>0.74099999999999999</v>
      </c>
      <c r="G82" s="25">
        <v>0.78400000000000003</v>
      </c>
      <c r="H82" s="25">
        <v>0.79100000000000004</v>
      </c>
      <c r="I82" s="26">
        <f t="shared" si="14"/>
        <v>0.76879999999999993</v>
      </c>
      <c r="J82" s="25">
        <v>0.81100000000000005</v>
      </c>
      <c r="K82" s="25">
        <v>0.78800000000000003</v>
      </c>
      <c r="L82" s="25">
        <v>0.80500000000000005</v>
      </c>
      <c r="M82" s="25">
        <v>0.80500000000000005</v>
      </c>
      <c r="N82" s="25">
        <v>0.83499999999999996</v>
      </c>
      <c r="O82" s="26">
        <f t="shared" si="15"/>
        <v>0.80880000000000007</v>
      </c>
      <c r="P82" s="25">
        <v>0.747</v>
      </c>
      <c r="Q82" s="25">
        <v>0.79100000000000004</v>
      </c>
      <c r="R82" s="25">
        <v>0.77100000000000002</v>
      </c>
      <c r="S82" s="25">
        <v>0.75800000000000001</v>
      </c>
      <c r="T82" s="25">
        <v>0.77100000000000002</v>
      </c>
      <c r="U82" s="26">
        <f t="shared" si="16"/>
        <v>0.76760000000000006</v>
      </c>
      <c r="V82" s="25">
        <v>0.76400000000000001</v>
      </c>
      <c r="W82" s="25">
        <v>0.79100000000000004</v>
      </c>
      <c r="X82" s="25">
        <v>0.70399999999999996</v>
      </c>
      <c r="Y82" s="25">
        <v>0.71699999999999997</v>
      </c>
      <c r="Z82" s="25">
        <v>0.76700000000000002</v>
      </c>
      <c r="AA82" s="26">
        <f t="shared" si="17"/>
        <v>0.74860000000000004</v>
      </c>
      <c r="AB82" s="25">
        <v>0.76400000000000001</v>
      </c>
      <c r="AC82" s="25">
        <v>0.79100000000000004</v>
      </c>
      <c r="AD82" s="25">
        <v>0.70399999999999996</v>
      </c>
      <c r="AE82" s="25">
        <v>0.71699999999999997</v>
      </c>
      <c r="AF82" s="25">
        <v>0.76700000000000002</v>
      </c>
      <c r="AG82" s="26">
        <f t="shared" si="18"/>
        <v>0.74860000000000004</v>
      </c>
      <c r="AH82" s="25">
        <f t="shared" si="19"/>
        <v>0</v>
      </c>
      <c r="AI82" s="25">
        <f t="shared" si="20"/>
        <v>-6.0200000000000031E-2</v>
      </c>
    </row>
    <row r="83" spans="1:35" x14ac:dyDescent="0.25">
      <c r="A83" s="24" t="s">
        <v>135</v>
      </c>
      <c r="B83" s="25" t="s">
        <v>127</v>
      </c>
      <c r="C83" s="25">
        <v>0.3</v>
      </c>
      <c r="D83" s="25">
        <v>0.73699999999999999</v>
      </c>
      <c r="E83" s="25">
        <v>0.73799999999999999</v>
      </c>
      <c r="F83" s="25">
        <v>0.70399999999999996</v>
      </c>
      <c r="G83" s="25">
        <v>0.77400000000000002</v>
      </c>
      <c r="H83" s="25">
        <v>0.74399999999999999</v>
      </c>
      <c r="I83" s="26">
        <f t="shared" si="14"/>
        <v>0.73940000000000006</v>
      </c>
      <c r="J83" s="25">
        <v>0.78400000000000003</v>
      </c>
      <c r="K83" s="25">
        <v>0.755</v>
      </c>
      <c r="L83" s="25">
        <v>0.76100000000000001</v>
      </c>
      <c r="M83" s="25">
        <v>0.80500000000000005</v>
      </c>
      <c r="N83" s="25">
        <v>0.75700000000000001</v>
      </c>
      <c r="O83" s="26">
        <f t="shared" si="15"/>
        <v>0.77240000000000009</v>
      </c>
      <c r="P83" s="25">
        <v>0.67600000000000005</v>
      </c>
      <c r="Q83" s="25">
        <v>0.72099999999999997</v>
      </c>
      <c r="R83" s="25">
        <v>0.63</v>
      </c>
      <c r="S83" s="25">
        <v>0.65300000000000002</v>
      </c>
      <c r="T83" s="25">
        <v>0.66</v>
      </c>
      <c r="U83" s="26">
        <f t="shared" si="16"/>
        <v>0.66800000000000004</v>
      </c>
      <c r="V83" s="25">
        <v>0.71399999999999997</v>
      </c>
      <c r="W83" s="25">
        <v>0.72099999999999997</v>
      </c>
      <c r="X83" s="25">
        <v>0.70699999999999996</v>
      </c>
      <c r="Y83" s="25">
        <v>0.78400000000000003</v>
      </c>
      <c r="Z83" s="25">
        <v>0.68</v>
      </c>
      <c r="AA83" s="26">
        <f t="shared" si="17"/>
        <v>0.72120000000000006</v>
      </c>
      <c r="AB83" s="25">
        <v>0.71399999999999997</v>
      </c>
      <c r="AC83" s="25">
        <v>0.72099999999999997</v>
      </c>
      <c r="AD83" s="25">
        <v>0.70699999999999996</v>
      </c>
      <c r="AE83" s="25">
        <v>0.78400000000000003</v>
      </c>
      <c r="AF83" s="25">
        <v>0.68</v>
      </c>
      <c r="AG83" s="26">
        <f t="shared" si="18"/>
        <v>0.72120000000000006</v>
      </c>
      <c r="AH83" s="25">
        <f t="shared" si="19"/>
        <v>0</v>
      </c>
      <c r="AI83" s="25">
        <f t="shared" si="20"/>
        <v>-5.1200000000000023E-2</v>
      </c>
    </row>
    <row r="84" spans="1:35" x14ac:dyDescent="0.25">
      <c r="A84" s="24" t="s">
        <v>135</v>
      </c>
      <c r="B84" s="25" t="s">
        <v>127</v>
      </c>
      <c r="C84" s="25">
        <v>0.4</v>
      </c>
      <c r="D84" s="25">
        <v>0.70699999999999996</v>
      </c>
      <c r="E84" s="25">
        <v>0.72099999999999997</v>
      </c>
      <c r="F84" s="25">
        <v>0.68400000000000005</v>
      </c>
      <c r="G84" s="25">
        <v>0.69</v>
      </c>
      <c r="H84" s="25">
        <v>0.623</v>
      </c>
      <c r="I84" s="26">
        <f t="shared" si="14"/>
        <v>0.68499999999999994</v>
      </c>
      <c r="J84" s="25">
        <v>0.73399999999999999</v>
      </c>
      <c r="K84" s="25">
        <v>0.66700000000000004</v>
      </c>
      <c r="L84" s="25">
        <v>0.68700000000000006</v>
      </c>
      <c r="M84" s="25">
        <v>0.69</v>
      </c>
      <c r="N84" s="25">
        <v>0.67</v>
      </c>
      <c r="O84" s="26">
        <f t="shared" si="15"/>
        <v>0.68959999999999999</v>
      </c>
      <c r="P84" s="25">
        <v>0.66300000000000003</v>
      </c>
      <c r="Q84" s="25">
        <v>0.68300000000000005</v>
      </c>
      <c r="R84" s="25">
        <v>0.63</v>
      </c>
      <c r="S84" s="25">
        <v>0.629</v>
      </c>
      <c r="T84" s="25">
        <v>0.69</v>
      </c>
      <c r="U84" s="26">
        <f t="shared" si="16"/>
        <v>0.65900000000000003</v>
      </c>
      <c r="V84" s="25">
        <v>0.67600000000000005</v>
      </c>
      <c r="W84" s="25">
        <v>0.56499999999999995</v>
      </c>
      <c r="X84" s="25">
        <v>0.66700000000000004</v>
      </c>
      <c r="Y84" s="25">
        <v>0.63200000000000001</v>
      </c>
      <c r="Z84" s="25">
        <v>0.58299999999999996</v>
      </c>
      <c r="AA84" s="26">
        <f t="shared" si="17"/>
        <v>0.62460000000000004</v>
      </c>
      <c r="AB84" s="25">
        <v>0.67600000000000005</v>
      </c>
      <c r="AC84" s="25">
        <v>0.56499999999999995</v>
      </c>
      <c r="AD84" s="25">
        <v>0.66700000000000004</v>
      </c>
      <c r="AE84" s="25">
        <v>0.63200000000000001</v>
      </c>
      <c r="AF84" s="25">
        <v>0.58299999999999996</v>
      </c>
      <c r="AG84" s="26">
        <f t="shared" si="18"/>
        <v>0.62460000000000004</v>
      </c>
      <c r="AH84" s="25">
        <f t="shared" si="19"/>
        <v>0</v>
      </c>
      <c r="AI84" s="25">
        <f t="shared" si="20"/>
        <v>-6.4999999999999947E-2</v>
      </c>
    </row>
    <row r="85" spans="1:35" x14ac:dyDescent="0.25">
      <c r="A85" s="24" t="s">
        <v>135</v>
      </c>
      <c r="B85" s="25" t="s">
        <v>127</v>
      </c>
      <c r="C85" s="25">
        <v>0.5</v>
      </c>
      <c r="D85" s="25">
        <v>0.54900000000000004</v>
      </c>
      <c r="E85" s="25">
        <v>0.51800000000000002</v>
      </c>
      <c r="F85" s="25">
        <v>0.48399999999999999</v>
      </c>
      <c r="G85" s="25">
        <v>0.48199999999999998</v>
      </c>
      <c r="H85" s="25">
        <v>0.48799999999999999</v>
      </c>
      <c r="I85" s="26">
        <f t="shared" si="14"/>
        <v>0.50420000000000009</v>
      </c>
      <c r="J85" s="25">
        <v>0.54600000000000004</v>
      </c>
      <c r="K85" s="25">
        <v>0.44800000000000001</v>
      </c>
      <c r="L85" s="25">
        <v>0.52400000000000002</v>
      </c>
      <c r="M85" s="25">
        <v>0.51800000000000002</v>
      </c>
      <c r="N85" s="25">
        <v>0.495</v>
      </c>
      <c r="O85" s="26">
        <f t="shared" si="15"/>
        <v>0.50619999999999998</v>
      </c>
      <c r="P85" s="25">
        <v>0.55500000000000005</v>
      </c>
      <c r="Q85" s="25">
        <v>0.46100000000000002</v>
      </c>
      <c r="R85" s="25">
        <v>0.45100000000000001</v>
      </c>
      <c r="S85" s="25">
        <v>0.434</v>
      </c>
      <c r="T85" s="25">
        <v>0.45500000000000002</v>
      </c>
      <c r="U85" s="26">
        <f t="shared" si="16"/>
        <v>0.47119999999999995</v>
      </c>
      <c r="V85" s="25">
        <v>0.55500000000000005</v>
      </c>
      <c r="W85" s="25">
        <v>0.441</v>
      </c>
      <c r="X85" s="25">
        <v>0.51500000000000001</v>
      </c>
      <c r="Y85" s="25">
        <v>0.45400000000000001</v>
      </c>
      <c r="Z85" s="25">
        <v>0.441</v>
      </c>
      <c r="AA85" s="26">
        <f t="shared" si="17"/>
        <v>0.48120000000000002</v>
      </c>
      <c r="AB85" s="25">
        <v>0.55500000000000005</v>
      </c>
      <c r="AC85" s="25">
        <v>0.441</v>
      </c>
      <c r="AD85" s="25">
        <v>0.51500000000000001</v>
      </c>
      <c r="AE85" s="25">
        <v>0.45400000000000001</v>
      </c>
      <c r="AF85" s="25">
        <v>0.441</v>
      </c>
      <c r="AG85" s="26">
        <f t="shared" si="18"/>
        <v>0.48120000000000002</v>
      </c>
      <c r="AH85" s="25">
        <f t="shared" si="19"/>
        <v>0</v>
      </c>
      <c r="AI85" s="25">
        <f t="shared" si="20"/>
        <v>-2.4999999999999967E-2</v>
      </c>
    </row>
    <row r="86" spans="1:35" x14ac:dyDescent="0.25">
      <c r="A86" s="24" t="s">
        <v>135</v>
      </c>
      <c r="B86" s="25" t="s">
        <v>128</v>
      </c>
      <c r="C86" s="25">
        <v>0.2</v>
      </c>
      <c r="D86" s="25">
        <v>0.73699999999999999</v>
      </c>
      <c r="E86" s="25">
        <v>0.70399999999999996</v>
      </c>
      <c r="F86" s="25">
        <v>0.72799999999999998</v>
      </c>
      <c r="G86" s="25">
        <v>0.73399999999999999</v>
      </c>
      <c r="H86" s="25">
        <v>0.72099999999999997</v>
      </c>
      <c r="I86" s="26">
        <f t="shared" si="14"/>
        <v>0.72479999999999989</v>
      </c>
      <c r="J86" s="25">
        <v>0.73099999999999998</v>
      </c>
      <c r="K86" s="25">
        <v>0.73699999999999999</v>
      </c>
      <c r="L86" s="25">
        <v>0.76100000000000001</v>
      </c>
      <c r="M86" s="25">
        <v>0.754</v>
      </c>
      <c r="N86" s="25">
        <v>0.747</v>
      </c>
      <c r="O86" s="26">
        <f t="shared" si="15"/>
        <v>0.746</v>
      </c>
      <c r="P86" s="25">
        <v>0.65300000000000002</v>
      </c>
      <c r="Q86" s="25">
        <v>0.68</v>
      </c>
      <c r="R86" s="25">
        <v>0.69699999999999995</v>
      </c>
      <c r="S86" s="25">
        <v>0.63700000000000001</v>
      </c>
      <c r="T86" s="25">
        <v>0.7</v>
      </c>
      <c r="U86" s="26">
        <f t="shared" si="16"/>
        <v>0.6734</v>
      </c>
      <c r="V86" s="25">
        <v>0.67300000000000004</v>
      </c>
      <c r="W86" s="25">
        <v>0.64600000000000002</v>
      </c>
      <c r="X86" s="25">
        <v>0.63900000000000001</v>
      </c>
      <c r="Y86" s="25">
        <v>0.68100000000000005</v>
      </c>
      <c r="Z86" s="25">
        <v>0.63900000000000001</v>
      </c>
      <c r="AA86" s="26">
        <f t="shared" si="17"/>
        <v>0.65560000000000007</v>
      </c>
      <c r="AB86" s="25">
        <v>0.67300000000000004</v>
      </c>
      <c r="AC86" s="25">
        <v>0.64600000000000002</v>
      </c>
      <c r="AD86" s="25">
        <v>0.63900000000000001</v>
      </c>
      <c r="AE86" s="25">
        <v>0.68100000000000005</v>
      </c>
      <c r="AF86" s="25">
        <v>0.63900000000000001</v>
      </c>
      <c r="AG86" s="26">
        <f t="shared" si="18"/>
        <v>0.65560000000000007</v>
      </c>
      <c r="AH86" s="25">
        <f t="shared" si="19"/>
        <v>0</v>
      </c>
      <c r="AI86" s="25">
        <f t="shared" si="20"/>
        <v>-9.0399999999999925E-2</v>
      </c>
    </row>
    <row r="87" spans="1:35" x14ac:dyDescent="0.25">
      <c r="A87" s="24" t="s">
        <v>135</v>
      </c>
      <c r="B87" s="25" t="s">
        <v>128</v>
      </c>
      <c r="C87" s="25">
        <v>0.3</v>
      </c>
      <c r="D87" s="25">
        <v>0.63600000000000001</v>
      </c>
      <c r="E87" s="25">
        <v>0.64700000000000002</v>
      </c>
      <c r="F87" s="25">
        <v>0.63300000000000001</v>
      </c>
      <c r="G87" s="25">
        <v>0.68600000000000005</v>
      </c>
      <c r="H87" s="25">
        <v>0.66300000000000003</v>
      </c>
      <c r="I87" s="26">
        <f t="shared" si="14"/>
        <v>0.65299999999999991</v>
      </c>
      <c r="J87" s="25">
        <v>0.73099999999999998</v>
      </c>
      <c r="K87" s="25">
        <v>0.63700000000000001</v>
      </c>
      <c r="L87" s="25">
        <v>0.74099999999999999</v>
      </c>
      <c r="M87" s="25">
        <v>0.68700000000000006</v>
      </c>
      <c r="N87" s="25">
        <v>0.72699999999999998</v>
      </c>
      <c r="O87" s="26">
        <f t="shared" si="15"/>
        <v>0.7046</v>
      </c>
      <c r="P87" s="25">
        <v>0.60599999999999998</v>
      </c>
      <c r="Q87" s="25">
        <v>0.55600000000000005</v>
      </c>
      <c r="R87" s="25">
        <v>0.61299999999999999</v>
      </c>
      <c r="S87" s="25">
        <v>0.59599999999999997</v>
      </c>
      <c r="T87" s="25">
        <v>0.623</v>
      </c>
      <c r="U87" s="26">
        <f t="shared" si="16"/>
        <v>0.5988</v>
      </c>
      <c r="V87" s="25">
        <v>0.68</v>
      </c>
      <c r="W87" s="25">
        <v>0.67</v>
      </c>
      <c r="X87" s="25">
        <v>0.64600000000000002</v>
      </c>
      <c r="Y87" s="25">
        <v>0.63</v>
      </c>
      <c r="Z87" s="25">
        <v>0.68300000000000005</v>
      </c>
      <c r="AA87" s="26">
        <f t="shared" si="17"/>
        <v>0.66180000000000005</v>
      </c>
      <c r="AB87" s="25">
        <v>0.68</v>
      </c>
      <c r="AC87" s="25">
        <v>0.67</v>
      </c>
      <c r="AD87" s="25">
        <v>0.64600000000000002</v>
      </c>
      <c r="AE87" s="25">
        <v>0.63</v>
      </c>
      <c r="AF87" s="25">
        <v>0.68300000000000005</v>
      </c>
      <c r="AG87" s="26">
        <f t="shared" si="18"/>
        <v>0.66180000000000005</v>
      </c>
      <c r="AH87" s="25">
        <f t="shared" si="19"/>
        <v>0</v>
      </c>
      <c r="AI87" s="25">
        <f t="shared" si="20"/>
        <v>-4.2799999999999949E-2</v>
      </c>
    </row>
    <row r="88" spans="1:35" x14ac:dyDescent="0.25">
      <c r="A88" s="24" t="s">
        <v>135</v>
      </c>
      <c r="B88" s="25" t="s">
        <v>128</v>
      </c>
      <c r="C88" s="25">
        <v>0.4</v>
      </c>
      <c r="D88" s="25">
        <v>0.67</v>
      </c>
      <c r="E88" s="25">
        <v>0.58899999999999997</v>
      </c>
      <c r="F88" s="25">
        <v>0.59699999999999998</v>
      </c>
      <c r="G88" s="25">
        <v>0.54500000000000004</v>
      </c>
      <c r="H88" s="25">
        <v>0.623</v>
      </c>
      <c r="I88" s="26">
        <f t="shared" si="14"/>
        <v>0.6048</v>
      </c>
      <c r="J88" s="25">
        <v>0.66600000000000004</v>
      </c>
      <c r="K88" s="25">
        <v>0.56899999999999995</v>
      </c>
      <c r="L88" s="25">
        <v>0.56899999999999995</v>
      </c>
      <c r="M88" s="25">
        <v>0.63</v>
      </c>
      <c r="N88" s="25">
        <v>0.67700000000000005</v>
      </c>
      <c r="O88" s="26">
        <f t="shared" si="15"/>
        <v>0.62219999999999998</v>
      </c>
      <c r="P88" s="25">
        <v>0.59199999999999997</v>
      </c>
      <c r="Q88" s="25">
        <v>0.52500000000000002</v>
      </c>
      <c r="R88" s="25">
        <v>0.53500000000000003</v>
      </c>
      <c r="S88" s="25">
        <v>0.58899999999999997</v>
      </c>
      <c r="T88" s="25">
        <v>0.60199999999999998</v>
      </c>
      <c r="U88" s="26">
        <f t="shared" si="16"/>
        <v>0.56859999999999999</v>
      </c>
      <c r="V88" s="25">
        <v>0.64600000000000002</v>
      </c>
      <c r="W88" s="25">
        <v>0.61</v>
      </c>
      <c r="X88" s="25">
        <v>0.56599999999999995</v>
      </c>
      <c r="Y88" s="25">
        <v>0.60899999999999999</v>
      </c>
      <c r="Z88" s="25">
        <v>0.61599999999999999</v>
      </c>
      <c r="AA88" s="26">
        <f t="shared" si="17"/>
        <v>0.60940000000000005</v>
      </c>
      <c r="AB88" s="25">
        <v>0.64600000000000002</v>
      </c>
      <c r="AC88" s="25">
        <v>0.61</v>
      </c>
      <c r="AD88" s="25">
        <v>0.56599999999999995</v>
      </c>
      <c r="AE88" s="25">
        <v>0.60899999999999999</v>
      </c>
      <c r="AF88" s="25">
        <v>0.61599999999999999</v>
      </c>
      <c r="AG88" s="26">
        <f t="shared" si="18"/>
        <v>0.60940000000000005</v>
      </c>
      <c r="AH88" s="25">
        <f t="shared" si="19"/>
        <v>0</v>
      </c>
      <c r="AI88" s="25">
        <f t="shared" si="20"/>
        <v>-1.2799999999999923E-2</v>
      </c>
    </row>
    <row r="89" spans="1:35" x14ac:dyDescent="0.25">
      <c r="A89" s="24" t="s">
        <v>135</v>
      </c>
      <c r="B89" s="25" t="s">
        <v>128</v>
      </c>
      <c r="C89" s="25">
        <v>0.5</v>
      </c>
      <c r="D89" s="25">
        <v>0.43099999999999999</v>
      </c>
      <c r="E89" s="25">
        <v>0.50900000000000001</v>
      </c>
      <c r="F89" s="25">
        <v>0.51200000000000001</v>
      </c>
      <c r="G89" s="25">
        <v>0.51800000000000002</v>
      </c>
      <c r="H89" s="25">
        <v>0.56200000000000006</v>
      </c>
      <c r="I89" s="26">
        <f t="shared" si="14"/>
        <v>0.50639999999999996</v>
      </c>
      <c r="J89" s="25">
        <v>0.44800000000000001</v>
      </c>
      <c r="K89" s="25">
        <v>0.438</v>
      </c>
      <c r="L89" s="25">
        <v>0.502</v>
      </c>
      <c r="M89" s="25">
        <v>0.48499999999999999</v>
      </c>
      <c r="N89" s="25">
        <v>0.45800000000000002</v>
      </c>
      <c r="O89" s="26">
        <f t="shared" si="15"/>
        <v>0.4662</v>
      </c>
      <c r="P89" s="25">
        <v>0.51200000000000001</v>
      </c>
      <c r="Q89" s="25">
        <v>0.502</v>
      </c>
      <c r="R89" s="25">
        <v>0.51500000000000001</v>
      </c>
      <c r="S89" s="25">
        <v>0.498</v>
      </c>
      <c r="T89" s="25">
        <v>0.55900000000000005</v>
      </c>
      <c r="U89" s="26">
        <f t="shared" si="16"/>
        <v>0.5172000000000001</v>
      </c>
      <c r="V89" s="25">
        <v>0.52100000000000002</v>
      </c>
      <c r="W89" s="25">
        <v>0.39</v>
      </c>
      <c r="X89" s="25">
        <v>0.54900000000000004</v>
      </c>
      <c r="Y89" s="25">
        <v>0.49199999999999999</v>
      </c>
      <c r="Z89" s="25">
        <v>0.495</v>
      </c>
      <c r="AA89" s="26">
        <f t="shared" si="17"/>
        <v>0.4894</v>
      </c>
      <c r="AB89" s="25">
        <v>0.52100000000000002</v>
      </c>
      <c r="AC89" s="25">
        <v>0.39</v>
      </c>
      <c r="AD89" s="25">
        <v>0.54900000000000004</v>
      </c>
      <c r="AE89" s="25">
        <v>0.49199999999999999</v>
      </c>
      <c r="AF89" s="25">
        <v>0.495</v>
      </c>
      <c r="AG89" s="26">
        <f t="shared" si="18"/>
        <v>0.4894</v>
      </c>
      <c r="AH89" s="25">
        <f t="shared" si="19"/>
        <v>0</v>
      </c>
      <c r="AI89" s="25">
        <f t="shared" si="20"/>
        <v>2.3199999999999998E-2</v>
      </c>
    </row>
    <row r="90" spans="1:35" x14ac:dyDescent="0.25">
      <c r="A90" s="24" t="s">
        <v>136</v>
      </c>
      <c r="B90" s="25" t="s">
        <v>124</v>
      </c>
      <c r="C90" s="25">
        <v>0</v>
      </c>
      <c r="D90" s="25">
        <v>0.81499999999999995</v>
      </c>
      <c r="E90" s="25">
        <v>0.77500000000000002</v>
      </c>
      <c r="F90" s="25">
        <v>0.75800000000000001</v>
      </c>
      <c r="G90" s="25">
        <v>0.72899999999999998</v>
      </c>
      <c r="H90" s="25">
        <v>0.85499999999999998</v>
      </c>
      <c r="I90" s="26">
        <f t="shared" si="14"/>
        <v>0.78639999999999999</v>
      </c>
      <c r="J90" s="25">
        <v>0.84599999999999997</v>
      </c>
      <c r="K90" s="25">
        <v>0.81799999999999995</v>
      </c>
      <c r="L90" s="25">
        <v>0.83199999999999996</v>
      </c>
      <c r="M90" s="25">
        <v>0.80900000000000005</v>
      </c>
      <c r="N90" s="25">
        <v>0.80400000000000005</v>
      </c>
      <c r="O90" s="26">
        <f t="shared" si="15"/>
        <v>0.82179999999999997</v>
      </c>
      <c r="P90" s="25">
        <v>0.84</v>
      </c>
      <c r="Q90" s="25">
        <v>0.82899999999999996</v>
      </c>
      <c r="R90" s="25">
        <v>0.81499999999999995</v>
      </c>
      <c r="S90" s="25">
        <v>0.80400000000000005</v>
      </c>
      <c r="T90" s="25">
        <v>0.81499999999999995</v>
      </c>
      <c r="U90" s="26">
        <f t="shared" si="16"/>
        <v>0.8206</v>
      </c>
      <c r="V90" s="25">
        <v>0.82599999999999996</v>
      </c>
      <c r="W90" s="25">
        <v>0.76600000000000001</v>
      </c>
      <c r="X90" s="25">
        <v>0.749</v>
      </c>
      <c r="Y90" s="25">
        <v>0.77500000000000002</v>
      </c>
      <c r="Z90" s="25">
        <v>0.76700000000000002</v>
      </c>
      <c r="AA90" s="26">
        <f t="shared" si="17"/>
        <v>0.77659999999999996</v>
      </c>
      <c r="AB90" s="25">
        <v>0.82599999999999996</v>
      </c>
      <c r="AC90" s="25">
        <v>0.76600000000000001</v>
      </c>
      <c r="AD90" s="25">
        <v>0.749</v>
      </c>
      <c r="AE90" s="25">
        <v>0.77500000000000002</v>
      </c>
      <c r="AF90" s="25">
        <v>0.76700000000000002</v>
      </c>
      <c r="AG90" s="26">
        <f t="shared" si="18"/>
        <v>0.77659999999999996</v>
      </c>
      <c r="AH90" s="25">
        <f t="shared" si="19"/>
        <v>0</v>
      </c>
      <c r="AI90" s="25">
        <f t="shared" si="20"/>
        <v>-4.5200000000000018E-2</v>
      </c>
    </row>
    <row r="91" spans="1:35" x14ac:dyDescent="0.25">
      <c r="A91" s="24" t="s">
        <v>136</v>
      </c>
      <c r="B91" s="25" t="s">
        <v>125</v>
      </c>
      <c r="C91" s="25">
        <v>0.2</v>
      </c>
      <c r="D91" s="25">
        <v>0.83199999999999996</v>
      </c>
      <c r="E91" s="25">
        <v>0.749</v>
      </c>
      <c r="F91" s="25">
        <v>0.78900000000000003</v>
      </c>
      <c r="G91" s="25">
        <v>0.78900000000000003</v>
      </c>
      <c r="H91" s="25">
        <v>0.78600000000000003</v>
      </c>
      <c r="I91" s="26">
        <f t="shared" si="14"/>
        <v>0.78900000000000003</v>
      </c>
      <c r="J91" s="25">
        <v>0.77200000000000002</v>
      </c>
      <c r="K91" s="25">
        <v>0.77500000000000002</v>
      </c>
      <c r="L91" s="25">
        <v>0.82099999999999995</v>
      </c>
      <c r="M91" s="25">
        <v>0.80600000000000005</v>
      </c>
      <c r="N91" s="25">
        <v>0.78600000000000003</v>
      </c>
      <c r="O91" s="26">
        <f t="shared" si="15"/>
        <v>0.79200000000000004</v>
      </c>
      <c r="P91" s="25">
        <v>0.80100000000000005</v>
      </c>
      <c r="Q91" s="25">
        <v>0.76700000000000002</v>
      </c>
      <c r="R91" s="25">
        <v>0.80900000000000005</v>
      </c>
      <c r="S91" s="25">
        <v>0.73199999999999998</v>
      </c>
      <c r="T91" s="25">
        <v>0.78900000000000003</v>
      </c>
      <c r="U91" s="26">
        <f t="shared" si="16"/>
        <v>0.77960000000000007</v>
      </c>
      <c r="V91" s="25">
        <v>0.73799999999999999</v>
      </c>
      <c r="W91" s="25">
        <v>0.72099999999999997</v>
      </c>
      <c r="X91" s="25">
        <v>0.72599999999999998</v>
      </c>
      <c r="Y91" s="25">
        <v>0.79500000000000004</v>
      </c>
      <c r="Z91" s="25">
        <v>0.73199999999999998</v>
      </c>
      <c r="AA91" s="26">
        <f t="shared" si="17"/>
        <v>0.74239999999999995</v>
      </c>
      <c r="AB91" s="25">
        <v>0.73799999999999999</v>
      </c>
      <c r="AC91" s="25">
        <v>0.72099999999999997</v>
      </c>
      <c r="AD91" s="25">
        <v>0.72599999999999998</v>
      </c>
      <c r="AE91" s="25">
        <v>0.79500000000000004</v>
      </c>
      <c r="AF91" s="25">
        <v>0.73199999999999998</v>
      </c>
      <c r="AG91" s="26">
        <f t="shared" si="18"/>
        <v>0.74239999999999995</v>
      </c>
      <c r="AH91" s="25">
        <f t="shared" si="19"/>
        <v>0</v>
      </c>
      <c r="AI91" s="25">
        <f t="shared" si="20"/>
        <v>-4.9600000000000088E-2</v>
      </c>
    </row>
    <row r="92" spans="1:35" x14ac:dyDescent="0.25">
      <c r="A92" s="24" t="s">
        <v>136</v>
      </c>
      <c r="B92" s="25" t="s">
        <v>125</v>
      </c>
      <c r="C92" s="25">
        <v>0.3</v>
      </c>
      <c r="D92" s="25">
        <v>0.752</v>
      </c>
      <c r="E92" s="25">
        <v>0.71499999999999997</v>
      </c>
      <c r="F92" s="25">
        <v>0.79800000000000004</v>
      </c>
      <c r="G92" s="25">
        <v>0.70899999999999996</v>
      </c>
      <c r="H92" s="25">
        <v>0.73499999999999999</v>
      </c>
      <c r="I92" s="26">
        <f t="shared" si="14"/>
        <v>0.74180000000000001</v>
      </c>
      <c r="J92" s="25">
        <v>0.73199999999999998</v>
      </c>
      <c r="K92" s="25">
        <v>0.73199999999999998</v>
      </c>
      <c r="L92" s="25">
        <v>0.77800000000000002</v>
      </c>
      <c r="M92" s="25">
        <v>0.75800000000000001</v>
      </c>
      <c r="N92" s="25">
        <v>0.75800000000000001</v>
      </c>
      <c r="O92" s="26">
        <f t="shared" si="15"/>
        <v>0.75160000000000005</v>
      </c>
      <c r="P92" s="25">
        <v>0.71199999999999997</v>
      </c>
      <c r="Q92" s="25">
        <v>0.624</v>
      </c>
      <c r="R92" s="25">
        <v>0.64300000000000002</v>
      </c>
      <c r="S92" s="25">
        <v>0.58099999999999996</v>
      </c>
      <c r="T92" s="25">
        <v>0.66700000000000004</v>
      </c>
      <c r="U92" s="26">
        <f t="shared" si="16"/>
        <v>0.64539999999999986</v>
      </c>
      <c r="V92" s="25">
        <v>0.71799999999999997</v>
      </c>
      <c r="W92" s="25">
        <v>0.61599999999999999</v>
      </c>
      <c r="X92" s="25">
        <v>0.69499999999999995</v>
      </c>
      <c r="Y92" s="25">
        <v>0.71499999999999997</v>
      </c>
      <c r="Z92" s="25">
        <v>0.71799999999999997</v>
      </c>
      <c r="AA92" s="26">
        <f t="shared" si="17"/>
        <v>0.6923999999999999</v>
      </c>
      <c r="AB92" s="25">
        <v>0.71799999999999997</v>
      </c>
      <c r="AC92" s="25">
        <v>0.61599999999999999</v>
      </c>
      <c r="AD92" s="25">
        <v>0.69499999999999995</v>
      </c>
      <c r="AE92" s="25">
        <v>0.71499999999999997</v>
      </c>
      <c r="AF92" s="25">
        <v>0.71799999999999997</v>
      </c>
      <c r="AG92" s="26">
        <f t="shared" si="18"/>
        <v>0.6923999999999999</v>
      </c>
      <c r="AH92" s="25">
        <f t="shared" si="19"/>
        <v>0</v>
      </c>
      <c r="AI92" s="25">
        <f t="shared" si="20"/>
        <v>-5.9200000000000141E-2</v>
      </c>
    </row>
    <row r="93" spans="1:35" x14ac:dyDescent="0.25">
      <c r="A93" s="24" t="s">
        <v>136</v>
      </c>
      <c r="B93" s="25" t="s">
        <v>125</v>
      </c>
      <c r="C93" s="25">
        <v>0.4</v>
      </c>
      <c r="D93" s="25">
        <v>0.68700000000000006</v>
      </c>
      <c r="E93" s="25">
        <v>0.627</v>
      </c>
      <c r="F93" s="25">
        <v>0.60099999999999998</v>
      </c>
      <c r="G93" s="25">
        <v>0.63500000000000001</v>
      </c>
      <c r="H93" s="25">
        <v>0.66400000000000003</v>
      </c>
      <c r="I93" s="26">
        <f t="shared" si="14"/>
        <v>0.64280000000000004</v>
      </c>
      <c r="J93" s="25">
        <v>0.64100000000000001</v>
      </c>
      <c r="K93" s="25">
        <v>0.58899999999999997</v>
      </c>
      <c r="L93" s="25">
        <v>0.74399999999999999</v>
      </c>
      <c r="M93" s="25">
        <v>0.64100000000000001</v>
      </c>
      <c r="N93" s="25">
        <v>0.67</v>
      </c>
      <c r="O93" s="26">
        <f t="shared" si="15"/>
        <v>0.65700000000000003</v>
      </c>
      <c r="P93" s="25">
        <v>0.56999999999999995</v>
      </c>
      <c r="Q93" s="25">
        <v>0.58399999999999996</v>
      </c>
      <c r="R93" s="25">
        <v>0.55500000000000005</v>
      </c>
      <c r="S93" s="25">
        <v>0.60699999999999998</v>
      </c>
      <c r="T93" s="25">
        <v>0.624</v>
      </c>
      <c r="U93" s="26">
        <f t="shared" si="16"/>
        <v>0.58799999999999997</v>
      </c>
      <c r="V93" s="25">
        <v>0.57599999999999996</v>
      </c>
      <c r="W93" s="25">
        <v>0.56399999999999995</v>
      </c>
      <c r="X93" s="25">
        <v>0.629</v>
      </c>
      <c r="Y93" s="25">
        <v>0.68100000000000005</v>
      </c>
      <c r="Z93" s="25">
        <v>0.65200000000000002</v>
      </c>
      <c r="AA93" s="26">
        <f t="shared" si="17"/>
        <v>0.62040000000000006</v>
      </c>
      <c r="AB93" s="25">
        <v>0.57599999999999996</v>
      </c>
      <c r="AC93" s="25">
        <v>0.56399999999999995</v>
      </c>
      <c r="AD93" s="25">
        <v>0.629</v>
      </c>
      <c r="AE93" s="25">
        <v>0.68100000000000005</v>
      </c>
      <c r="AF93" s="25">
        <v>0.65200000000000002</v>
      </c>
      <c r="AG93" s="26">
        <f t="shared" si="18"/>
        <v>0.62040000000000006</v>
      </c>
      <c r="AH93" s="25">
        <f t="shared" si="19"/>
        <v>0</v>
      </c>
      <c r="AI93" s="25">
        <f t="shared" si="20"/>
        <v>-3.6599999999999966E-2</v>
      </c>
    </row>
    <row r="94" spans="1:35" x14ac:dyDescent="0.25">
      <c r="A94" s="24" t="s">
        <v>136</v>
      </c>
      <c r="B94" s="25" t="s">
        <v>125</v>
      </c>
      <c r="C94" s="25">
        <v>0.5</v>
      </c>
      <c r="D94" s="25">
        <v>0.49299999999999999</v>
      </c>
      <c r="E94" s="25">
        <v>0.55600000000000005</v>
      </c>
      <c r="F94" s="25">
        <v>0.501</v>
      </c>
      <c r="G94" s="25">
        <v>0.53600000000000003</v>
      </c>
      <c r="H94" s="25">
        <v>0.52400000000000002</v>
      </c>
      <c r="I94" s="26">
        <f t="shared" si="14"/>
        <v>0.52200000000000002</v>
      </c>
      <c r="J94" s="25">
        <v>0.55600000000000005</v>
      </c>
      <c r="K94" s="25">
        <v>0.56399999999999995</v>
      </c>
      <c r="L94" s="25">
        <v>0.501</v>
      </c>
      <c r="M94" s="25">
        <v>0.55300000000000005</v>
      </c>
      <c r="N94" s="25">
        <v>0.499</v>
      </c>
      <c r="O94" s="26">
        <f t="shared" si="15"/>
        <v>0.53459999999999996</v>
      </c>
      <c r="P94" s="25">
        <v>0.504</v>
      </c>
      <c r="Q94" s="25">
        <v>0.54100000000000004</v>
      </c>
      <c r="R94" s="25">
        <v>0.51500000000000001</v>
      </c>
      <c r="S94" s="25">
        <v>0.51</v>
      </c>
      <c r="T94" s="25">
        <v>0.499</v>
      </c>
      <c r="U94" s="26">
        <f t="shared" si="16"/>
        <v>0.51380000000000003</v>
      </c>
      <c r="V94" s="25">
        <v>0.499</v>
      </c>
      <c r="W94" s="25">
        <v>0.53200000000000003</v>
      </c>
      <c r="X94" s="25">
        <v>0.48199999999999998</v>
      </c>
      <c r="Y94" s="25">
        <v>0.56399999999999995</v>
      </c>
      <c r="Z94" s="25">
        <v>0.48199999999999998</v>
      </c>
      <c r="AA94" s="26">
        <f t="shared" si="17"/>
        <v>0.51180000000000003</v>
      </c>
      <c r="AB94" s="25">
        <v>0.499</v>
      </c>
      <c r="AC94" s="25">
        <v>0.53200000000000003</v>
      </c>
      <c r="AD94" s="25">
        <v>0.48199999999999998</v>
      </c>
      <c r="AE94" s="25">
        <v>0.56399999999999995</v>
      </c>
      <c r="AF94" s="25">
        <v>0.48199999999999998</v>
      </c>
      <c r="AG94" s="26">
        <f t="shared" si="18"/>
        <v>0.51180000000000003</v>
      </c>
      <c r="AH94" s="25">
        <f t="shared" si="19"/>
        <v>0</v>
      </c>
      <c r="AI94" s="25">
        <f t="shared" si="20"/>
        <v>-2.2799999999999931E-2</v>
      </c>
    </row>
    <row r="95" spans="1:35" x14ac:dyDescent="0.25">
      <c r="A95" s="24" t="s">
        <v>136</v>
      </c>
      <c r="B95" s="25" t="s">
        <v>126</v>
      </c>
      <c r="C95" s="25">
        <v>0.2</v>
      </c>
      <c r="D95" s="25">
        <v>0.78600000000000003</v>
      </c>
      <c r="E95" s="25">
        <v>0.78600000000000003</v>
      </c>
      <c r="F95" s="25">
        <v>0.68400000000000005</v>
      </c>
      <c r="G95" s="25">
        <v>0.73799999999999999</v>
      </c>
      <c r="H95" s="25">
        <v>0.81200000000000006</v>
      </c>
      <c r="I95" s="26">
        <f t="shared" si="14"/>
        <v>0.76119999999999999</v>
      </c>
      <c r="J95" s="25">
        <v>0.80300000000000005</v>
      </c>
      <c r="K95" s="25">
        <v>0.80300000000000005</v>
      </c>
      <c r="L95" s="25">
        <v>0.73199999999999998</v>
      </c>
      <c r="M95" s="25">
        <v>0.79500000000000004</v>
      </c>
      <c r="N95" s="25">
        <v>0.77500000000000002</v>
      </c>
      <c r="O95" s="26">
        <f t="shared" si="15"/>
        <v>0.78159999999999996</v>
      </c>
      <c r="P95" s="25"/>
      <c r="Q95" s="25"/>
      <c r="R95" s="25"/>
      <c r="S95" s="25"/>
      <c r="T95" s="25"/>
      <c r="U95" s="26" t="str">
        <f t="shared" si="16"/>
        <v/>
      </c>
      <c r="V95" s="25"/>
      <c r="W95" s="25"/>
      <c r="X95" s="25"/>
      <c r="Y95" s="25"/>
      <c r="Z95" s="25"/>
      <c r="AA95" s="26" t="str">
        <f t="shared" si="17"/>
        <v/>
      </c>
      <c r="AB95" s="25">
        <v>0.67500000000000004</v>
      </c>
      <c r="AC95" s="25">
        <v>0.71199999999999997</v>
      </c>
      <c r="AD95" s="25">
        <v>0.69</v>
      </c>
      <c r="AE95" s="25">
        <v>0.69499999999999995</v>
      </c>
      <c r="AF95" s="25">
        <v>0.68899999999999995</v>
      </c>
      <c r="AG95" s="26">
        <f t="shared" si="18"/>
        <v>0.69219999999999993</v>
      </c>
      <c r="AH95" s="25" t="str">
        <f t="shared" si="19"/>
        <v/>
      </c>
      <c r="AI95" s="25">
        <f t="shared" si="20"/>
        <v>-8.9400000000000035E-2</v>
      </c>
    </row>
    <row r="96" spans="1:35" x14ac:dyDescent="0.25">
      <c r="A96" s="24" t="s">
        <v>136</v>
      </c>
      <c r="B96" s="25" t="s">
        <v>126</v>
      </c>
      <c r="C96" s="25">
        <v>0.3</v>
      </c>
      <c r="D96" s="25">
        <v>0.81200000000000006</v>
      </c>
      <c r="E96" s="25">
        <v>0.79200000000000004</v>
      </c>
      <c r="F96" s="25">
        <v>0.73</v>
      </c>
      <c r="G96" s="25">
        <v>0.73499999999999999</v>
      </c>
      <c r="H96" s="25">
        <v>0.79200000000000004</v>
      </c>
      <c r="I96" s="26">
        <f t="shared" si="14"/>
        <v>0.7722</v>
      </c>
      <c r="J96" s="25">
        <v>0.78600000000000003</v>
      </c>
      <c r="K96" s="25">
        <v>0.79800000000000004</v>
      </c>
      <c r="L96" s="25">
        <v>0.78600000000000003</v>
      </c>
      <c r="M96" s="25">
        <v>0.78900000000000003</v>
      </c>
      <c r="N96" s="25">
        <v>0.79500000000000004</v>
      </c>
      <c r="O96" s="26">
        <f t="shared" si="15"/>
        <v>0.79080000000000006</v>
      </c>
      <c r="P96" s="25"/>
      <c r="Q96" s="25"/>
      <c r="R96" s="25"/>
      <c r="S96" s="25"/>
      <c r="T96" s="25"/>
      <c r="U96" s="26" t="str">
        <f t="shared" si="16"/>
        <v/>
      </c>
      <c r="V96" s="25"/>
      <c r="W96" s="25"/>
      <c r="X96" s="25"/>
      <c r="Y96" s="25"/>
      <c r="Z96" s="25"/>
      <c r="AA96" s="26" t="str">
        <f t="shared" si="17"/>
        <v/>
      </c>
      <c r="AB96" s="25">
        <v>0.73199999999999998</v>
      </c>
      <c r="AC96" s="25">
        <v>0.73499999999999999</v>
      </c>
      <c r="AD96" s="25">
        <v>0.69499999999999995</v>
      </c>
      <c r="AE96" s="25">
        <v>0.70099999999999996</v>
      </c>
      <c r="AF96" s="25">
        <v>0.63500000000000001</v>
      </c>
      <c r="AG96" s="26">
        <f t="shared" si="18"/>
        <v>0.6996</v>
      </c>
      <c r="AH96" s="25" t="str">
        <f t="shared" si="19"/>
        <v/>
      </c>
      <c r="AI96" s="25">
        <f t="shared" si="20"/>
        <v>-9.1200000000000059E-2</v>
      </c>
    </row>
    <row r="97" spans="1:35" x14ac:dyDescent="0.25">
      <c r="A97" s="24" t="s">
        <v>136</v>
      </c>
      <c r="B97" s="25" t="s">
        <v>126</v>
      </c>
      <c r="C97" s="25">
        <v>0.4</v>
      </c>
      <c r="D97" s="25">
        <v>0.72399999999999998</v>
      </c>
      <c r="E97" s="25">
        <v>0.755</v>
      </c>
      <c r="F97" s="25">
        <v>0.72299999999999998</v>
      </c>
      <c r="G97" s="25">
        <v>0.78300000000000003</v>
      </c>
      <c r="H97" s="25">
        <v>0.752</v>
      </c>
      <c r="I97" s="26">
        <f t="shared" si="14"/>
        <v>0.74740000000000006</v>
      </c>
      <c r="J97" s="25">
        <v>0.752</v>
      </c>
      <c r="K97" s="25">
        <v>0.80100000000000005</v>
      </c>
      <c r="L97" s="25">
        <v>0.755</v>
      </c>
      <c r="M97" s="25">
        <v>0.78600000000000003</v>
      </c>
      <c r="N97" s="25">
        <v>0.755</v>
      </c>
      <c r="O97" s="26">
        <f t="shared" si="15"/>
        <v>0.76979999999999993</v>
      </c>
      <c r="P97" s="25"/>
      <c r="Q97" s="25"/>
      <c r="R97" s="25"/>
      <c r="S97" s="25"/>
      <c r="T97" s="25"/>
      <c r="U97" s="26" t="str">
        <f t="shared" si="16"/>
        <v/>
      </c>
      <c r="V97" s="25"/>
      <c r="W97" s="25"/>
      <c r="X97" s="25"/>
      <c r="Y97" s="25"/>
      <c r="Z97" s="25"/>
      <c r="AA97" s="26" t="str">
        <f t="shared" si="17"/>
        <v/>
      </c>
      <c r="AB97" s="25">
        <v>0.71</v>
      </c>
      <c r="AC97" s="25">
        <v>0.68400000000000005</v>
      </c>
      <c r="AD97" s="25">
        <v>0.746</v>
      </c>
      <c r="AE97" s="25">
        <v>0.755</v>
      </c>
      <c r="AF97" s="25">
        <v>0.70099999999999996</v>
      </c>
      <c r="AG97" s="26">
        <f t="shared" si="18"/>
        <v>0.71920000000000006</v>
      </c>
      <c r="AH97" s="25" t="str">
        <f t="shared" si="19"/>
        <v/>
      </c>
      <c r="AI97" s="25">
        <f t="shared" si="20"/>
        <v>-5.0599999999999867E-2</v>
      </c>
    </row>
    <row r="98" spans="1:35" x14ac:dyDescent="0.25">
      <c r="A98" s="24" t="s">
        <v>136</v>
      </c>
      <c r="B98" s="25" t="s">
        <v>126</v>
      </c>
      <c r="C98" s="25">
        <v>0.5</v>
      </c>
      <c r="D98" s="25">
        <v>0.72099999999999997</v>
      </c>
      <c r="E98" s="25">
        <v>0.71799999999999997</v>
      </c>
      <c r="F98" s="25">
        <v>0.74399999999999999</v>
      </c>
      <c r="G98" s="25">
        <v>0.72899999999999998</v>
      </c>
      <c r="H98" s="25">
        <v>0.72099999999999997</v>
      </c>
      <c r="I98" s="26">
        <f t="shared" si="14"/>
        <v>0.72660000000000002</v>
      </c>
      <c r="J98" s="25">
        <v>0.755</v>
      </c>
      <c r="K98" s="25">
        <v>0.755</v>
      </c>
      <c r="L98" s="25">
        <v>0.77200000000000002</v>
      </c>
      <c r="M98" s="25">
        <v>0.73499999999999999</v>
      </c>
      <c r="N98" s="25">
        <v>0.76900000000000002</v>
      </c>
      <c r="O98" s="26">
        <f t="shared" si="15"/>
        <v>0.75719999999999998</v>
      </c>
      <c r="P98" s="25"/>
      <c r="Q98" s="25"/>
      <c r="R98" s="25"/>
      <c r="S98" s="25"/>
      <c r="T98" s="25"/>
      <c r="U98" s="26" t="str">
        <f t="shared" si="16"/>
        <v/>
      </c>
      <c r="V98" s="25"/>
      <c r="W98" s="25"/>
      <c r="X98" s="25"/>
      <c r="Y98" s="25"/>
      <c r="Z98" s="25"/>
      <c r="AA98" s="26" t="str">
        <f t="shared" si="17"/>
        <v/>
      </c>
      <c r="AB98" s="25">
        <v>0.70099999999999996</v>
      </c>
      <c r="AC98" s="25">
        <v>0.72899999999999998</v>
      </c>
      <c r="AD98" s="25">
        <v>0.72399999999999998</v>
      </c>
      <c r="AE98" s="25">
        <v>0.70899999999999996</v>
      </c>
      <c r="AF98" s="25">
        <v>0.65</v>
      </c>
      <c r="AG98" s="26">
        <f t="shared" si="18"/>
        <v>0.7026</v>
      </c>
      <c r="AH98" s="25" t="str">
        <f t="shared" si="19"/>
        <v/>
      </c>
      <c r="AI98" s="25">
        <f t="shared" si="20"/>
        <v>-5.4599999999999982E-2</v>
      </c>
    </row>
    <row r="99" spans="1:35" x14ac:dyDescent="0.25">
      <c r="A99" s="24" t="s">
        <v>136</v>
      </c>
      <c r="B99" s="25" t="s">
        <v>127</v>
      </c>
      <c r="C99" s="25">
        <v>0.2</v>
      </c>
      <c r="D99" s="25">
        <v>0.82399999999999995</v>
      </c>
      <c r="E99" s="25">
        <v>0.81799999999999995</v>
      </c>
      <c r="F99" s="25">
        <v>0.77800000000000002</v>
      </c>
      <c r="G99" s="25">
        <v>0.83199999999999996</v>
      </c>
      <c r="H99" s="25">
        <v>0.81200000000000006</v>
      </c>
      <c r="I99" s="26">
        <f t="shared" si="14"/>
        <v>0.81279999999999997</v>
      </c>
      <c r="J99" s="25">
        <v>0.79800000000000004</v>
      </c>
      <c r="K99" s="25">
        <v>0.78900000000000003</v>
      </c>
      <c r="L99" s="25">
        <v>0.78400000000000003</v>
      </c>
      <c r="M99" s="25">
        <v>0.80300000000000005</v>
      </c>
      <c r="N99" s="25">
        <v>0.83499999999999996</v>
      </c>
      <c r="O99" s="26">
        <f t="shared" si="15"/>
        <v>0.80180000000000007</v>
      </c>
      <c r="P99" s="25">
        <v>0.82899999999999996</v>
      </c>
      <c r="Q99" s="25">
        <v>0.84</v>
      </c>
      <c r="R99" s="25">
        <v>0.81200000000000006</v>
      </c>
      <c r="S99" s="25">
        <v>0.81499999999999995</v>
      </c>
      <c r="T99" s="25">
        <v>0.73799999999999999</v>
      </c>
      <c r="U99" s="26">
        <f t="shared" si="16"/>
        <v>0.80679999999999996</v>
      </c>
      <c r="V99" s="25">
        <v>0.79800000000000004</v>
      </c>
      <c r="W99" s="25">
        <v>0.77800000000000002</v>
      </c>
      <c r="X99" s="25">
        <v>0.755</v>
      </c>
      <c r="Y99" s="25">
        <v>0.78700000000000003</v>
      </c>
      <c r="Z99" s="25">
        <v>0.73199999999999998</v>
      </c>
      <c r="AA99" s="26">
        <f t="shared" si="17"/>
        <v>0.76999999999999991</v>
      </c>
      <c r="AB99" s="25">
        <v>0.79800000000000004</v>
      </c>
      <c r="AC99" s="25">
        <v>0.77800000000000002</v>
      </c>
      <c r="AD99" s="25">
        <v>0.755</v>
      </c>
      <c r="AE99" s="25">
        <v>0.78700000000000003</v>
      </c>
      <c r="AF99" s="25">
        <v>0.73199999999999998</v>
      </c>
      <c r="AG99" s="26">
        <f t="shared" si="18"/>
        <v>0.76999999999999991</v>
      </c>
      <c r="AH99" s="25">
        <f t="shared" si="19"/>
        <v>0</v>
      </c>
      <c r="AI99" s="25">
        <f t="shared" si="20"/>
        <v>-3.1800000000000161E-2</v>
      </c>
    </row>
    <row r="100" spans="1:35" x14ac:dyDescent="0.25">
      <c r="A100" s="24" t="s">
        <v>136</v>
      </c>
      <c r="B100" s="25" t="s">
        <v>127</v>
      </c>
      <c r="C100" s="25">
        <v>0.3</v>
      </c>
      <c r="D100" s="25">
        <v>0.75800000000000001</v>
      </c>
      <c r="E100" s="25">
        <v>0.752</v>
      </c>
      <c r="F100" s="25">
        <v>0.78600000000000003</v>
      </c>
      <c r="G100" s="25">
        <v>0.76900000000000002</v>
      </c>
      <c r="H100" s="25">
        <v>0.71799999999999997</v>
      </c>
      <c r="I100" s="26">
        <f t="shared" si="14"/>
        <v>0.75660000000000005</v>
      </c>
      <c r="J100" s="25">
        <v>0.78400000000000003</v>
      </c>
      <c r="K100" s="25">
        <v>0.77500000000000002</v>
      </c>
      <c r="L100" s="25">
        <v>0.75800000000000001</v>
      </c>
      <c r="M100" s="25">
        <v>0.78300000000000003</v>
      </c>
      <c r="N100" s="25">
        <v>0.72599999999999998</v>
      </c>
      <c r="O100" s="26">
        <f t="shared" si="15"/>
        <v>0.76519999999999999</v>
      </c>
      <c r="P100" s="25">
        <v>0.67</v>
      </c>
      <c r="Q100" s="25">
        <v>0.69299999999999995</v>
      </c>
      <c r="R100" s="25">
        <v>0.72399999999999998</v>
      </c>
      <c r="S100" s="25">
        <v>0.72099999999999997</v>
      </c>
      <c r="T100" s="25">
        <v>0.69499999999999995</v>
      </c>
      <c r="U100" s="26">
        <f t="shared" si="16"/>
        <v>0.70059999999999989</v>
      </c>
      <c r="V100" s="25">
        <v>0.69</v>
      </c>
      <c r="W100" s="25">
        <v>0.72299999999999998</v>
      </c>
      <c r="X100" s="25">
        <v>0.68100000000000005</v>
      </c>
      <c r="Y100" s="25">
        <v>0.72399999999999998</v>
      </c>
      <c r="Z100" s="25">
        <v>0.68899999999999995</v>
      </c>
      <c r="AA100" s="26">
        <f t="shared" si="17"/>
        <v>0.70139999999999991</v>
      </c>
      <c r="AB100" s="25">
        <v>0.69</v>
      </c>
      <c r="AC100" s="25">
        <v>0.72299999999999998</v>
      </c>
      <c r="AD100" s="25">
        <v>0.68100000000000005</v>
      </c>
      <c r="AE100" s="25">
        <v>0.72399999999999998</v>
      </c>
      <c r="AF100" s="25">
        <v>0.68899999999999995</v>
      </c>
      <c r="AG100" s="26">
        <f t="shared" si="18"/>
        <v>0.70139999999999991</v>
      </c>
      <c r="AH100" s="25">
        <f t="shared" si="19"/>
        <v>0</v>
      </c>
      <c r="AI100" s="25">
        <f t="shared" si="20"/>
        <v>-6.3800000000000079E-2</v>
      </c>
    </row>
    <row r="101" spans="1:35" x14ac:dyDescent="0.25">
      <c r="A101" s="24" t="s">
        <v>136</v>
      </c>
      <c r="B101" s="25" t="s">
        <v>127</v>
      </c>
      <c r="C101" s="25">
        <v>0.4</v>
      </c>
      <c r="D101" s="25">
        <v>0.747</v>
      </c>
      <c r="E101" s="25">
        <v>0.64700000000000002</v>
      </c>
      <c r="F101" s="25">
        <v>0.64700000000000002</v>
      </c>
      <c r="G101" s="25">
        <v>0.67800000000000005</v>
      </c>
      <c r="H101" s="25">
        <v>0.71</v>
      </c>
      <c r="I101" s="26">
        <f t="shared" ref="I101:I132" si="21">IFERROR(AVERAGE(D101:H101),"")</f>
        <v>0.68580000000000008</v>
      </c>
      <c r="J101" s="25">
        <v>0.72399999999999998</v>
      </c>
      <c r="K101" s="25">
        <v>0.66400000000000003</v>
      </c>
      <c r="L101" s="25">
        <v>0.70699999999999996</v>
      </c>
      <c r="M101" s="25">
        <v>0.60899999999999999</v>
      </c>
      <c r="N101" s="25">
        <v>0.74099999999999999</v>
      </c>
      <c r="O101" s="26">
        <f t="shared" ref="O101:O132" si="22">IFERROR(AVERAGE(J101:N101),"")</f>
        <v>0.68899999999999995</v>
      </c>
      <c r="P101" s="25">
        <v>0.67500000000000004</v>
      </c>
      <c r="Q101" s="25">
        <v>0.61</v>
      </c>
      <c r="R101" s="25">
        <v>0.63</v>
      </c>
      <c r="S101" s="25">
        <v>0.64100000000000001</v>
      </c>
      <c r="T101" s="25">
        <v>0.59499999999999997</v>
      </c>
      <c r="U101" s="26">
        <f t="shared" ref="U101:U132" si="23">IFERROR(AVERAGE(P101:T101),"")</f>
        <v>0.63019999999999998</v>
      </c>
      <c r="V101" s="25">
        <v>0.63500000000000001</v>
      </c>
      <c r="W101" s="25">
        <v>0.58099999999999996</v>
      </c>
      <c r="X101" s="25">
        <v>0.627</v>
      </c>
      <c r="Y101" s="25">
        <v>0.55800000000000005</v>
      </c>
      <c r="Z101" s="25">
        <v>0.64900000000000002</v>
      </c>
      <c r="AA101" s="26">
        <f t="shared" ref="AA101:AA132" si="24">IFERROR(AVERAGE(V101:Z101),"")</f>
        <v>0.61</v>
      </c>
      <c r="AB101" s="25">
        <v>0.63500000000000001</v>
      </c>
      <c r="AC101" s="25">
        <v>0.58099999999999996</v>
      </c>
      <c r="AD101" s="25">
        <v>0.627</v>
      </c>
      <c r="AE101" s="25">
        <v>0.55800000000000005</v>
      </c>
      <c r="AF101" s="25">
        <v>0.64900000000000002</v>
      </c>
      <c r="AG101" s="26">
        <f t="shared" ref="AG101:AG132" si="25">IFERROR(AVERAGE(AB101:AF101),"")</f>
        <v>0.61</v>
      </c>
      <c r="AH101" s="25">
        <f t="shared" ref="AH101:AH132" si="26">IFERROR(AG101-AA101,"")</f>
        <v>0</v>
      </c>
      <c r="AI101" s="25">
        <f t="shared" ref="AI101:AI132" si="27">IFERROR(AG101-O101,"")</f>
        <v>-7.8999999999999959E-2</v>
      </c>
    </row>
    <row r="102" spans="1:35" x14ac:dyDescent="0.25">
      <c r="A102" s="24" t="s">
        <v>136</v>
      </c>
      <c r="B102" s="25" t="s">
        <v>127</v>
      </c>
      <c r="C102" s="25">
        <v>0.5</v>
      </c>
      <c r="D102" s="25">
        <v>0.52700000000000002</v>
      </c>
      <c r="E102" s="25">
        <v>0.499</v>
      </c>
      <c r="F102" s="25">
        <v>0.49299999999999999</v>
      </c>
      <c r="G102" s="25">
        <v>0.51</v>
      </c>
      <c r="H102" s="25">
        <v>0.51300000000000001</v>
      </c>
      <c r="I102" s="26">
        <f t="shared" si="21"/>
        <v>0.50839999999999996</v>
      </c>
      <c r="J102" s="25">
        <v>0.52100000000000002</v>
      </c>
      <c r="K102" s="25">
        <v>0.41899999999999998</v>
      </c>
      <c r="L102" s="25">
        <v>0.51900000000000002</v>
      </c>
      <c r="M102" s="25">
        <v>0.56399999999999995</v>
      </c>
      <c r="N102" s="25">
        <v>0.52400000000000002</v>
      </c>
      <c r="O102" s="26">
        <f t="shared" si="22"/>
        <v>0.50940000000000007</v>
      </c>
      <c r="P102" s="25">
        <v>0.49</v>
      </c>
      <c r="Q102" s="25">
        <v>0.47899999999999998</v>
      </c>
      <c r="R102" s="25">
        <v>0.43</v>
      </c>
      <c r="S102" s="25">
        <v>0.49</v>
      </c>
      <c r="T102" s="25">
        <v>0.48199999999999998</v>
      </c>
      <c r="U102" s="26">
        <f t="shared" si="23"/>
        <v>0.47420000000000001</v>
      </c>
      <c r="V102" s="25">
        <v>0.52700000000000002</v>
      </c>
      <c r="W102" s="25">
        <v>0.41899999999999998</v>
      </c>
      <c r="X102" s="25">
        <v>0.433</v>
      </c>
      <c r="Y102" s="25">
        <v>0.501</v>
      </c>
      <c r="Z102" s="25">
        <v>0.48399999999999999</v>
      </c>
      <c r="AA102" s="26">
        <f t="shared" si="24"/>
        <v>0.4728</v>
      </c>
      <c r="AB102" s="25">
        <v>0.52700000000000002</v>
      </c>
      <c r="AC102" s="25">
        <v>0.41899999999999998</v>
      </c>
      <c r="AD102" s="25">
        <v>0.433</v>
      </c>
      <c r="AE102" s="25">
        <v>0.501</v>
      </c>
      <c r="AF102" s="25">
        <v>0.48399999999999999</v>
      </c>
      <c r="AG102" s="26">
        <f t="shared" si="25"/>
        <v>0.4728</v>
      </c>
      <c r="AH102" s="25">
        <f t="shared" si="26"/>
        <v>0</v>
      </c>
      <c r="AI102" s="25">
        <f t="shared" si="27"/>
        <v>-3.6600000000000077E-2</v>
      </c>
    </row>
    <row r="103" spans="1:35" x14ac:dyDescent="0.25">
      <c r="A103" s="24" t="s">
        <v>136</v>
      </c>
      <c r="B103" s="25" t="s">
        <v>128</v>
      </c>
      <c r="C103" s="25">
        <v>0.2</v>
      </c>
      <c r="D103" s="25">
        <v>0.67800000000000005</v>
      </c>
      <c r="E103" s="25">
        <v>0.71799999999999997</v>
      </c>
      <c r="F103" s="25">
        <v>0.69799999999999995</v>
      </c>
      <c r="G103" s="25">
        <v>0.60699999999999998</v>
      </c>
      <c r="H103" s="25">
        <v>0.74099999999999999</v>
      </c>
      <c r="I103" s="26">
        <f t="shared" si="21"/>
        <v>0.6883999999999999</v>
      </c>
      <c r="J103" s="25">
        <v>0.71199999999999997</v>
      </c>
      <c r="K103" s="25">
        <v>0.74099999999999999</v>
      </c>
      <c r="L103" s="25">
        <v>0.73799999999999999</v>
      </c>
      <c r="M103" s="25">
        <v>0.70099999999999996</v>
      </c>
      <c r="N103" s="25">
        <v>0.72599999999999998</v>
      </c>
      <c r="O103" s="26">
        <f t="shared" si="22"/>
        <v>0.72360000000000002</v>
      </c>
      <c r="P103" s="25">
        <v>0.70899999999999996</v>
      </c>
      <c r="Q103" s="25">
        <v>0.72099999999999997</v>
      </c>
      <c r="R103" s="25">
        <v>0.72599999999999998</v>
      </c>
      <c r="S103" s="25">
        <v>0.68700000000000006</v>
      </c>
      <c r="T103" s="25">
        <v>0.69499999999999995</v>
      </c>
      <c r="U103" s="26">
        <f t="shared" si="23"/>
        <v>0.70760000000000001</v>
      </c>
      <c r="V103" s="25">
        <v>0.66600000000000004</v>
      </c>
      <c r="W103" s="25">
        <v>0.68100000000000005</v>
      </c>
      <c r="X103" s="25">
        <v>0.67500000000000004</v>
      </c>
      <c r="Y103" s="25">
        <v>0.68700000000000006</v>
      </c>
      <c r="Z103" s="25">
        <v>0.66100000000000003</v>
      </c>
      <c r="AA103" s="26">
        <f t="shared" si="24"/>
        <v>0.67400000000000015</v>
      </c>
      <c r="AB103" s="25">
        <v>0.66600000000000004</v>
      </c>
      <c r="AC103" s="25">
        <v>0.68100000000000005</v>
      </c>
      <c r="AD103" s="25">
        <v>0.67500000000000004</v>
      </c>
      <c r="AE103" s="25">
        <v>0.68700000000000006</v>
      </c>
      <c r="AF103" s="25">
        <v>0.66100000000000003</v>
      </c>
      <c r="AG103" s="26">
        <f t="shared" si="25"/>
        <v>0.67400000000000015</v>
      </c>
      <c r="AH103" s="25">
        <f t="shared" si="26"/>
        <v>0</v>
      </c>
      <c r="AI103" s="25">
        <f t="shared" si="27"/>
        <v>-4.9599999999999866E-2</v>
      </c>
    </row>
    <row r="104" spans="1:35" x14ac:dyDescent="0.25">
      <c r="A104" s="24" t="s">
        <v>136</v>
      </c>
      <c r="B104" s="25" t="s">
        <v>128</v>
      </c>
      <c r="C104" s="25">
        <v>0.3</v>
      </c>
      <c r="D104" s="25">
        <v>0.621</v>
      </c>
      <c r="E104" s="25">
        <v>0.67200000000000004</v>
      </c>
      <c r="F104" s="25">
        <v>0.65200000000000002</v>
      </c>
      <c r="G104" s="25">
        <v>0.63800000000000001</v>
      </c>
      <c r="H104" s="25">
        <v>0.60399999999999998</v>
      </c>
      <c r="I104" s="26">
        <f t="shared" si="21"/>
        <v>0.63740000000000008</v>
      </c>
      <c r="J104" s="25">
        <v>0.67300000000000004</v>
      </c>
      <c r="K104" s="25">
        <v>0.70899999999999996</v>
      </c>
      <c r="L104" s="25">
        <v>0.70399999999999996</v>
      </c>
      <c r="M104" s="25">
        <v>0.69799999999999995</v>
      </c>
      <c r="N104" s="25">
        <v>0.67800000000000005</v>
      </c>
      <c r="O104" s="26">
        <f t="shared" si="22"/>
        <v>0.69240000000000002</v>
      </c>
      <c r="P104" s="25">
        <v>0.624</v>
      </c>
      <c r="Q104" s="25">
        <v>0.70399999999999996</v>
      </c>
      <c r="R104" s="25">
        <v>0.70399999999999996</v>
      </c>
      <c r="S104" s="25">
        <v>0.69499999999999995</v>
      </c>
      <c r="T104" s="25">
        <v>0.64400000000000002</v>
      </c>
      <c r="U104" s="26">
        <f t="shared" si="23"/>
        <v>0.67420000000000002</v>
      </c>
      <c r="V104" s="25">
        <v>0.63800000000000001</v>
      </c>
      <c r="W104" s="25">
        <v>0.65200000000000002</v>
      </c>
      <c r="X104" s="25">
        <v>0.71199999999999997</v>
      </c>
      <c r="Y104" s="25">
        <v>0.71199999999999997</v>
      </c>
      <c r="Z104" s="25">
        <v>0.71199999999999997</v>
      </c>
      <c r="AA104" s="26">
        <f t="shared" si="24"/>
        <v>0.68519999999999981</v>
      </c>
      <c r="AB104" s="25">
        <v>0.63800000000000001</v>
      </c>
      <c r="AC104" s="25">
        <v>0.65200000000000002</v>
      </c>
      <c r="AD104" s="25">
        <v>0.71199999999999997</v>
      </c>
      <c r="AE104" s="25">
        <v>0.71199999999999997</v>
      </c>
      <c r="AF104" s="25">
        <v>0.71199999999999997</v>
      </c>
      <c r="AG104" s="26">
        <f t="shared" si="25"/>
        <v>0.68519999999999981</v>
      </c>
      <c r="AH104" s="25">
        <f t="shared" si="26"/>
        <v>0</v>
      </c>
      <c r="AI104" s="25">
        <f t="shared" si="27"/>
        <v>-7.2000000000002062E-3</v>
      </c>
    </row>
    <row r="105" spans="1:35" x14ac:dyDescent="0.25">
      <c r="A105" s="24" t="s">
        <v>136</v>
      </c>
      <c r="B105" s="25" t="s">
        <v>128</v>
      </c>
      <c r="C105" s="25">
        <v>0.4</v>
      </c>
      <c r="D105" s="25">
        <v>0.60699999999999998</v>
      </c>
      <c r="E105" s="25">
        <v>0.52400000000000002</v>
      </c>
      <c r="F105" s="25">
        <v>0.61199999999999999</v>
      </c>
      <c r="G105" s="25">
        <v>0.59199999999999997</v>
      </c>
      <c r="H105" s="25">
        <v>0.53300000000000003</v>
      </c>
      <c r="I105" s="26">
        <f t="shared" si="21"/>
        <v>0.5736</v>
      </c>
      <c r="J105" s="25">
        <v>0.59</v>
      </c>
      <c r="K105" s="25">
        <v>0.61799999999999999</v>
      </c>
      <c r="L105" s="25">
        <v>0.627</v>
      </c>
      <c r="M105" s="25">
        <v>0.63500000000000001</v>
      </c>
      <c r="N105" s="25">
        <v>0.65800000000000003</v>
      </c>
      <c r="O105" s="26">
        <f t="shared" si="22"/>
        <v>0.62559999999999993</v>
      </c>
      <c r="P105" s="25">
        <v>0.51600000000000001</v>
      </c>
      <c r="Q105" s="25">
        <v>0.501</v>
      </c>
      <c r="R105" s="25">
        <v>0.56399999999999995</v>
      </c>
      <c r="S105" s="25">
        <v>0.60399999999999998</v>
      </c>
      <c r="T105" s="25">
        <v>0.53</v>
      </c>
      <c r="U105" s="26">
        <f t="shared" si="23"/>
        <v>0.54299999999999993</v>
      </c>
      <c r="V105" s="25">
        <v>0.38500000000000001</v>
      </c>
      <c r="W105" s="25">
        <v>0.49299999999999999</v>
      </c>
      <c r="X105" s="25">
        <v>0.55000000000000004</v>
      </c>
      <c r="Y105" s="25">
        <v>0.59799999999999998</v>
      </c>
      <c r="Z105" s="25">
        <v>0.56999999999999995</v>
      </c>
      <c r="AA105" s="26">
        <f t="shared" si="24"/>
        <v>0.51919999999999988</v>
      </c>
      <c r="AB105" s="25">
        <v>0.38500000000000001</v>
      </c>
      <c r="AC105" s="25">
        <v>0.49299999999999999</v>
      </c>
      <c r="AD105" s="25">
        <v>0.55000000000000004</v>
      </c>
      <c r="AE105" s="25">
        <v>0.59799999999999998</v>
      </c>
      <c r="AF105" s="25">
        <v>0.56999999999999995</v>
      </c>
      <c r="AG105" s="26">
        <f t="shared" si="25"/>
        <v>0.51919999999999988</v>
      </c>
      <c r="AH105" s="25">
        <f t="shared" si="26"/>
        <v>0</v>
      </c>
      <c r="AI105" s="25">
        <f t="shared" si="27"/>
        <v>-0.10640000000000005</v>
      </c>
    </row>
    <row r="106" spans="1:35" x14ac:dyDescent="0.25">
      <c r="A106" s="24" t="s">
        <v>136</v>
      </c>
      <c r="B106" s="25" t="s">
        <v>128</v>
      </c>
      <c r="C106" s="25">
        <v>0.5</v>
      </c>
      <c r="D106" s="25">
        <v>0.55000000000000004</v>
      </c>
      <c r="E106" s="25">
        <v>0.53</v>
      </c>
      <c r="F106" s="25">
        <v>0.58099999999999996</v>
      </c>
      <c r="G106" s="25">
        <v>0.41899999999999998</v>
      </c>
      <c r="H106" s="25">
        <v>0.52400000000000002</v>
      </c>
      <c r="I106" s="26">
        <f t="shared" si="21"/>
        <v>0.52080000000000004</v>
      </c>
      <c r="J106" s="25">
        <v>0.54700000000000004</v>
      </c>
      <c r="K106" s="25">
        <v>0.499</v>
      </c>
      <c r="L106" s="25">
        <v>0.60399999999999998</v>
      </c>
      <c r="M106" s="25">
        <v>0.47499999999999998</v>
      </c>
      <c r="N106" s="25">
        <v>0.39300000000000002</v>
      </c>
      <c r="O106" s="26">
        <f t="shared" si="22"/>
        <v>0.50359999999999994</v>
      </c>
      <c r="P106" s="25">
        <v>0.51900000000000002</v>
      </c>
      <c r="Q106" s="25">
        <v>0.57499999999999996</v>
      </c>
      <c r="R106" s="25">
        <v>0.53900000000000003</v>
      </c>
      <c r="S106" s="25">
        <v>0.53300000000000003</v>
      </c>
      <c r="T106" s="25">
        <v>0.51200000000000001</v>
      </c>
      <c r="U106" s="26">
        <f t="shared" si="23"/>
        <v>0.53559999999999997</v>
      </c>
      <c r="V106" s="25">
        <v>0.496</v>
      </c>
      <c r="W106" s="25">
        <v>0.433</v>
      </c>
      <c r="X106" s="25">
        <v>0.57799999999999996</v>
      </c>
      <c r="Y106" s="25">
        <v>0.56399999999999995</v>
      </c>
      <c r="Z106" s="25">
        <v>0.51</v>
      </c>
      <c r="AA106" s="26">
        <f t="shared" si="24"/>
        <v>0.5162000000000001</v>
      </c>
      <c r="AB106" s="25">
        <v>0.496</v>
      </c>
      <c r="AC106" s="25">
        <v>0.433</v>
      </c>
      <c r="AD106" s="25">
        <v>0.57799999999999996</v>
      </c>
      <c r="AE106" s="25">
        <v>0.56399999999999995</v>
      </c>
      <c r="AF106" s="25">
        <v>0.51</v>
      </c>
      <c r="AG106" s="26">
        <f t="shared" si="25"/>
        <v>0.5162000000000001</v>
      </c>
      <c r="AH106" s="25">
        <f t="shared" si="26"/>
        <v>0</v>
      </c>
      <c r="AI106" s="25">
        <f t="shared" si="27"/>
        <v>1.2600000000000167E-2</v>
      </c>
    </row>
    <row r="107" spans="1:35" x14ac:dyDescent="0.25">
      <c r="A107" s="24" t="s">
        <v>137</v>
      </c>
      <c r="B107" s="25" t="s">
        <v>124</v>
      </c>
      <c r="C107" s="25">
        <v>0</v>
      </c>
      <c r="D107" s="25">
        <v>0.71199999999999997</v>
      </c>
      <c r="E107" s="25">
        <v>0.72599999999999998</v>
      </c>
      <c r="F107" s="25">
        <v>0.72599999999999998</v>
      </c>
      <c r="G107" s="25">
        <v>0.71099999999999997</v>
      </c>
      <c r="H107" s="25">
        <v>0.68799999999999994</v>
      </c>
      <c r="I107" s="26">
        <f t="shared" si="21"/>
        <v>0.7125999999999999</v>
      </c>
      <c r="J107" s="25">
        <v>0.73599999999999999</v>
      </c>
      <c r="K107" s="25">
        <v>0.69199999999999995</v>
      </c>
      <c r="L107" s="25">
        <v>0.72099999999999997</v>
      </c>
      <c r="M107" s="25">
        <v>0.71099999999999997</v>
      </c>
      <c r="N107" s="25">
        <v>0.71599999999999997</v>
      </c>
      <c r="O107" s="26">
        <f t="shared" si="22"/>
        <v>0.71519999999999995</v>
      </c>
      <c r="P107" s="25">
        <v>0.70699999999999996</v>
      </c>
      <c r="Q107" s="25">
        <v>0.64500000000000002</v>
      </c>
      <c r="R107" s="25">
        <v>0.70199999999999996</v>
      </c>
      <c r="S107" s="25">
        <v>0.64400000000000002</v>
      </c>
      <c r="T107" s="25">
        <v>0.71099999999999997</v>
      </c>
      <c r="U107" s="26">
        <f t="shared" si="23"/>
        <v>0.68179999999999996</v>
      </c>
      <c r="V107" s="25">
        <v>0.72099999999999997</v>
      </c>
      <c r="W107" s="25">
        <v>0.64</v>
      </c>
      <c r="X107" s="25">
        <v>0.68300000000000005</v>
      </c>
      <c r="Y107" s="25">
        <v>0.69199999999999995</v>
      </c>
      <c r="Z107" s="25">
        <v>0.67300000000000004</v>
      </c>
      <c r="AA107" s="26">
        <f t="shared" si="24"/>
        <v>0.68179999999999996</v>
      </c>
      <c r="AB107" s="25">
        <v>0.72099999999999997</v>
      </c>
      <c r="AC107" s="25">
        <v>0.64</v>
      </c>
      <c r="AD107" s="25">
        <v>0.68300000000000005</v>
      </c>
      <c r="AE107" s="25">
        <v>0.69199999999999995</v>
      </c>
      <c r="AF107" s="25">
        <v>0.67300000000000004</v>
      </c>
      <c r="AG107" s="26">
        <f t="shared" si="25"/>
        <v>0.68179999999999996</v>
      </c>
      <c r="AH107" s="25">
        <f t="shared" si="26"/>
        <v>0</v>
      </c>
      <c r="AI107" s="25">
        <f t="shared" si="27"/>
        <v>-3.3399999999999985E-2</v>
      </c>
    </row>
    <row r="108" spans="1:35" x14ac:dyDescent="0.25">
      <c r="A108" s="24" t="s">
        <v>137</v>
      </c>
      <c r="B108" s="25" t="s">
        <v>125</v>
      </c>
      <c r="C108" s="25">
        <v>0.2</v>
      </c>
      <c r="D108" s="25">
        <v>0.61</v>
      </c>
      <c r="E108" s="25">
        <v>0.57699999999999996</v>
      </c>
      <c r="F108" s="25">
        <v>0.58199999999999996</v>
      </c>
      <c r="G108" s="25">
        <v>0.624</v>
      </c>
      <c r="H108" s="25">
        <v>0.60099999999999998</v>
      </c>
      <c r="I108" s="26">
        <f t="shared" si="21"/>
        <v>0.5988</v>
      </c>
      <c r="J108" s="25">
        <v>0.66300000000000003</v>
      </c>
      <c r="K108" s="25">
        <v>0.64900000000000002</v>
      </c>
      <c r="L108" s="25">
        <v>0.64</v>
      </c>
      <c r="M108" s="25">
        <v>0.69199999999999995</v>
      </c>
      <c r="N108" s="25">
        <v>0.64900000000000002</v>
      </c>
      <c r="O108" s="26">
        <f t="shared" si="22"/>
        <v>0.65860000000000007</v>
      </c>
      <c r="P108" s="25">
        <v>0.64900000000000002</v>
      </c>
      <c r="Q108" s="25">
        <v>0.63</v>
      </c>
      <c r="R108" s="25">
        <v>0.66300000000000003</v>
      </c>
      <c r="S108" s="25">
        <v>0.63900000000000001</v>
      </c>
      <c r="T108" s="25">
        <v>0.67800000000000005</v>
      </c>
      <c r="U108" s="26">
        <f t="shared" si="23"/>
        <v>0.65179999999999993</v>
      </c>
      <c r="V108" s="25">
        <v>0.66800000000000004</v>
      </c>
      <c r="W108" s="25">
        <v>0.64900000000000002</v>
      </c>
      <c r="X108" s="25">
        <v>0.63</v>
      </c>
      <c r="Y108" s="25">
        <v>0.62</v>
      </c>
      <c r="Z108" s="25">
        <v>0.63400000000000001</v>
      </c>
      <c r="AA108" s="26">
        <f t="shared" si="24"/>
        <v>0.64019999999999999</v>
      </c>
      <c r="AB108" s="25">
        <v>0.66800000000000004</v>
      </c>
      <c r="AC108" s="25">
        <v>0.64900000000000002</v>
      </c>
      <c r="AD108" s="25">
        <v>0.63</v>
      </c>
      <c r="AE108" s="25">
        <v>0.62</v>
      </c>
      <c r="AF108" s="25">
        <v>0.63400000000000001</v>
      </c>
      <c r="AG108" s="26">
        <f t="shared" si="25"/>
        <v>0.64019999999999999</v>
      </c>
      <c r="AH108" s="25">
        <f t="shared" si="26"/>
        <v>0</v>
      </c>
      <c r="AI108" s="25">
        <f t="shared" si="27"/>
        <v>-1.8400000000000083E-2</v>
      </c>
    </row>
    <row r="109" spans="1:35" x14ac:dyDescent="0.25">
      <c r="A109" s="24" t="s">
        <v>137</v>
      </c>
      <c r="B109" s="25" t="s">
        <v>125</v>
      </c>
      <c r="C109" s="25">
        <v>0.3</v>
      </c>
      <c r="D109" s="25">
        <v>0.56200000000000006</v>
      </c>
      <c r="E109" s="25">
        <v>0.57799999999999996</v>
      </c>
      <c r="F109" s="25">
        <v>0.55800000000000005</v>
      </c>
      <c r="G109" s="25">
        <v>0.57699999999999996</v>
      </c>
      <c r="H109" s="25">
        <v>0.51</v>
      </c>
      <c r="I109" s="26">
        <f t="shared" si="21"/>
        <v>0.55700000000000005</v>
      </c>
      <c r="J109" s="25">
        <v>0.64900000000000002</v>
      </c>
      <c r="K109" s="25">
        <v>0.63</v>
      </c>
      <c r="L109" s="25">
        <v>0.56699999999999995</v>
      </c>
      <c r="M109" s="25">
        <v>0.57199999999999995</v>
      </c>
      <c r="N109" s="25">
        <v>0.62</v>
      </c>
      <c r="O109" s="26">
        <f t="shared" si="22"/>
        <v>0.60759999999999992</v>
      </c>
      <c r="P109" s="25">
        <v>0.54300000000000004</v>
      </c>
      <c r="Q109" s="25">
        <v>0.62</v>
      </c>
      <c r="R109" s="25">
        <v>0.68300000000000005</v>
      </c>
      <c r="S109" s="25">
        <v>0.60599999999999998</v>
      </c>
      <c r="T109" s="25">
        <v>0.55900000000000005</v>
      </c>
      <c r="U109" s="26">
        <f t="shared" si="23"/>
        <v>0.60220000000000007</v>
      </c>
      <c r="V109" s="25">
        <v>0.63500000000000001</v>
      </c>
      <c r="W109" s="25">
        <v>0.58199999999999996</v>
      </c>
      <c r="X109" s="25">
        <v>0.57799999999999996</v>
      </c>
      <c r="Y109" s="25">
        <v>0.60499999999999998</v>
      </c>
      <c r="Z109" s="25">
        <v>0.625</v>
      </c>
      <c r="AA109" s="26">
        <f t="shared" si="24"/>
        <v>0.60499999999999998</v>
      </c>
      <c r="AB109" s="25">
        <v>0.63500000000000001</v>
      </c>
      <c r="AC109" s="25">
        <v>0.58199999999999996</v>
      </c>
      <c r="AD109" s="25">
        <v>0.57799999999999996</v>
      </c>
      <c r="AE109" s="25">
        <v>0.60499999999999998</v>
      </c>
      <c r="AF109" s="25">
        <v>0.625</v>
      </c>
      <c r="AG109" s="26">
        <f t="shared" si="25"/>
        <v>0.60499999999999998</v>
      </c>
      <c r="AH109" s="25">
        <f t="shared" si="26"/>
        <v>0</v>
      </c>
      <c r="AI109" s="25">
        <f t="shared" si="27"/>
        <v>-2.5999999999999357E-3</v>
      </c>
    </row>
    <row r="110" spans="1:35" x14ac:dyDescent="0.25">
      <c r="A110" s="24" t="s">
        <v>137</v>
      </c>
      <c r="B110" s="25" t="s">
        <v>125</v>
      </c>
      <c r="C110" s="25">
        <v>0.4</v>
      </c>
      <c r="D110" s="25">
        <v>0.55300000000000005</v>
      </c>
      <c r="E110" s="25">
        <v>0.51400000000000001</v>
      </c>
      <c r="F110" s="25">
        <v>0.53400000000000003</v>
      </c>
      <c r="G110" s="25">
        <v>0.56699999999999995</v>
      </c>
      <c r="H110" s="25">
        <v>0.51900000000000002</v>
      </c>
      <c r="I110" s="26">
        <f t="shared" si="21"/>
        <v>0.5374000000000001</v>
      </c>
      <c r="J110" s="25">
        <v>0.505</v>
      </c>
      <c r="K110" s="25">
        <v>0.5</v>
      </c>
      <c r="L110" s="25">
        <v>0.52900000000000003</v>
      </c>
      <c r="M110" s="25">
        <v>0.54800000000000004</v>
      </c>
      <c r="N110" s="25">
        <v>0.62</v>
      </c>
      <c r="O110" s="26">
        <f t="shared" si="22"/>
        <v>0.54039999999999999</v>
      </c>
      <c r="P110" s="25">
        <v>0.54300000000000004</v>
      </c>
      <c r="Q110" s="25">
        <v>0.54300000000000004</v>
      </c>
      <c r="R110" s="25">
        <v>0.54300000000000004</v>
      </c>
      <c r="S110" s="25">
        <v>0.55700000000000005</v>
      </c>
      <c r="T110" s="25">
        <v>0.55700000000000005</v>
      </c>
      <c r="U110" s="26">
        <f t="shared" si="23"/>
        <v>0.54859999999999998</v>
      </c>
      <c r="V110" s="25">
        <v>0.54800000000000004</v>
      </c>
      <c r="W110" s="25">
        <v>0.49</v>
      </c>
      <c r="X110" s="25">
        <v>0.50600000000000001</v>
      </c>
      <c r="Y110" s="25">
        <v>0.495</v>
      </c>
      <c r="Z110" s="25">
        <v>0.56200000000000006</v>
      </c>
      <c r="AA110" s="26">
        <f t="shared" si="24"/>
        <v>0.5202</v>
      </c>
      <c r="AB110" s="25">
        <v>0.54800000000000004</v>
      </c>
      <c r="AC110" s="25">
        <v>0.49</v>
      </c>
      <c r="AD110" s="25">
        <v>0.50600000000000001</v>
      </c>
      <c r="AE110" s="25">
        <v>0.495</v>
      </c>
      <c r="AF110" s="25">
        <v>0.56200000000000006</v>
      </c>
      <c r="AG110" s="26">
        <f t="shared" si="25"/>
        <v>0.5202</v>
      </c>
      <c r="AH110" s="25">
        <f t="shared" si="26"/>
        <v>0</v>
      </c>
      <c r="AI110" s="25">
        <f t="shared" si="27"/>
        <v>-2.0199999999999996E-2</v>
      </c>
    </row>
    <row r="111" spans="1:35" x14ac:dyDescent="0.25">
      <c r="A111" s="24" t="s">
        <v>137</v>
      </c>
      <c r="B111" s="25" t="s">
        <v>125</v>
      </c>
      <c r="C111" s="25">
        <v>0.5</v>
      </c>
      <c r="D111" s="25">
        <v>0.46600000000000003</v>
      </c>
      <c r="E111" s="25">
        <v>0.52</v>
      </c>
      <c r="F111" s="25">
        <v>0.50900000000000001</v>
      </c>
      <c r="G111" s="25">
        <v>0.5</v>
      </c>
      <c r="H111" s="25">
        <v>0.57299999999999995</v>
      </c>
      <c r="I111" s="26">
        <f t="shared" si="21"/>
        <v>0.51360000000000006</v>
      </c>
      <c r="J111" s="25">
        <v>0.44700000000000001</v>
      </c>
      <c r="K111" s="25">
        <v>0.56699999999999995</v>
      </c>
      <c r="L111" s="25">
        <v>0.52400000000000002</v>
      </c>
      <c r="M111" s="25">
        <v>0.51900000000000002</v>
      </c>
      <c r="N111" s="25">
        <v>0.56699999999999995</v>
      </c>
      <c r="O111" s="26">
        <f t="shared" si="22"/>
        <v>0.52479999999999993</v>
      </c>
      <c r="P111" s="25">
        <v>0.44700000000000001</v>
      </c>
      <c r="Q111" s="25">
        <v>0.55300000000000005</v>
      </c>
      <c r="R111" s="25">
        <v>0.48099999999999998</v>
      </c>
      <c r="S111" s="25">
        <v>0.55900000000000005</v>
      </c>
      <c r="T111" s="25">
        <v>0.55300000000000005</v>
      </c>
      <c r="U111" s="26">
        <f t="shared" si="23"/>
        <v>0.51859999999999995</v>
      </c>
      <c r="V111" s="25">
        <v>0.39400000000000002</v>
      </c>
      <c r="W111" s="25">
        <v>0.52</v>
      </c>
      <c r="X111" s="25">
        <v>0.52900000000000003</v>
      </c>
      <c r="Y111" s="25">
        <v>0.49</v>
      </c>
      <c r="Z111" s="25">
        <v>0.58599999999999997</v>
      </c>
      <c r="AA111" s="26">
        <f t="shared" si="24"/>
        <v>0.50380000000000003</v>
      </c>
      <c r="AB111" s="25">
        <v>0.39400000000000002</v>
      </c>
      <c r="AC111" s="25">
        <v>0.52</v>
      </c>
      <c r="AD111" s="25">
        <v>0.52900000000000003</v>
      </c>
      <c r="AE111" s="25">
        <v>0.49</v>
      </c>
      <c r="AF111" s="25">
        <v>0.58599999999999997</v>
      </c>
      <c r="AG111" s="26">
        <f t="shared" si="25"/>
        <v>0.50380000000000003</v>
      </c>
      <c r="AH111" s="25">
        <f t="shared" si="26"/>
        <v>0</v>
      </c>
      <c r="AI111" s="25">
        <f t="shared" si="27"/>
        <v>-2.0999999999999908E-2</v>
      </c>
    </row>
    <row r="112" spans="1:35" x14ac:dyDescent="0.25">
      <c r="A112" s="24" t="s">
        <v>137</v>
      </c>
      <c r="B112" s="25" t="s">
        <v>126</v>
      </c>
      <c r="C112" s="25">
        <v>0.2</v>
      </c>
      <c r="D112" s="25">
        <v>0.63400000000000001</v>
      </c>
      <c r="E112" s="25">
        <v>0.59199999999999997</v>
      </c>
      <c r="F112" s="25">
        <v>0.60599999999999998</v>
      </c>
      <c r="G112" s="25">
        <v>0.65900000000000003</v>
      </c>
      <c r="H112" s="25">
        <v>0.54400000000000004</v>
      </c>
      <c r="I112" s="26">
        <f t="shared" si="21"/>
        <v>0.60699999999999998</v>
      </c>
      <c r="J112" s="25">
        <v>0.63900000000000001</v>
      </c>
      <c r="K112" s="25">
        <v>0.63</v>
      </c>
      <c r="L112" s="25">
        <v>0.63400000000000001</v>
      </c>
      <c r="M112" s="25">
        <v>0.624</v>
      </c>
      <c r="N112" s="25">
        <v>0.61099999999999999</v>
      </c>
      <c r="O112" s="26">
        <f t="shared" si="22"/>
        <v>0.62759999999999994</v>
      </c>
      <c r="P112" s="25">
        <v>0.64500000000000002</v>
      </c>
      <c r="Q112" s="25">
        <v>0.60599999999999998</v>
      </c>
      <c r="R112" s="25">
        <v>0.67700000000000005</v>
      </c>
      <c r="S112" s="25">
        <v>0.62</v>
      </c>
      <c r="T112" s="25">
        <v>0.62</v>
      </c>
      <c r="U112" s="26">
        <f t="shared" si="23"/>
        <v>0.63360000000000005</v>
      </c>
      <c r="V112" s="25">
        <v>0.60099999999999998</v>
      </c>
      <c r="W112" s="25">
        <v>0.58699999999999997</v>
      </c>
      <c r="X112" s="25">
        <v>0.67300000000000004</v>
      </c>
      <c r="Y112" s="25">
        <v>0.625</v>
      </c>
      <c r="Z112" s="25">
        <v>0.59099999999999997</v>
      </c>
      <c r="AA112" s="26">
        <f t="shared" si="24"/>
        <v>0.61539999999999995</v>
      </c>
      <c r="AB112" s="25">
        <v>0.60099999999999998</v>
      </c>
      <c r="AC112" s="25">
        <v>0.58699999999999997</v>
      </c>
      <c r="AD112" s="25">
        <v>0.67300000000000004</v>
      </c>
      <c r="AE112" s="25">
        <v>0.625</v>
      </c>
      <c r="AF112" s="25">
        <v>0.59099999999999997</v>
      </c>
      <c r="AG112" s="26">
        <f t="shared" si="25"/>
        <v>0.61539999999999995</v>
      </c>
      <c r="AH112" s="25">
        <f t="shared" si="26"/>
        <v>0</v>
      </c>
      <c r="AI112" s="25">
        <f t="shared" si="27"/>
        <v>-1.2199999999999989E-2</v>
      </c>
    </row>
    <row r="113" spans="1:35" x14ac:dyDescent="0.25">
      <c r="A113" s="24" t="s">
        <v>137</v>
      </c>
      <c r="B113" s="25" t="s">
        <v>126</v>
      </c>
      <c r="C113" s="25">
        <v>0.3</v>
      </c>
      <c r="D113" s="25">
        <v>0.56299999999999994</v>
      </c>
      <c r="E113" s="25">
        <v>0.59099999999999997</v>
      </c>
      <c r="F113" s="25">
        <v>0.60099999999999998</v>
      </c>
      <c r="G113" s="25">
        <v>0.6</v>
      </c>
      <c r="H113" s="25">
        <v>0.55400000000000005</v>
      </c>
      <c r="I113" s="26">
        <f t="shared" si="21"/>
        <v>0.58179999999999998</v>
      </c>
      <c r="J113" s="25">
        <v>0.64400000000000002</v>
      </c>
      <c r="K113" s="25">
        <v>0.64400000000000002</v>
      </c>
      <c r="L113" s="25">
        <v>0.67800000000000005</v>
      </c>
      <c r="M113" s="25">
        <v>0.68700000000000006</v>
      </c>
      <c r="N113" s="25">
        <v>0.57199999999999995</v>
      </c>
      <c r="O113" s="26">
        <f t="shared" si="22"/>
        <v>0.64500000000000013</v>
      </c>
      <c r="P113" s="25">
        <v>0.57199999999999995</v>
      </c>
      <c r="Q113" s="25">
        <v>0.61599999999999999</v>
      </c>
      <c r="R113" s="25">
        <v>0.625</v>
      </c>
      <c r="S113" s="25">
        <v>0.63900000000000001</v>
      </c>
      <c r="T113" s="25">
        <v>0.54800000000000004</v>
      </c>
      <c r="U113" s="26">
        <f t="shared" si="23"/>
        <v>0.6</v>
      </c>
      <c r="V113" s="25">
        <v>0.62</v>
      </c>
      <c r="W113" s="25">
        <v>0.54800000000000004</v>
      </c>
      <c r="X113" s="25">
        <v>0.61599999999999999</v>
      </c>
      <c r="Y113" s="25">
        <v>0.64400000000000002</v>
      </c>
      <c r="Z113" s="25">
        <v>0.56299999999999994</v>
      </c>
      <c r="AA113" s="26">
        <f t="shared" si="24"/>
        <v>0.59820000000000007</v>
      </c>
      <c r="AB113" s="25">
        <v>0.62</v>
      </c>
      <c r="AC113" s="25">
        <v>0.54800000000000004</v>
      </c>
      <c r="AD113" s="25">
        <v>0.61599999999999999</v>
      </c>
      <c r="AE113" s="25">
        <v>0.64400000000000002</v>
      </c>
      <c r="AF113" s="25">
        <v>0.56299999999999994</v>
      </c>
      <c r="AG113" s="26">
        <f t="shared" si="25"/>
        <v>0.59820000000000007</v>
      </c>
      <c r="AH113" s="25">
        <f t="shared" si="26"/>
        <v>0</v>
      </c>
      <c r="AI113" s="25">
        <f t="shared" si="27"/>
        <v>-4.6800000000000064E-2</v>
      </c>
    </row>
    <row r="114" spans="1:35" x14ac:dyDescent="0.25">
      <c r="A114" s="24" t="s">
        <v>137</v>
      </c>
      <c r="B114" s="25" t="s">
        <v>126</v>
      </c>
      <c r="C114" s="25">
        <v>0.4</v>
      </c>
      <c r="D114" s="25">
        <v>0.56200000000000006</v>
      </c>
      <c r="E114" s="25">
        <v>0.60199999999999998</v>
      </c>
      <c r="F114" s="25">
        <v>0.57199999999999995</v>
      </c>
      <c r="G114" s="25">
        <v>0.56200000000000006</v>
      </c>
      <c r="H114" s="25">
        <v>0.55400000000000005</v>
      </c>
      <c r="I114" s="26">
        <f t="shared" si="21"/>
        <v>0.57040000000000002</v>
      </c>
      <c r="J114" s="25">
        <v>0.60099999999999998</v>
      </c>
      <c r="K114" s="25">
        <v>0.55800000000000005</v>
      </c>
      <c r="L114" s="25">
        <v>0.62</v>
      </c>
      <c r="M114" s="25">
        <v>0.58599999999999997</v>
      </c>
      <c r="N114" s="25">
        <v>0.60599999999999998</v>
      </c>
      <c r="O114" s="26">
        <f t="shared" si="22"/>
        <v>0.59419999999999995</v>
      </c>
      <c r="P114" s="25">
        <v>0.53300000000000003</v>
      </c>
      <c r="Q114" s="25">
        <v>0.53900000000000003</v>
      </c>
      <c r="R114" s="25">
        <v>0.55700000000000005</v>
      </c>
      <c r="S114" s="25">
        <v>0.54300000000000004</v>
      </c>
      <c r="T114" s="25">
        <v>0.60499999999999998</v>
      </c>
      <c r="U114" s="26">
        <f t="shared" si="23"/>
        <v>0.5554</v>
      </c>
      <c r="V114" s="25">
        <v>0.51400000000000001</v>
      </c>
      <c r="W114" s="25">
        <v>0.501</v>
      </c>
      <c r="X114" s="25">
        <v>0.58199999999999996</v>
      </c>
      <c r="Y114" s="25">
        <v>0.55700000000000005</v>
      </c>
      <c r="Z114" s="25">
        <v>0.59499999999999997</v>
      </c>
      <c r="AA114" s="26">
        <f t="shared" si="24"/>
        <v>0.54979999999999996</v>
      </c>
      <c r="AB114" s="25">
        <v>0.51400000000000001</v>
      </c>
      <c r="AC114" s="25">
        <v>0.501</v>
      </c>
      <c r="AD114" s="25">
        <v>0.58199999999999996</v>
      </c>
      <c r="AE114" s="25">
        <v>0.55700000000000005</v>
      </c>
      <c r="AF114" s="25">
        <v>0.59499999999999997</v>
      </c>
      <c r="AG114" s="26">
        <f t="shared" si="25"/>
        <v>0.54979999999999996</v>
      </c>
      <c r="AH114" s="25">
        <f t="shared" si="26"/>
        <v>0</v>
      </c>
      <c r="AI114" s="25">
        <f t="shared" si="27"/>
        <v>-4.4399999999999995E-2</v>
      </c>
    </row>
    <row r="115" spans="1:35" x14ac:dyDescent="0.25">
      <c r="A115" s="24" t="s">
        <v>137</v>
      </c>
      <c r="B115" s="25" t="s">
        <v>126</v>
      </c>
      <c r="C115" s="25">
        <v>0.5</v>
      </c>
      <c r="D115" s="25">
        <v>0.52900000000000003</v>
      </c>
      <c r="E115" s="25">
        <v>0.53300000000000003</v>
      </c>
      <c r="F115" s="25">
        <v>0.51500000000000001</v>
      </c>
      <c r="G115" s="25">
        <v>0.5</v>
      </c>
      <c r="H115" s="25">
        <v>0.55300000000000005</v>
      </c>
      <c r="I115" s="26">
        <f t="shared" si="21"/>
        <v>0.52600000000000002</v>
      </c>
      <c r="J115" s="25">
        <v>0.57199999999999995</v>
      </c>
      <c r="K115" s="25">
        <v>0.58199999999999996</v>
      </c>
      <c r="L115" s="25">
        <v>0.56699999999999995</v>
      </c>
      <c r="M115" s="25">
        <v>0.59499999999999997</v>
      </c>
      <c r="N115" s="25">
        <v>0.57699999999999996</v>
      </c>
      <c r="O115" s="26">
        <f t="shared" si="22"/>
        <v>0.5786</v>
      </c>
      <c r="P115" s="25"/>
      <c r="Q115" s="25"/>
      <c r="R115" s="25"/>
      <c r="S115" s="25"/>
      <c r="T115" s="25"/>
      <c r="U115" s="26" t="str">
        <f t="shared" si="23"/>
        <v/>
      </c>
      <c r="V115" s="25"/>
      <c r="W115" s="25"/>
      <c r="X115" s="25"/>
      <c r="Y115" s="25"/>
      <c r="Z115" s="25"/>
      <c r="AA115" s="26" t="str">
        <f t="shared" si="24"/>
        <v/>
      </c>
      <c r="AB115" s="25">
        <v>0.59599999999999997</v>
      </c>
      <c r="AC115" s="25">
        <v>0.59099999999999997</v>
      </c>
      <c r="AD115" s="25">
        <v>0.53400000000000003</v>
      </c>
      <c r="AE115" s="25">
        <v>0.67200000000000004</v>
      </c>
      <c r="AF115" s="25">
        <v>0.61499999999999999</v>
      </c>
      <c r="AG115" s="26">
        <f t="shared" si="25"/>
        <v>0.60160000000000002</v>
      </c>
      <c r="AH115" s="25" t="str">
        <f t="shared" si="26"/>
        <v/>
      </c>
      <c r="AI115" s="25">
        <f t="shared" si="27"/>
        <v>2.300000000000002E-2</v>
      </c>
    </row>
    <row r="116" spans="1:35" x14ac:dyDescent="0.25">
      <c r="A116" s="24" t="s">
        <v>137</v>
      </c>
      <c r="B116" s="25" t="s">
        <v>127</v>
      </c>
      <c r="C116" s="25">
        <v>0.2</v>
      </c>
      <c r="D116" s="25">
        <v>0.625</v>
      </c>
      <c r="E116" s="25">
        <v>0.62</v>
      </c>
      <c r="F116" s="25">
        <v>0.66400000000000003</v>
      </c>
      <c r="G116" s="25">
        <v>0.69699999999999995</v>
      </c>
      <c r="H116" s="25">
        <v>0.61</v>
      </c>
      <c r="I116" s="26">
        <f t="shared" si="21"/>
        <v>0.64319999999999999</v>
      </c>
      <c r="J116" s="25">
        <v>0.70699999999999996</v>
      </c>
      <c r="K116" s="25">
        <v>0.68799999999999994</v>
      </c>
      <c r="L116" s="25">
        <v>0.78400000000000003</v>
      </c>
      <c r="M116" s="25">
        <v>0.71099999999999997</v>
      </c>
      <c r="N116" s="25">
        <v>0.70699999999999996</v>
      </c>
      <c r="O116" s="26">
        <f t="shared" si="22"/>
        <v>0.71940000000000004</v>
      </c>
      <c r="P116" s="25">
        <v>0.69299999999999995</v>
      </c>
      <c r="Q116" s="25">
        <v>0.68799999999999994</v>
      </c>
      <c r="R116" s="25">
        <v>0.67800000000000005</v>
      </c>
      <c r="S116" s="25">
        <v>0.66800000000000004</v>
      </c>
      <c r="T116" s="25">
        <v>0.64500000000000002</v>
      </c>
      <c r="U116" s="26">
        <f t="shared" si="23"/>
        <v>0.6744</v>
      </c>
      <c r="V116" s="25">
        <v>0.64900000000000002</v>
      </c>
      <c r="W116" s="25">
        <v>0.70199999999999996</v>
      </c>
      <c r="X116" s="25">
        <v>0.65400000000000003</v>
      </c>
      <c r="Y116" s="25">
        <v>0.66300000000000003</v>
      </c>
      <c r="Z116" s="25">
        <v>0.68799999999999994</v>
      </c>
      <c r="AA116" s="26">
        <f t="shared" si="24"/>
        <v>0.67120000000000002</v>
      </c>
      <c r="AB116" s="25">
        <v>0.64900000000000002</v>
      </c>
      <c r="AC116" s="25">
        <v>0.70199999999999996</v>
      </c>
      <c r="AD116" s="25">
        <v>0.65400000000000003</v>
      </c>
      <c r="AE116" s="25">
        <v>0.66300000000000003</v>
      </c>
      <c r="AF116" s="25">
        <v>0.68799999999999994</v>
      </c>
      <c r="AG116" s="26">
        <f t="shared" si="25"/>
        <v>0.67120000000000002</v>
      </c>
      <c r="AH116" s="25">
        <f t="shared" si="26"/>
        <v>0</v>
      </c>
      <c r="AI116" s="25">
        <f t="shared" si="27"/>
        <v>-4.8200000000000021E-2</v>
      </c>
    </row>
    <row r="117" spans="1:35" x14ac:dyDescent="0.25">
      <c r="A117" s="24" t="s">
        <v>137</v>
      </c>
      <c r="B117" s="25" t="s">
        <v>127</v>
      </c>
      <c r="C117" s="25">
        <v>0.3</v>
      </c>
      <c r="D117" s="25">
        <v>0.60599999999999998</v>
      </c>
      <c r="E117" s="25">
        <v>0.58099999999999996</v>
      </c>
      <c r="F117" s="25">
        <v>0.68300000000000005</v>
      </c>
      <c r="G117" s="25">
        <v>0.68700000000000006</v>
      </c>
      <c r="H117" s="25">
        <v>0.66400000000000003</v>
      </c>
      <c r="I117" s="26">
        <f t="shared" si="21"/>
        <v>0.64419999999999999</v>
      </c>
      <c r="J117" s="25">
        <v>0.624</v>
      </c>
      <c r="K117" s="25">
        <v>0.61499999999999999</v>
      </c>
      <c r="L117" s="25">
        <v>0.66400000000000003</v>
      </c>
      <c r="M117" s="25">
        <v>0.64400000000000002</v>
      </c>
      <c r="N117" s="25">
        <v>0.67700000000000005</v>
      </c>
      <c r="O117" s="26">
        <f t="shared" si="22"/>
        <v>0.64480000000000004</v>
      </c>
      <c r="P117" s="25">
        <v>0.629</v>
      </c>
      <c r="Q117" s="25">
        <v>0.63900000000000001</v>
      </c>
      <c r="R117" s="25">
        <v>0.66900000000000004</v>
      </c>
      <c r="S117" s="25">
        <v>0.62</v>
      </c>
      <c r="T117" s="25">
        <v>0.60099999999999998</v>
      </c>
      <c r="U117" s="26">
        <f t="shared" si="23"/>
        <v>0.63159999999999994</v>
      </c>
      <c r="V117" s="25">
        <v>0.59599999999999997</v>
      </c>
      <c r="W117" s="25">
        <v>0.59199999999999997</v>
      </c>
      <c r="X117" s="25">
        <v>0.61599999999999999</v>
      </c>
      <c r="Y117" s="25">
        <v>0.63400000000000001</v>
      </c>
      <c r="Z117" s="25">
        <v>0.67300000000000004</v>
      </c>
      <c r="AA117" s="26">
        <f t="shared" si="24"/>
        <v>0.62219999999999998</v>
      </c>
      <c r="AB117" s="25">
        <v>0.59599999999999997</v>
      </c>
      <c r="AC117" s="25">
        <v>0.59199999999999997</v>
      </c>
      <c r="AD117" s="25">
        <v>0.61599999999999999</v>
      </c>
      <c r="AE117" s="25">
        <v>0.63400000000000001</v>
      </c>
      <c r="AF117" s="25">
        <v>0.67300000000000004</v>
      </c>
      <c r="AG117" s="26">
        <f t="shared" si="25"/>
        <v>0.62219999999999998</v>
      </c>
      <c r="AH117" s="25">
        <f t="shared" si="26"/>
        <v>0</v>
      </c>
      <c r="AI117" s="25">
        <f t="shared" si="27"/>
        <v>-2.2600000000000064E-2</v>
      </c>
    </row>
    <row r="118" spans="1:35" x14ac:dyDescent="0.25">
      <c r="A118" s="24" t="s">
        <v>137</v>
      </c>
      <c r="B118" s="25" t="s">
        <v>127</v>
      </c>
      <c r="C118" s="25">
        <v>0.4</v>
      </c>
      <c r="D118" s="25">
        <v>0.54800000000000004</v>
      </c>
      <c r="E118" s="25">
        <v>0.54800000000000004</v>
      </c>
      <c r="F118" s="25">
        <v>0.57699999999999996</v>
      </c>
      <c r="G118" s="25">
        <v>0.61099999999999999</v>
      </c>
      <c r="H118" s="25">
        <v>0.60199999999999998</v>
      </c>
      <c r="I118" s="26">
        <f t="shared" si="21"/>
        <v>0.57719999999999994</v>
      </c>
      <c r="J118" s="25">
        <v>0.60599999999999998</v>
      </c>
      <c r="K118" s="25">
        <v>0.625</v>
      </c>
      <c r="L118" s="25">
        <v>0.60099999999999998</v>
      </c>
      <c r="M118" s="25">
        <v>0.64900000000000002</v>
      </c>
      <c r="N118" s="25">
        <v>0.65800000000000003</v>
      </c>
      <c r="O118" s="26">
        <f t="shared" si="22"/>
        <v>0.62779999999999991</v>
      </c>
      <c r="P118" s="25">
        <v>0.56200000000000006</v>
      </c>
      <c r="Q118" s="25">
        <v>0.58199999999999996</v>
      </c>
      <c r="R118" s="25">
        <v>0.54300000000000004</v>
      </c>
      <c r="S118" s="25">
        <v>0.55700000000000005</v>
      </c>
      <c r="T118" s="25">
        <v>0.56699999999999995</v>
      </c>
      <c r="U118" s="26">
        <f t="shared" si="23"/>
        <v>0.56220000000000003</v>
      </c>
      <c r="V118" s="25">
        <v>0.58699999999999997</v>
      </c>
      <c r="W118" s="25">
        <v>0.62</v>
      </c>
      <c r="X118" s="25">
        <v>0.64400000000000002</v>
      </c>
      <c r="Y118" s="25">
        <v>0.66800000000000004</v>
      </c>
      <c r="Z118" s="25">
        <v>0.63</v>
      </c>
      <c r="AA118" s="26">
        <f t="shared" si="24"/>
        <v>0.62980000000000003</v>
      </c>
      <c r="AB118" s="25">
        <v>0.58699999999999997</v>
      </c>
      <c r="AC118" s="25">
        <v>0.62</v>
      </c>
      <c r="AD118" s="25">
        <v>0.64400000000000002</v>
      </c>
      <c r="AE118" s="25">
        <v>0.66800000000000004</v>
      </c>
      <c r="AF118" s="25">
        <v>0.63</v>
      </c>
      <c r="AG118" s="26">
        <f t="shared" si="25"/>
        <v>0.62980000000000003</v>
      </c>
      <c r="AH118" s="25">
        <f t="shared" si="26"/>
        <v>0</v>
      </c>
      <c r="AI118" s="25">
        <f t="shared" si="27"/>
        <v>2.0000000000001128E-3</v>
      </c>
    </row>
    <row r="119" spans="1:35" x14ac:dyDescent="0.25">
      <c r="A119" s="24" t="s">
        <v>137</v>
      </c>
      <c r="B119" s="25" t="s">
        <v>127</v>
      </c>
      <c r="C119" s="25">
        <v>0.5</v>
      </c>
      <c r="D119" s="25">
        <v>0.505</v>
      </c>
      <c r="E119" s="25">
        <v>0.55300000000000005</v>
      </c>
      <c r="F119" s="25">
        <v>0.50900000000000001</v>
      </c>
      <c r="G119" s="25">
        <v>0.47499999999999998</v>
      </c>
      <c r="H119" s="25">
        <v>0.49</v>
      </c>
      <c r="I119" s="26">
        <f t="shared" si="21"/>
        <v>0.50639999999999996</v>
      </c>
      <c r="J119" s="25">
        <v>0.51</v>
      </c>
      <c r="K119" s="25">
        <v>0.48099999999999998</v>
      </c>
      <c r="L119" s="25">
        <v>0.52300000000000002</v>
      </c>
      <c r="M119" s="25">
        <v>0.48</v>
      </c>
      <c r="N119" s="25">
        <v>0.495</v>
      </c>
      <c r="O119" s="26">
        <f t="shared" si="22"/>
        <v>0.49779999999999996</v>
      </c>
      <c r="P119" s="25">
        <v>0.51500000000000001</v>
      </c>
      <c r="Q119" s="25">
        <v>0.57599999999999996</v>
      </c>
      <c r="R119" s="25">
        <v>0.495</v>
      </c>
      <c r="S119" s="25">
        <v>0.49399999999999999</v>
      </c>
      <c r="T119" s="25">
        <v>0.47499999999999998</v>
      </c>
      <c r="U119" s="26">
        <f t="shared" si="23"/>
        <v>0.51100000000000001</v>
      </c>
      <c r="V119" s="25">
        <v>0.51900000000000002</v>
      </c>
      <c r="W119" s="25">
        <v>0.5</v>
      </c>
      <c r="X119" s="25">
        <v>0.46600000000000003</v>
      </c>
      <c r="Y119" s="25">
        <v>0.55200000000000005</v>
      </c>
      <c r="Z119" s="25">
        <v>0.55300000000000005</v>
      </c>
      <c r="AA119" s="26">
        <f t="shared" si="24"/>
        <v>0.51800000000000002</v>
      </c>
      <c r="AB119" s="25">
        <v>0.51900000000000002</v>
      </c>
      <c r="AC119" s="25">
        <v>0.5</v>
      </c>
      <c r="AD119" s="25">
        <v>0.46600000000000003</v>
      </c>
      <c r="AE119" s="25">
        <v>0.55200000000000005</v>
      </c>
      <c r="AF119" s="25">
        <v>0.55300000000000005</v>
      </c>
      <c r="AG119" s="26">
        <f t="shared" si="25"/>
        <v>0.51800000000000002</v>
      </c>
      <c r="AH119" s="25">
        <f t="shared" si="26"/>
        <v>0</v>
      </c>
      <c r="AI119" s="25">
        <f t="shared" si="27"/>
        <v>2.0200000000000051E-2</v>
      </c>
    </row>
    <row r="120" spans="1:35" x14ac:dyDescent="0.25">
      <c r="A120" s="24" t="s">
        <v>137</v>
      </c>
      <c r="B120" s="25" t="s">
        <v>128</v>
      </c>
      <c r="C120" s="25">
        <v>0.2</v>
      </c>
      <c r="D120" s="25">
        <v>0.59099999999999997</v>
      </c>
      <c r="E120" s="25">
        <v>0.60199999999999998</v>
      </c>
      <c r="F120" s="25">
        <v>0.60099999999999998</v>
      </c>
      <c r="G120" s="25">
        <v>0.54300000000000004</v>
      </c>
      <c r="H120" s="25">
        <v>0.64900000000000002</v>
      </c>
      <c r="I120" s="26">
        <f t="shared" si="21"/>
        <v>0.59720000000000006</v>
      </c>
      <c r="J120" s="25">
        <v>0.63</v>
      </c>
      <c r="K120" s="25">
        <v>0.64500000000000002</v>
      </c>
      <c r="L120" s="25">
        <v>0.71599999999999997</v>
      </c>
      <c r="M120" s="25">
        <v>0.67700000000000005</v>
      </c>
      <c r="N120" s="25">
        <v>0.65900000000000003</v>
      </c>
      <c r="O120" s="26">
        <f t="shared" si="22"/>
        <v>0.66539999999999999</v>
      </c>
      <c r="P120" s="25">
        <v>0.55400000000000005</v>
      </c>
      <c r="Q120" s="25">
        <v>0.58199999999999996</v>
      </c>
      <c r="R120" s="25">
        <v>0.53400000000000003</v>
      </c>
      <c r="S120" s="25">
        <v>0.60099999999999998</v>
      </c>
      <c r="T120" s="25">
        <v>0.62</v>
      </c>
      <c r="U120" s="26">
        <f t="shared" si="23"/>
        <v>0.57820000000000005</v>
      </c>
      <c r="V120" s="25">
        <v>0.56799999999999995</v>
      </c>
      <c r="W120" s="25">
        <v>0.60599999999999998</v>
      </c>
      <c r="X120" s="25">
        <v>0.51900000000000002</v>
      </c>
      <c r="Y120" s="25">
        <v>0.62</v>
      </c>
      <c r="Z120" s="25">
        <v>0.63900000000000001</v>
      </c>
      <c r="AA120" s="26">
        <f t="shared" si="24"/>
        <v>0.59040000000000004</v>
      </c>
      <c r="AB120" s="25">
        <v>0.56799999999999995</v>
      </c>
      <c r="AC120" s="25">
        <v>0.60599999999999998</v>
      </c>
      <c r="AD120" s="25">
        <v>0.51900000000000002</v>
      </c>
      <c r="AE120" s="25">
        <v>0.62</v>
      </c>
      <c r="AF120" s="25">
        <v>0.63900000000000001</v>
      </c>
      <c r="AG120" s="26">
        <f t="shared" si="25"/>
        <v>0.59040000000000004</v>
      </c>
      <c r="AH120" s="25">
        <f t="shared" si="26"/>
        <v>0</v>
      </c>
      <c r="AI120" s="25">
        <f t="shared" si="27"/>
        <v>-7.4999999999999956E-2</v>
      </c>
    </row>
    <row r="121" spans="1:35" x14ac:dyDescent="0.25">
      <c r="A121" s="24" t="s">
        <v>137</v>
      </c>
      <c r="B121" s="25" t="s">
        <v>128</v>
      </c>
      <c r="C121" s="25">
        <v>0.3</v>
      </c>
      <c r="D121" s="25">
        <v>0.56799999999999995</v>
      </c>
      <c r="E121" s="25">
        <v>0.57199999999999995</v>
      </c>
      <c r="F121" s="25">
        <v>0.5</v>
      </c>
      <c r="G121" s="25">
        <v>0.56299999999999994</v>
      </c>
      <c r="H121" s="25">
        <v>0.51</v>
      </c>
      <c r="I121" s="26">
        <f t="shared" si="21"/>
        <v>0.54259999999999997</v>
      </c>
      <c r="J121" s="25">
        <v>0.63900000000000001</v>
      </c>
      <c r="K121" s="25">
        <v>0.61599999999999999</v>
      </c>
      <c r="L121" s="25">
        <v>0.64900000000000002</v>
      </c>
      <c r="M121" s="25">
        <v>0.67800000000000005</v>
      </c>
      <c r="N121" s="25">
        <v>0.59099999999999997</v>
      </c>
      <c r="O121" s="26">
        <f t="shared" si="22"/>
        <v>0.63460000000000005</v>
      </c>
      <c r="P121" s="25">
        <v>0.53400000000000003</v>
      </c>
      <c r="Q121" s="25">
        <v>0.54800000000000004</v>
      </c>
      <c r="R121" s="25">
        <v>0.59099999999999997</v>
      </c>
      <c r="S121" s="25">
        <v>0.51900000000000002</v>
      </c>
      <c r="T121" s="25">
        <v>0.55200000000000005</v>
      </c>
      <c r="U121" s="26">
        <f t="shared" si="23"/>
        <v>0.54880000000000007</v>
      </c>
      <c r="V121" s="25">
        <v>0.56799999999999995</v>
      </c>
      <c r="W121" s="25">
        <v>0.60599999999999998</v>
      </c>
      <c r="X121" s="25">
        <v>0.58099999999999996</v>
      </c>
      <c r="Y121" s="25">
        <v>0.58199999999999996</v>
      </c>
      <c r="Z121" s="25">
        <v>0.58599999999999997</v>
      </c>
      <c r="AA121" s="26">
        <f t="shared" si="24"/>
        <v>0.5845999999999999</v>
      </c>
      <c r="AB121" s="25">
        <v>0.56799999999999995</v>
      </c>
      <c r="AC121" s="25">
        <v>0.60599999999999998</v>
      </c>
      <c r="AD121" s="25">
        <v>0.58099999999999996</v>
      </c>
      <c r="AE121" s="25">
        <v>0.58199999999999996</v>
      </c>
      <c r="AF121" s="25">
        <v>0.58599999999999997</v>
      </c>
      <c r="AG121" s="26">
        <f t="shared" si="25"/>
        <v>0.5845999999999999</v>
      </c>
      <c r="AH121" s="25">
        <f t="shared" si="26"/>
        <v>0</v>
      </c>
      <c r="AI121" s="25">
        <f t="shared" si="27"/>
        <v>-5.0000000000000155E-2</v>
      </c>
    </row>
    <row r="122" spans="1:35" x14ac:dyDescent="0.25">
      <c r="A122" s="24" t="s">
        <v>137</v>
      </c>
      <c r="B122" s="25" t="s">
        <v>128</v>
      </c>
      <c r="C122" s="25">
        <v>0.4</v>
      </c>
      <c r="D122" s="25">
        <v>0.499</v>
      </c>
      <c r="E122" s="25">
        <v>0.52400000000000002</v>
      </c>
      <c r="F122" s="25">
        <v>0.57699999999999996</v>
      </c>
      <c r="G122" s="25">
        <v>0.53900000000000003</v>
      </c>
      <c r="H122" s="25">
        <v>0.57299999999999995</v>
      </c>
      <c r="I122" s="26">
        <f t="shared" si="21"/>
        <v>0.54239999999999999</v>
      </c>
      <c r="J122" s="25">
        <v>0.61499999999999999</v>
      </c>
      <c r="K122" s="25">
        <v>0.52300000000000002</v>
      </c>
      <c r="L122" s="25">
        <v>0.59599999999999997</v>
      </c>
      <c r="M122" s="25">
        <v>0.59199999999999997</v>
      </c>
      <c r="N122" s="25">
        <v>0.60599999999999998</v>
      </c>
      <c r="O122" s="26">
        <f t="shared" si="22"/>
        <v>0.58640000000000003</v>
      </c>
      <c r="P122" s="25">
        <v>0.56200000000000006</v>
      </c>
      <c r="Q122" s="25">
        <v>0.54800000000000004</v>
      </c>
      <c r="R122" s="25">
        <v>0.54800000000000004</v>
      </c>
      <c r="S122" s="25">
        <v>0.52900000000000003</v>
      </c>
      <c r="T122" s="25">
        <v>0.51900000000000002</v>
      </c>
      <c r="U122" s="26">
        <f t="shared" si="23"/>
        <v>0.54120000000000013</v>
      </c>
      <c r="V122" s="25">
        <v>0.59099999999999997</v>
      </c>
      <c r="W122" s="25">
        <v>0.51400000000000001</v>
      </c>
      <c r="X122" s="25">
        <v>0.54400000000000004</v>
      </c>
      <c r="Y122" s="25">
        <v>0.56200000000000006</v>
      </c>
      <c r="Z122" s="25">
        <v>0.59599999999999997</v>
      </c>
      <c r="AA122" s="26">
        <f t="shared" si="24"/>
        <v>0.56140000000000012</v>
      </c>
      <c r="AB122" s="25">
        <v>0.59099999999999997</v>
      </c>
      <c r="AC122" s="25">
        <v>0.51400000000000001</v>
      </c>
      <c r="AD122" s="25">
        <v>0.54400000000000004</v>
      </c>
      <c r="AE122" s="25">
        <v>0.56200000000000006</v>
      </c>
      <c r="AF122" s="25">
        <v>0.59599999999999997</v>
      </c>
      <c r="AG122" s="26">
        <f t="shared" si="25"/>
        <v>0.56140000000000012</v>
      </c>
      <c r="AH122" s="25">
        <f t="shared" si="26"/>
        <v>0</v>
      </c>
      <c r="AI122" s="25">
        <f t="shared" si="27"/>
        <v>-2.4999999999999911E-2</v>
      </c>
    </row>
    <row r="123" spans="1:35" x14ac:dyDescent="0.25">
      <c r="A123" s="24" t="s">
        <v>137</v>
      </c>
      <c r="B123" s="25" t="s">
        <v>128</v>
      </c>
      <c r="C123" s="25">
        <v>0.5</v>
      </c>
      <c r="D123" s="25">
        <v>0.48499999999999999</v>
      </c>
      <c r="E123" s="25">
        <v>0.52900000000000003</v>
      </c>
      <c r="F123" s="25">
        <v>0.51900000000000002</v>
      </c>
      <c r="G123" s="25">
        <v>0.52900000000000003</v>
      </c>
      <c r="H123" s="25">
        <v>0.496</v>
      </c>
      <c r="I123" s="26">
        <f t="shared" si="21"/>
        <v>0.51159999999999994</v>
      </c>
      <c r="J123" s="25">
        <v>0.51900000000000002</v>
      </c>
      <c r="K123" s="25">
        <v>0.55800000000000005</v>
      </c>
      <c r="L123" s="25">
        <v>0.54300000000000004</v>
      </c>
      <c r="M123" s="25">
        <v>0.55800000000000005</v>
      </c>
      <c r="N123" s="25">
        <v>0.499</v>
      </c>
      <c r="O123" s="26">
        <f t="shared" si="22"/>
        <v>0.53539999999999999</v>
      </c>
      <c r="P123" s="25">
        <v>0.54800000000000004</v>
      </c>
      <c r="Q123" s="25">
        <v>0.53400000000000003</v>
      </c>
      <c r="R123" s="25">
        <v>0.46600000000000003</v>
      </c>
      <c r="S123" s="25">
        <v>0.54800000000000004</v>
      </c>
      <c r="T123" s="25">
        <v>0.59199999999999997</v>
      </c>
      <c r="U123" s="26">
        <f t="shared" si="23"/>
        <v>0.53760000000000008</v>
      </c>
      <c r="V123" s="25">
        <v>0.53300000000000003</v>
      </c>
      <c r="W123" s="25">
        <v>0.47099999999999997</v>
      </c>
      <c r="X123" s="25">
        <v>0.42799999999999999</v>
      </c>
      <c r="Y123" s="25">
        <v>0.50900000000000001</v>
      </c>
      <c r="Z123" s="25">
        <v>0.5</v>
      </c>
      <c r="AA123" s="26">
        <f t="shared" si="24"/>
        <v>0.48819999999999997</v>
      </c>
      <c r="AB123" s="25">
        <v>0.53300000000000003</v>
      </c>
      <c r="AC123" s="25">
        <v>0.47099999999999997</v>
      </c>
      <c r="AD123" s="25">
        <v>0.42799999999999999</v>
      </c>
      <c r="AE123" s="25">
        <v>0.50900000000000001</v>
      </c>
      <c r="AF123" s="25">
        <v>0.5</v>
      </c>
      <c r="AG123" s="26">
        <f t="shared" si="25"/>
        <v>0.48819999999999997</v>
      </c>
      <c r="AH123" s="25">
        <f t="shared" si="26"/>
        <v>0</v>
      </c>
      <c r="AI123" s="25">
        <f t="shared" si="27"/>
        <v>-4.720000000000002E-2</v>
      </c>
    </row>
    <row r="124" spans="1:35" x14ac:dyDescent="0.25">
      <c r="A124" s="24" t="s">
        <v>131</v>
      </c>
      <c r="B124" s="25" t="s">
        <v>124</v>
      </c>
      <c r="C124" s="25">
        <v>0</v>
      </c>
      <c r="D124" s="25">
        <v>0.97599999999999998</v>
      </c>
      <c r="E124" s="25">
        <v>0.97799999999999998</v>
      </c>
      <c r="F124" s="25">
        <v>0.97299999999999998</v>
      </c>
      <c r="G124" s="25">
        <v>0.97699999999999998</v>
      </c>
      <c r="H124" s="25">
        <v>0.97499999999999998</v>
      </c>
      <c r="I124" s="26">
        <f t="shared" si="21"/>
        <v>0.97579999999999989</v>
      </c>
      <c r="J124" s="25">
        <v>0.98</v>
      </c>
      <c r="K124" s="25">
        <v>0.98399999999999999</v>
      </c>
      <c r="L124" s="25">
        <v>0.98</v>
      </c>
      <c r="M124" s="25">
        <v>0.98499999999999999</v>
      </c>
      <c r="N124" s="25">
        <v>0.98299999999999998</v>
      </c>
      <c r="O124" s="26">
        <f t="shared" si="22"/>
        <v>0.98239999999999994</v>
      </c>
      <c r="P124" s="25">
        <v>0.93700000000000006</v>
      </c>
      <c r="Q124" s="25">
        <v>0.92400000000000004</v>
      </c>
      <c r="R124" s="25">
        <v>0.94399999999999995</v>
      </c>
      <c r="S124" s="25">
        <v>0.95099999999999996</v>
      </c>
      <c r="T124" s="25">
        <v>0.94399999999999995</v>
      </c>
      <c r="U124" s="26">
        <f t="shared" si="23"/>
        <v>0.94000000000000006</v>
      </c>
      <c r="V124" s="25">
        <v>0.94099999999999995</v>
      </c>
      <c r="W124" s="25">
        <v>0.94</v>
      </c>
      <c r="X124" s="25">
        <v>0.95099999999999996</v>
      </c>
      <c r="Y124" s="25">
        <v>0.95599999999999996</v>
      </c>
      <c r="Z124" s="25">
        <v>0.95499999999999996</v>
      </c>
      <c r="AA124" s="26">
        <f t="shared" si="24"/>
        <v>0.94859999999999989</v>
      </c>
      <c r="AB124" s="25">
        <v>0.94099999999999995</v>
      </c>
      <c r="AC124" s="25">
        <v>0.94</v>
      </c>
      <c r="AD124" s="25">
        <v>0.95099999999999996</v>
      </c>
      <c r="AE124" s="25">
        <v>0.95599999999999996</v>
      </c>
      <c r="AF124" s="25">
        <v>0.95499999999999996</v>
      </c>
      <c r="AG124" s="26">
        <f t="shared" si="25"/>
        <v>0.94859999999999989</v>
      </c>
      <c r="AH124" s="25">
        <f t="shared" si="26"/>
        <v>0</v>
      </c>
      <c r="AI124" s="25">
        <f t="shared" si="27"/>
        <v>-3.3800000000000052E-2</v>
      </c>
    </row>
    <row r="125" spans="1:35" x14ac:dyDescent="0.25">
      <c r="A125" s="24" t="s">
        <v>131</v>
      </c>
      <c r="B125" s="25" t="s">
        <v>125</v>
      </c>
      <c r="C125" s="25">
        <v>0.2</v>
      </c>
      <c r="D125" s="25">
        <v>0.96099999999999997</v>
      </c>
      <c r="E125" s="25">
        <v>0.98</v>
      </c>
      <c r="F125" s="25">
        <v>0.97699999999999998</v>
      </c>
      <c r="G125" s="25">
        <v>0.97499999999999998</v>
      </c>
      <c r="H125" s="25">
        <v>0.97299999999999998</v>
      </c>
      <c r="I125" s="26">
        <f t="shared" si="21"/>
        <v>0.97319999999999995</v>
      </c>
      <c r="J125" s="25">
        <v>0.96399999999999997</v>
      </c>
      <c r="K125" s="25">
        <v>0.98</v>
      </c>
      <c r="L125" s="25">
        <v>0.97799999999999998</v>
      </c>
      <c r="M125" s="25">
        <v>0.97399999999999998</v>
      </c>
      <c r="N125" s="25">
        <v>0.97499999999999998</v>
      </c>
      <c r="O125" s="26">
        <f t="shared" si="22"/>
        <v>0.97419999999999995</v>
      </c>
      <c r="P125" s="25">
        <v>0.92400000000000004</v>
      </c>
      <c r="Q125" s="25">
        <v>0.92100000000000004</v>
      </c>
      <c r="R125" s="25">
        <v>0.96399999999999997</v>
      </c>
      <c r="S125" s="25">
        <v>0.95299999999999996</v>
      </c>
      <c r="T125" s="25">
        <v>0.93899999999999995</v>
      </c>
      <c r="U125" s="26">
        <f t="shared" si="23"/>
        <v>0.94019999999999992</v>
      </c>
      <c r="V125" s="25">
        <v>0.93700000000000006</v>
      </c>
      <c r="W125" s="25">
        <v>0.94</v>
      </c>
      <c r="X125" s="25">
        <v>0.95499999999999996</v>
      </c>
      <c r="Y125" s="25">
        <v>0.95799999999999996</v>
      </c>
      <c r="Z125" s="25">
        <v>0.95799999999999996</v>
      </c>
      <c r="AA125" s="26">
        <f t="shared" si="24"/>
        <v>0.9496</v>
      </c>
      <c r="AB125" s="25">
        <v>0.93700000000000006</v>
      </c>
      <c r="AC125" s="25">
        <v>0.94</v>
      </c>
      <c r="AD125" s="25">
        <v>0.95499999999999996</v>
      </c>
      <c r="AE125" s="25">
        <v>0.95799999999999996</v>
      </c>
      <c r="AF125" s="25">
        <v>0.95799999999999996</v>
      </c>
      <c r="AG125" s="26">
        <f t="shared" si="25"/>
        <v>0.9496</v>
      </c>
      <c r="AH125" s="25">
        <f t="shared" si="26"/>
        <v>0</v>
      </c>
      <c r="AI125" s="25">
        <f t="shared" si="27"/>
        <v>-2.4599999999999955E-2</v>
      </c>
    </row>
    <row r="126" spans="1:35" x14ac:dyDescent="0.25">
      <c r="A126" s="24" t="s">
        <v>131</v>
      </c>
      <c r="B126" s="25" t="s">
        <v>125</v>
      </c>
      <c r="C126" s="25">
        <v>0.3</v>
      </c>
      <c r="D126" s="25">
        <v>0.96899999999999997</v>
      </c>
      <c r="E126" s="25">
        <v>0.97</v>
      </c>
      <c r="F126" s="25">
        <v>0.97099999999999997</v>
      </c>
      <c r="G126" s="25">
        <v>0.96899999999999997</v>
      </c>
      <c r="H126" s="25">
        <v>0.95599999999999996</v>
      </c>
      <c r="I126" s="26">
        <f t="shared" si="21"/>
        <v>0.96699999999999997</v>
      </c>
      <c r="J126" s="25">
        <v>0.97199999999999998</v>
      </c>
      <c r="K126" s="25">
        <v>0.97399999999999998</v>
      </c>
      <c r="L126" s="25">
        <v>0.97499999999999998</v>
      </c>
      <c r="M126" s="25">
        <v>0.96899999999999997</v>
      </c>
      <c r="N126" s="25">
        <v>0.96699999999999997</v>
      </c>
      <c r="O126" s="26">
        <f t="shared" si="22"/>
        <v>0.97139999999999982</v>
      </c>
      <c r="P126" s="25">
        <v>0.93899999999999995</v>
      </c>
      <c r="Q126" s="25">
        <v>0.92900000000000005</v>
      </c>
      <c r="R126" s="25">
        <v>0.92100000000000004</v>
      </c>
      <c r="S126" s="25">
        <v>0.91900000000000004</v>
      </c>
      <c r="T126" s="25">
        <v>0.94499999999999995</v>
      </c>
      <c r="U126" s="26">
        <f t="shared" si="23"/>
        <v>0.93059999999999987</v>
      </c>
      <c r="V126" s="25">
        <v>0.94499999999999995</v>
      </c>
      <c r="W126" s="25">
        <v>0.91300000000000003</v>
      </c>
      <c r="X126" s="25">
        <v>0.92100000000000004</v>
      </c>
      <c r="Y126" s="25">
        <v>0.96099999999999997</v>
      </c>
      <c r="Z126" s="25">
        <v>0.95599999999999996</v>
      </c>
      <c r="AA126" s="26">
        <f t="shared" si="24"/>
        <v>0.93919999999999992</v>
      </c>
      <c r="AB126" s="25">
        <v>0.94499999999999995</v>
      </c>
      <c r="AC126" s="25">
        <v>0.91300000000000003</v>
      </c>
      <c r="AD126" s="25">
        <v>0.92100000000000004</v>
      </c>
      <c r="AE126" s="25">
        <v>0.96099999999999997</v>
      </c>
      <c r="AF126" s="25">
        <v>0.95599999999999996</v>
      </c>
      <c r="AG126" s="26">
        <f t="shared" si="25"/>
        <v>0.93919999999999992</v>
      </c>
      <c r="AH126" s="25">
        <f t="shared" si="26"/>
        <v>0</v>
      </c>
      <c r="AI126" s="25">
        <f t="shared" si="27"/>
        <v>-3.2199999999999895E-2</v>
      </c>
    </row>
    <row r="127" spans="1:35" x14ac:dyDescent="0.25">
      <c r="A127" s="24" t="s">
        <v>131</v>
      </c>
      <c r="B127" s="25" t="s">
        <v>125</v>
      </c>
      <c r="C127" s="25">
        <v>0.4</v>
      </c>
      <c r="D127" s="25">
        <v>0.94</v>
      </c>
      <c r="E127" s="25">
        <v>0.89100000000000001</v>
      </c>
      <c r="F127" s="25">
        <v>0.94299999999999995</v>
      </c>
      <c r="G127" s="25">
        <v>0.94499999999999995</v>
      </c>
      <c r="H127" s="25">
        <v>0.94899999999999995</v>
      </c>
      <c r="I127" s="26">
        <f t="shared" si="21"/>
        <v>0.93359999999999999</v>
      </c>
      <c r="J127" s="25">
        <v>0.95</v>
      </c>
      <c r="K127" s="25">
        <v>0.92600000000000005</v>
      </c>
      <c r="L127" s="25">
        <v>0.95599999999999996</v>
      </c>
      <c r="M127" s="25">
        <v>0.95199999999999996</v>
      </c>
      <c r="N127" s="25">
        <v>0.96899999999999997</v>
      </c>
      <c r="O127" s="26">
        <f t="shared" si="22"/>
        <v>0.9506</v>
      </c>
      <c r="P127" s="25">
        <v>0.875</v>
      </c>
      <c r="Q127" s="25">
        <v>0.86699999999999999</v>
      </c>
      <c r="R127" s="25">
        <v>0.90100000000000002</v>
      </c>
      <c r="S127" s="25">
        <v>0.9</v>
      </c>
      <c r="T127" s="25">
        <v>0.92600000000000005</v>
      </c>
      <c r="U127" s="26">
        <f t="shared" si="23"/>
        <v>0.89379999999999993</v>
      </c>
      <c r="V127" s="25">
        <v>0.91300000000000003</v>
      </c>
      <c r="W127" s="25">
        <v>0.92100000000000004</v>
      </c>
      <c r="X127" s="25">
        <v>0.93700000000000006</v>
      </c>
      <c r="Y127" s="25">
        <v>0.94199999999999995</v>
      </c>
      <c r="Z127" s="25">
        <v>0.94799999999999995</v>
      </c>
      <c r="AA127" s="26">
        <f t="shared" si="24"/>
        <v>0.93219999999999992</v>
      </c>
      <c r="AB127" s="25">
        <v>0.91300000000000003</v>
      </c>
      <c r="AC127" s="25">
        <v>0.92100000000000004</v>
      </c>
      <c r="AD127" s="25">
        <v>0.93700000000000006</v>
      </c>
      <c r="AE127" s="25">
        <v>0.94199999999999995</v>
      </c>
      <c r="AF127" s="25">
        <v>0.94799999999999995</v>
      </c>
      <c r="AG127" s="26">
        <f t="shared" si="25"/>
        <v>0.93219999999999992</v>
      </c>
      <c r="AH127" s="25">
        <f t="shared" si="26"/>
        <v>0</v>
      </c>
      <c r="AI127" s="25">
        <f t="shared" si="27"/>
        <v>-1.8400000000000083E-2</v>
      </c>
    </row>
    <row r="128" spans="1:35" x14ac:dyDescent="0.25">
      <c r="A128" s="24" t="s">
        <v>131</v>
      </c>
      <c r="B128" s="25" t="s">
        <v>125</v>
      </c>
      <c r="C128" s="25">
        <v>0.5</v>
      </c>
      <c r="D128" s="25">
        <v>0.42299999999999999</v>
      </c>
      <c r="E128" s="25">
        <v>0.47399999999999998</v>
      </c>
      <c r="F128" s="25">
        <v>0.42</v>
      </c>
      <c r="G128" s="25">
        <v>0.5</v>
      </c>
      <c r="H128" s="25">
        <v>0.38700000000000001</v>
      </c>
      <c r="I128" s="26">
        <f t="shared" si="21"/>
        <v>0.44079999999999997</v>
      </c>
      <c r="J128" s="25">
        <v>0.42799999999999999</v>
      </c>
      <c r="K128" s="25">
        <v>0.44500000000000001</v>
      </c>
      <c r="L128" s="25">
        <v>0.46</v>
      </c>
      <c r="M128" s="25">
        <v>0.498</v>
      </c>
      <c r="N128" s="25">
        <v>0.38300000000000001</v>
      </c>
      <c r="O128" s="26">
        <f t="shared" si="22"/>
        <v>0.44279999999999997</v>
      </c>
      <c r="P128" s="25">
        <v>0.42099999999999999</v>
      </c>
      <c r="Q128" s="25">
        <v>0.57899999999999996</v>
      </c>
      <c r="R128" s="25">
        <v>0.48799999999999999</v>
      </c>
      <c r="S128" s="25">
        <v>0.48299999999999998</v>
      </c>
      <c r="T128" s="25">
        <v>0.41499999999999998</v>
      </c>
      <c r="U128" s="26">
        <f t="shared" si="23"/>
        <v>0.47720000000000001</v>
      </c>
      <c r="V128" s="25">
        <v>0.46100000000000002</v>
      </c>
      <c r="W128" s="25">
        <v>0.60299999999999998</v>
      </c>
      <c r="X128" s="25">
        <v>0.504</v>
      </c>
      <c r="Y128" s="25">
        <v>0.57899999999999996</v>
      </c>
      <c r="Z128" s="25">
        <v>0.46</v>
      </c>
      <c r="AA128" s="26">
        <f t="shared" si="24"/>
        <v>0.52140000000000009</v>
      </c>
      <c r="AB128" s="25">
        <v>0.46100000000000002</v>
      </c>
      <c r="AC128" s="25">
        <v>0.60299999999999998</v>
      </c>
      <c r="AD128" s="25">
        <v>0.504</v>
      </c>
      <c r="AE128" s="25">
        <v>0.57899999999999996</v>
      </c>
      <c r="AF128" s="25">
        <v>0.46</v>
      </c>
      <c r="AG128" s="26">
        <f t="shared" si="25"/>
        <v>0.52140000000000009</v>
      </c>
      <c r="AH128" s="25">
        <f t="shared" si="26"/>
        <v>0</v>
      </c>
      <c r="AI128" s="25">
        <f t="shared" si="27"/>
        <v>7.8600000000000114E-2</v>
      </c>
    </row>
    <row r="129" spans="1:35" x14ac:dyDescent="0.25">
      <c r="A129" s="24" t="s">
        <v>131</v>
      </c>
      <c r="B129" s="25" t="s">
        <v>126</v>
      </c>
      <c r="C129" s="25">
        <v>0.2</v>
      </c>
      <c r="D129" s="25">
        <v>0.94499999999999995</v>
      </c>
      <c r="E129" s="25">
        <v>0.94799999999999995</v>
      </c>
      <c r="F129" s="25">
        <v>0.91800000000000004</v>
      </c>
      <c r="G129" s="25">
        <v>0.94199999999999995</v>
      </c>
      <c r="H129" s="25">
        <v>0.95299999999999996</v>
      </c>
      <c r="I129" s="26">
        <f t="shared" si="21"/>
        <v>0.94120000000000004</v>
      </c>
      <c r="J129" s="25">
        <v>0.94399999999999995</v>
      </c>
      <c r="K129" s="25">
        <v>0.94599999999999995</v>
      </c>
      <c r="L129" s="25">
        <v>0.95299999999999996</v>
      </c>
      <c r="M129" s="25">
        <v>0.94199999999999995</v>
      </c>
      <c r="N129" s="25">
        <v>0.94599999999999995</v>
      </c>
      <c r="O129" s="26">
        <f t="shared" si="22"/>
        <v>0.94619999999999993</v>
      </c>
      <c r="P129" s="25">
        <v>0.91500000000000004</v>
      </c>
      <c r="Q129" s="25">
        <v>0.91800000000000004</v>
      </c>
      <c r="R129" s="25">
        <v>0.91300000000000003</v>
      </c>
      <c r="S129" s="25">
        <v>0.93200000000000005</v>
      </c>
      <c r="T129" s="25">
        <v>0.92300000000000004</v>
      </c>
      <c r="U129" s="26">
        <f t="shared" si="23"/>
        <v>0.92020000000000013</v>
      </c>
      <c r="V129" s="25">
        <v>0.92</v>
      </c>
      <c r="W129" s="25">
        <v>0.91200000000000003</v>
      </c>
      <c r="X129" s="25">
        <v>0.92</v>
      </c>
      <c r="Y129" s="25">
        <v>0.92600000000000005</v>
      </c>
      <c r="Z129" s="25">
        <v>0.93200000000000005</v>
      </c>
      <c r="AA129" s="26">
        <f t="shared" si="24"/>
        <v>0.92200000000000004</v>
      </c>
      <c r="AB129" s="25">
        <v>0.92</v>
      </c>
      <c r="AC129" s="25">
        <v>0.91200000000000003</v>
      </c>
      <c r="AD129" s="25">
        <v>0.92</v>
      </c>
      <c r="AE129" s="25">
        <v>0.92600000000000005</v>
      </c>
      <c r="AF129" s="25">
        <v>0.93200000000000005</v>
      </c>
      <c r="AG129" s="26">
        <f t="shared" si="25"/>
        <v>0.92200000000000004</v>
      </c>
      <c r="AH129" s="25">
        <f t="shared" si="26"/>
        <v>0</v>
      </c>
      <c r="AI129" s="25">
        <f t="shared" si="27"/>
        <v>-2.4199999999999888E-2</v>
      </c>
    </row>
    <row r="130" spans="1:35" x14ac:dyDescent="0.25">
      <c r="A130" s="24" t="s">
        <v>131</v>
      </c>
      <c r="B130" s="25" t="s">
        <v>126</v>
      </c>
      <c r="C130" s="25">
        <v>0.3</v>
      </c>
      <c r="D130" s="25">
        <v>0.94099999999999995</v>
      </c>
      <c r="E130" s="25">
        <v>0.94</v>
      </c>
      <c r="F130" s="25">
        <v>0.94299999999999995</v>
      </c>
      <c r="G130" s="25">
        <v>0.94499999999999995</v>
      </c>
      <c r="H130" s="25">
        <v>0.92900000000000005</v>
      </c>
      <c r="I130" s="26">
        <f t="shared" si="21"/>
        <v>0.93959999999999988</v>
      </c>
      <c r="J130" s="25">
        <v>0.92500000000000004</v>
      </c>
      <c r="K130" s="25">
        <v>0.93600000000000005</v>
      </c>
      <c r="L130" s="25">
        <v>0.92600000000000005</v>
      </c>
      <c r="M130" s="25">
        <v>0.91400000000000003</v>
      </c>
      <c r="N130" s="25">
        <v>0.91800000000000004</v>
      </c>
      <c r="O130" s="26">
        <f t="shared" si="22"/>
        <v>0.92380000000000018</v>
      </c>
      <c r="P130" s="25">
        <v>0.749</v>
      </c>
      <c r="Q130" s="25">
        <v>0.80900000000000005</v>
      </c>
      <c r="R130" s="25">
        <v>0.76300000000000001</v>
      </c>
      <c r="S130" s="25">
        <v>0.76200000000000001</v>
      </c>
      <c r="T130" s="25">
        <v>0.81299999999999994</v>
      </c>
      <c r="U130" s="26">
        <f t="shared" si="23"/>
        <v>0.7792</v>
      </c>
      <c r="V130" s="25">
        <v>0.751</v>
      </c>
      <c r="W130" s="25">
        <v>0.78900000000000003</v>
      </c>
      <c r="X130" s="25">
        <v>0.73499999999999999</v>
      </c>
      <c r="Y130" s="25">
        <v>0.74299999999999999</v>
      </c>
      <c r="Z130" s="25">
        <v>0.754</v>
      </c>
      <c r="AA130" s="26">
        <f t="shared" si="24"/>
        <v>0.75439999999999996</v>
      </c>
      <c r="AB130" s="25">
        <v>0.751</v>
      </c>
      <c r="AC130" s="25">
        <v>0.78900000000000003</v>
      </c>
      <c r="AD130" s="25">
        <v>0.73499999999999999</v>
      </c>
      <c r="AE130" s="25">
        <v>0.74299999999999999</v>
      </c>
      <c r="AF130" s="25">
        <v>0.754</v>
      </c>
      <c r="AG130" s="26">
        <f t="shared" si="25"/>
        <v>0.75439999999999996</v>
      </c>
      <c r="AH130" s="25">
        <f t="shared" si="26"/>
        <v>0</v>
      </c>
      <c r="AI130" s="25">
        <f t="shared" si="27"/>
        <v>-0.16940000000000022</v>
      </c>
    </row>
    <row r="131" spans="1:35" x14ac:dyDescent="0.25">
      <c r="A131" s="24" t="s">
        <v>131</v>
      </c>
      <c r="B131" s="25" t="s">
        <v>126</v>
      </c>
      <c r="C131" s="25">
        <v>0.4</v>
      </c>
      <c r="D131" s="25">
        <v>0.89600000000000002</v>
      </c>
      <c r="E131" s="25">
        <v>0.90800000000000003</v>
      </c>
      <c r="F131" s="25">
        <v>0.89400000000000002</v>
      </c>
      <c r="G131" s="25">
        <v>0.91100000000000003</v>
      </c>
      <c r="H131" s="25">
        <v>0.88100000000000001</v>
      </c>
      <c r="I131" s="26">
        <f t="shared" si="21"/>
        <v>0.89800000000000002</v>
      </c>
      <c r="J131" s="25">
        <v>0.85599999999999998</v>
      </c>
      <c r="K131" s="25">
        <v>0.86099999999999999</v>
      </c>
      <c r="L131" s="25">
        <v>0.85</v>
      </c>
      <c r="M131" s="25">
        <v>0.85199999999999998</v>
      </c>
      <c r="N131" s="25">
        <v>0.84199999999999997</v>
      </c>
      <c r="O131" s="26">
        <f t="shared" si="22"/>
        <v>0.85220000000000007</v>
      </c>
      <c r="P131" s="25">
        <v>0.67500000000000004</v>
      </c>
      <c r="Q131" s="25">
        <v>0.64900000000000002</v>
      </c>
      <c r="R131" s="25">
        <v>0.752</v>
      </c>
      <c r="S131" s="25">
        <v>0.72899999999999998</v>
      </c>
      <c r="T131" s="25">
        <v>0.70899999999999996</v>
      </c>
      <c r="U131" s="26">
        <f t="shared" si="23"/>
        <v>0.70280000000000009</v>
      </c>
      <c r="V131" s="25">
        <v>0.625</v>
      </c>
      <c r="W131" s="25">
        <v>0.60599999999999998</v>
      </c>
      <c r="X131" s="25">
        <v>0.67700000000000005</v>
      </c>
      <c r="Y131" s="25">
        <v>0.65</v>
      </c>
      <c r="Z131" s="25">
        <v>0.63800000000000001</v>
      </c>
      <c r="AA131" s="26">
        <f t="shared" si="24"/>
        <v>0.63919999999999999</v>
      </c>
      <c r="AB131" s="25">
        <v>0.625</v>
      </c>
      <c r="AC131" s="25">
        <v>0.60599999999999998</v>
      </c>
      <c r="AD131" s="25">
        <v>0.67700000000000005</v>
      </c>
      <c r="AE131" s="25">
        <v>0.65</v>
      </c>
      <c r="AF131" s="25">
        <v>0.63800000000000001</v>
      </c>
      <c r="AG131" s="26">
        <f t="shared" si="25"/>
        <v>0.63919999999999999</v>
      </c>
      <c r="AH131" s="25">
        <f t="shared" si="26"/>
        <v>0</v>
      </c>
      <c r="AI131" s="25">
        <f t="shared" si="27"/>
        <v>-0.21300000000000008</v>
      </c>
    </row>
    <row r="132" spans="1:35" x14ac:dyDescent="0.25">
      <c r="A132" s="24" t="s">
        <v>131</v>
      </c>
      <c r="B132" s="25" t="s">
        <v>126</v>
      </c>
      <c r="C132" s="25">
        <v>0.5</v>
      </c>
      <c r="D132" s="25">
        <v>0.71399999999999997</v>
      </c>
      <c r="E132" s="25">
        <v>0.68899999999999995</v>
      </c>
      <c r="F132" s="25">
        <v>0.72699999999999998</v>
      </c>
      <c r="G132" s="25">
        <v>0.68400000000000005</v>
      </c>
      <c r="H132" s="25">
        <v>0.72399999999999998</v>
      </c>
      <c r="I132" s="26">
        <f t="shared" si="21"/>
        <v>0.70760000000000001</v>
      </c>
      <c r="J132" s="25">
        <v>0.69199999999999995</v>
      </c>
      <c r="K132" s="25">
        <v>0.66600000000000004</v>
      </c>
      <c r="L132" s="25">
        <v>0.71399999999999997</v>
      </c>
      <c r="M132" s="25">
        <v>0.68700000000000006</v>
      </c>
      <c r="N132" s="25">
        <v>0.70099999999999996</v>
      </c>
      <c r="O132" s="26">
        <f t="shared" si="22"/>
        <v>0.69200000000000006</v>
      </c>
      <c r="P132" s="25"/>
      <c r="Q132" s="25"/>
      <c r="R132" s="25"/>
      <c r="S132" s="25"/>
      <c r="T132" s="25"/>
      <c r="U132" s="26" t="str">
        <f t="shared" si="23"/>
        <v/>
      </c>
      <c r="V132" s="25"/>
      <c r="W132" s="25"/>
      <c r="X132" s="25"/>
      <c r="Y132" s="25"/>
      <c r="Z132" s="25"/>
      <c r="AA132" s="26" t="str">
        <f t="shared" si="24"/>
        <v/>
      </c>
      <c r="AB132" s="25">
        <v>0.82699999999999996</v>
      </c>
      <c r="AC132" s="25">
        <v>0.83399999999999996</v>
      </c>
      <c r="AD132" s="25">
        <v>0.83099999999999996</v>
      </c>
      <c r="AE132" s="25">
        <v>0.83499999999999996</v>
      </c>
      <c r="AF132" s="25">
        <v>0.83799999999999997</v>
      </c>
      <c r="AG132" s="26">
        <f t="shared" si="25"/>
        <v>0.83299999999999996</v>
      </c>
      <c r="AH132" s="25" t="str">
        <f t="shared" si="26"/>
        <v/>
      </c>
      <c r="AI132" s="25">
        <f t="shared" si="27"/>
        <v>0.1409999999999999</v>
      </c>
    </row>
    <row r="133" spans="1:35" x14ac:dyDescent="0.25">
      <c r="A133" s="24" t="s">
        <v>131</v>
      </c>
      <c r="B133" s="25" t="s">
        <v>127</v>
      </c>
      <c r="C133" s="25">
        <v>0.2</v>
      </c>
      <c r="D133" s="25">
        <v>0.92</v>
      </c>
      <c r="E133" s="25">
        <v>0.95199999999999996</v>
      </c>
      <c r="F133" s="25">
        <v>0.94499999999999995</v>
      </c>
      <c r="G133" s="25">
        <v>0.93300000000000005</v>
      </c>
      <c r="H133" s="25">
        <v>0.94199999999999995</v>
      </c>
      <c r="I133" s="26">
        <f t="shared" ref="I133:I164" si="28">IFERROR(AVERAGE(D133:H133),"")</f>
        <v>0.93840000000000001</v>
      </c>
      <c r="J133" s="25">
        <v>0.93500000000000005</v>
      </c>
      <c r="K133" s="25">
        <v>0.95399999999999996</v>
      </c>
      <c r="L133" s="25">
        <v>0.94499999999999995</v>
      </c>
      <c r="M133" s="25">
        <v>0.93500000000000005</v>
      </c>
      <c r="N133" s="25">
        <v>0.93100000000000005</v>
      </c>
      <c r="O133" s="26">
        <f t="shared" ref="O133:O164" si="29">IFERROR(AVERAGE(J133:N133),"")</f>
        <v>0.94000000000000006</v>
      </c>
      <c r="P133" s="25">
        <v>0.74</v>
      </c>
      <c r="Q133" s="25">
        <v>0.85699999999999998</v>
      </c>
      <c r="R133" s="25">
        <v>0.84199999999999997</v>
      </c>
      <c r="S133" s="25">
        <v>0.85399999999999998</v>
      </c>
      <c r="T133" s="25">
        <v>0.76500000000000001</v>
      </c>
      <c r="U133" s="26">
        <f t="shared" ref="U133:U164" si="30">IFERROR(AVERAGE(P133:T133),"")</f>
        <v>0.81159999999999999</v>
      </c>
      <c r="V133" s="25">
        <v>0.747</v>
      </c>
      <c r="W133" s="25">
        <v>0.81100000000000005</v>
      </c>
      <c r="X133" s="25">
        <v>0.76200000000000001</v>
      </c>
      <c r="Y133" s="25">
        <v>0.79900000000000004</v>
      </c>
      <c r="Z133" s="25">
        <v>0.73299999999999998</v>
      </c>
      <c r="AA133" s="26">
        <f t="shared" ref="AA133:AA164" si="31">IFERROR(AVERAGE(V133:Z133),"")</f>
        <v>0.77040000000000008</v>
      </c>
      <c r="AB133" s="25">
        <v>0.747</v>
      </c>
      <c r="AC133" s="25">
        <v>0.81100000000000005</v>
      </c>
      <c r="AD133" s="25">
        <v>0.76200000000000001</v>
      </c>
      <c r="AE133" s="25">
        <v>0.79900000000000004</v>
      </c>
      <c r="AF133" s="25">
        <v>0.73299999999999998</v>
      </c>
      <c r="AG133" s="26">
        <f t="shared" ref="AG133:AG164" si="32">IFERROR(AVERAGE(AB133:AF133),"")</f>
        <v>0.77040000000000008</v>
      </c>
      <c r="AH133" s="25">
        <f t="shared" ref="AH133:AH164" si="33">IFERROR(AG133-AA133,"")</f>
        <v>0</v>
      </c>
      <c r="AI133" s="25">
        <f t="shared" ref="AI133:AI164" si="34">IFERROR(AG133-O133,"")</f>
        <v>-0.16959999999999997</v>
      </c>
    </row>
    <row r="134" spans="1:35" x14ac:dyDescent="0.25">
      <c r="A134" s="24" t="s">
        <v>131</v>
      </c>
      <c r="B134" s="25" t="s">
        <v>127</v>
      </c>
      <c r="C134" s="25">
        <v>0.3</v>
      </c>
      <c r="D134" s="25">
        <v>0.88</v>
      </c>
      <c r="E134" s="25">
        <v>0.873</v>
      </c>
      <c r="F134" s="25">
        <v>0.84699999999999998</v>
      </c>
      <c r="G134" s="25">
        <v>0.86399999999999999</v>
      </c>
      <c r="H134" s="25">
        <v>0.86199999999999999</v>
      </c>
      <c r="I134" s="26">
        <f t="shared" si="28"/>
        <v>0.86519999999999997</v>
      </c>
      <c r="J134" s="25">
        <v>0.88300000000000001</v>
      </c>
      <c r="K134" s="25">
        <v>0.873</v>
      </c>
      <c r="L134" s="25">
        <v>0.85</v>
      </c>
      <c r="M134" s="25">
        <v>0.87</v>
      </c>
      <c r="N134" s="25">
        <v>0.87</v>
      </c>
      <c r="O134" s="26">
        <f t="shared" si="29"/>
        <v>0.86919999999999997</v>
      </c>
      <c r="P134" s="25">
        <v>0.80900000000000005</v>
      </c>
      <c r="Q134" s="25">
        <v>0.84199999999999997</v>
      </c>
      <c r="R134" s="25">
        <v>0.78700000000000003</v>
      </c>
      <c r="S134" s="25">
        <v>0.78900000000000003</v>
      </c>
      <c r="T134" s="25">
        <v>0.74</v>
      </c>
      <c r="U134" s="26">
        <f t="shared" si="30"/>
        <v>0.79340000000000011</v>
      </c>
      <c r="V134" s="25">
        <v>0.72399999999999998</v>
      </c>
      <c r="W134" s="25">
        <v>0.73299999999999998</v>
      </c>
      <c r="X134" s="25">
        <v>0.71699999999999997</v>
      </c>
      <c r="Y134" s="25">
        <v>0.73199999999999998</v>
      </c>
      <c r="Z134" s="25">
        <v>0.70799999999999996</v>
      </c>
      <c r="AA134" s="26">
        <f t="shared" si="31"/>
        <v>0.7228</v>
      </c>
      <c r="AB134" s="25">
        <v>0.72399999999999998</v>
      </c>
      <c r="AC134" s="25">
        <v>0.73799999999999999</v>
      </c>
      <c r="AD134" s="25">
        <v>0.71699999999999997</v>
      </c>
      <c r="AE134" s="25">
        <v>0.73199999999999998</v>
      </c>
      <c r="AF134" s="25">
        <v>0.70799999999999996</v>
      </c>
      <c r="AG134" s="26">
        <f t="shared" si="32"/>
        <v>0.7238</v>
      </c>
      <c r="AH134" s="25">
        <f t="shared" si="33"/>
        <v>1.0000000000000009E-3</v>
      </c>
      <c r="AI134" s="25">
        <f t="shared" si="34"/>
        <v>-0.14539999999999997</v>
      </c>
    </row>
    <row r="135" spans="1:35" x14ac:dyDescent="0.25">
      <c r="A135" s="24" t="s">
        <v>131</v>
      </c>
      <c r="B135" s="25" t="s">
        <v>127</v>
      </c>
      <c r="C135" s="25">
        <v>0.4</v>
      </c>
      <c r="D135" s="25">
        <v>0.88300000000000001</v>
      </c>
      <c r="E135" s="25">
        <v>0.86699999999999999</v>
      </c>
      <c r="F135" s="25">
        <v>0.84599999999999997</v>
      </c>
      <c r="G135" s="25">
        <v>0.85699999999999998</v>
      </c>
      <c r="H135" s="25">
        <v>0.83199999999999996</v>
      </c>
      <c r="I135" s="26">
        <f t="shared" si="28"/>
        <v>0.85699999999999998</v>
      </c>
      <c r="J135" s="25">
        <v>0.88100000000000001</v>
      </c>
      <c r="K135" s="25">
        <v>0.875</v>
      </c>
      <c r="L135" s="25">
        <v>0.87</v>
      </c>
      <c r="M135" s="25">
        <v>0.872</v>
      </c>
      <c r="N135" s="25">
        <v>0.85199999999999998</v>
      </c>
      <c r="O135" s="26">
        <f t="shared" si="29"/>
        <v>0.86999999999999988</v>
      </c>
      <c r="P135" s="25">
        <v>0.56699999999999995</v>
      </c>
      <c r="Q135" s="25">
        <v>0.72299999999999998</v>
      </c>
      <c r="R135" s="25">
        <v>0.82799999999999996</v>
      </c>
      <c r="S135" s="25">
        <v>0.72799999999999998</v>
      </c>
      <c r="T135" s="25">
        <v>0.76800000000000002</v>
      </c>
      <c r="U135" s="26">
        <f t="shared" si="30"/>
        <v>0.7228</v>
      </c>
      <c r="V135" s="25">
        <v>0.76900000000000002</v>
      </c>
      <c r="W135" s="25">
        <v>0.78100000000000003</v>
      </c>
      <c r="X135" s="25">
        <v>0.82</v>
      </c>
      <c r="Y135" s="25">
        <v>0.81899999999999995</v>
      </c>
      <c r="Z135" s="25">
        <v>0.75900000000000001</v>
      </c>
      <c r="AA135" s="26">
        <f t="shared" si="31"/>
        <v>0.78959999999999997</v>
      </c>
      <c r="AB135" s="25">
        <v>0.76900000000000002</v>
      </c>
      <c r="AC135" s="25">
        <v>0.78100000000000003</v>
      </c>
      <c r="AD135" s="25">
        <v>0.82</v>
      </c>
      <c r="AE135" s="25">
        <v>0.81899999999999995</v>
      </c>
      <c r="AF135" s="25">
        <v>0.75900000000000001</v>
      </c>
      <c r="AG135" s="26">
        <f t="shared" si="32"/>
        <v>0.78959999999999997</v>
      </c>
      <c r="AH135" s="25">
        <f t="shared" si="33"/>
        <v>0</v>
      </c>
      <c r="AI135" s="25">
        <f t="shared" si="34"/>
        <v>-8.0399999999999916E-2</v>
      </c>
    </row>
    <row r="136" spans="1:35" x14ac:dyDescent="0.25">
      <c r="A136" s="24" t="s">
        <v>131</v>
      </c>
      <c r="B136" s="25" t="s">
        <v>127</v>
      </c>
      <c r="C136" s="25">
        <v>0.5</v>
      </c>
      <c r="D136" s="25">
        <v>0.58299999999999996</v>
      </c>
      <c r="E136" s="25">
        <v>0.41</v>
      </c>
      <c r="F136" s="25">
        <v>0.46400000000000002</v>
      </c>
      <c r="G136" s="25">
        <v>0.41299999999999998</v>
      </c>
      <c r="H136" s="25">
        <v>0.59499999999999997</v>
      </c>
      <c r="I136" s="26">
        <f t="shared" si="28"/>
        <v>0.49299999999999999</v>
      </c>
      <c r="J136" s="25">
        <v>0.59799999999999998</v>
      </c>
      <c r="K136" s="25">
        <v>0.442</v>
      </c>
      <c r="L136" s="25">
        <v>0.434</v>
      </c>
      <c r="M136" s="25">
        <v>0.36699999999999999</v>
      </c>
      <c r="N136" s="25">
        <v>0.57999999999999996</v>
      </c>
      <c r="O136" s="26">
        <f t="shared" si="29"/>
        <v>0.48419999999999996</v>
      </c>
      <c r="P136" s="25">
        <v>0.45800000000000002</v>
      </c>
      <c r="Q136" s="25">
        <v>0.34799999999999998</v>
      </c>
      <c r="R136" s="25">
        <v>0.40100000000000002</v>
      </c>
      <c r="S136" s="25">
        <v>0.46100000000000002</v>
      </c>
      <c r="T136" s="25">
        <v>0.56699999999999995</v>
      </c>
      <c r="U136" s="26">
        <f t="shared" si="30"/>
        <v>0.44700000000000006</v>
      </c>
      <c r="V136" s="25">
        <v>0.505</v>
      </c>
      <c r="W136" s="25">
        <v>0.434</v>
      </c>
      <c r="X136" s="25">
        <v>0.39600000000000002</v>
      </c>
      <c r="Y136" s="25">
        <v>0.44800000000000001</v>
      </c>
      <c r="Z136" s="25">
        <v>0.61399999999999999</v>
      </c>
      <c r="AA136" s="26">
        <f t="shared" si="31"/>
        <v>0.47939999999999994</v>
      </c>
      <c r="AB136" s="25">
        <v>0.505</v>
      </c>
      <c r="AC136" s="25">
        <v>0.434</v>
      </c>
      <c r="AD136" s="25">
        <v>0.39600000000000002</v>
      </c>
      <c r="AE136" s="25">
        <v>0.44800000000000001</v>
      </c>
      <c r="AF136" s="25">
        <v>0.61399999999999999</v>
      </c>
      <c r="AG136" s="26">
        <f t="shared" si="32"/>
        <v>0.47939999999999994</v>
      </c>
      <c r="AH136" s="25">
        <f t="shared" si="33"/>
        <v>0</v>
      </c>
      <c r="AI136" s="25">
        <f t="shared" si="34"/>
        <v>-4.8000000000000265E-3</v>
      </c>
    </row>
    <row r="137" spans="1:35" x14ac:dyDescent="0.25">
      <c r="A137" s="24" t="s">
        <v>131</v>
      </c>
      <c r="B137" s="25" t="s">
        <v>128</v>
      </c>
      <c r="C137" s="25">
        <v>0.2</v>
      </c>
      <c r="D137" s="25">
        <v>0.85099999999999998</v>
      </c>
      <c r="E137" s="25">
        <v>0.89800000000000002</v>
      </c>
      <c r="F137" s="25">
        <v>0.93100000000000005</v>
      </c>
      <c r="G137" s="25">
        <v>0.84799999999999998</v>
      </c>
      <c r="H137" s="25">
        <v>0.89</v>
      </c>
      <c r="I137" s="26">
        <f t="shared" si="28"/>
        <v>0.88360000000000005</v>
      </c>
      <c r="J137" s="25">
        <v>0.91800000000000004</v>
      </c>
      <c r="K137" s="25">
        <v>0.94299999999999995</v>
      </c>
      <c r="L137" s="25">
        <v>0.95299999999999996</v>
      </c>
      <c r="M137" s="25">
        <v>0.92800000000000005</v>
      </c>
      <c r="N137" s="25">
        <v>0.96099999999999997</v>
      </c>
      <c r="O137" s="26">
        <f t="shared" si="29"/>
        <v>0.9406000000000001</v>
      </c>
      <c r="P137" s="25">
        <v>0.81899999999999995</v>
      </c>
      <c r="Q137" s="25">
        <v>0.70099999999999996</v>
      </c>
      <c r="R137" s="25">
        <v>0.77300000000000002</v>
      </c>
      <c r="S137" s="25">
        <v>0.72699999999999998</v>
      </c>
      <c r="T137" s="25">
        <v>0.748</v>
      </c>
      <c r="U137" s="26">
        <f t="shared" si="30"/>
        <v>0.75359999999999994</v>
      </c>
      <c r="V137" s="25">
        <v>0.9</v>
      </c>
      <c r="W137" s="25">
        <v>0.872</v>
      </c>
      <c r="X137" s="25">
        <v>0.91</v>
      </c>
      <c r="Y137" s="25">
        <v>0.92900000000000005</v>
      </c>
      <c r="Z137" s="25">
        <v>0.747</v>
      </c>
      <c r="AA137" s="26">
        <f t="shared" si="31"/>
        <v>0.87159999999999993</v>
      </c>
      <c r="AB137" s="25">
        <v>0.9</v>
      </c>
      <c r="AC137" s="25">
        <v>0.872</v>
      </c>
      <c r="AD137" s="25">
        <v>0.91</v>
      </c>
      <c r="AE137" s="25">
        <v>0.92900000000000005</v>
      </c>
      <c r="AF137" s="25">
        <v>0.747</v>
      </c>
      <c r="AG137" s="26">
        <f t="shared" si="32"/>
        <v>0.87159999999999993</v>
      </c>
      <c r="AH137" s="25">
        <f t="shared" si="33"/>
        <v>0</v>
      </c>
      <c r="AI137" s="25">
        <f t="shared" si="34"/>
        <v>-6.9000000000000172E-2</v>
      </c>
    </row>
    <row r="138" spans="1:35" x14ac:dyDescent="0.25">
      <c r="A138" s="24" t="s">
        <v>131</v>
      </c>
      <c r="B138" s="25" t="s">
        <v>128</v>
      </c>
      <c r="C138" s="25">
        <v>0.3</v>
      </c>
      <c r="D138" s="25">
        <v>0.90200000000000002</v>
      </c>
      <c r="E138" s="25">
        <v>0.85599999999999998</v>
      </c>
      <c r="F138" s="25">
        <v>0.85</v>
      </c>
      <c r="G138" s="25">
        <v>0.92500000000000004</v>
      </c>
      <c r="H138" s="25">
        <v>0.95199999999999996</v>
      </c>
      <c r="I138" s="26">
        <f t="shared" si="28"/>
        <v>0.89700000000000002</v>
      </c>
      <c r="J138" s="25">
        <v>0.93700000000000006</v>
      </c>
      <c r="K138" s="25">
        <v>0.92200000000000004</v>
      </c>
      <c r="L138" s="25">
        <v>0.93700000000000006</v>
      </c>
      <c r="M138" s="25">
        <v>0.96799999999999997</v>
      </c>
      <c r="N138" s="25">
        <v>0.96899999999999997</v>
      </c>
      <c r="O138" s="26">
        <f t="shared" si="29"/>
        <v>0.94660000000000011</v>
      </c>
      <c r="P138" s="25">
        <v>0.63800000000000001</v>
      </c>
      <c r="Q138" s="25">
        <v>0.74399999999999999</v>
      </c>
      <c r="R138" s="25">
        <v>0.625</v>
      </c>
      <c r="S138" s="25">
        <v>0.81100000000000005</v>
      </c>
      <c r="T138" s="25">
        <v>0.68500000000000005</v>
      </c>
      <c r="U138" s="26">
        <f t="shared" si="30"/>
        <v>0.7006</v>
      </c>
      <c r="V138" s="25">
        <v>0.89600000000000002</v>
      </c>
      <c r="W138" s="25">
        <v>0.78400000000000003</v>
      </c>
      <c r="X138" s="25">
        <v>0.85699999999999998</v>
      </c>
      <c r="Y138" s="25">
        <v>0.78700000000000003</v>
      </c>
      <c r="Z138" s="25">
        <v>0.87</v>
      </c>
      <c r="AA138" s="26">
        <f t="shared" si="31"/>
        <v>0.83879999999999999</v>
      </c>
      <c r="AB138" s="25">
        <v>0.89600000000000002</v>
      </c>
      <c r="AC138" s="25">
        <v>0.78400000000000003</v>
      </c>
      <c r="AD138" s="25">
        <v>0.85699999999999998</v>
      </c>
      <c r="AE138" s="25">
        <v>0.78700000000000003</v>
      </c>
      <c r="AF138" s="25">
        <v>0.87</v>
      </c>
      <c r="AG138" s="26">
        <f t="shared" si="32"/>
        <v>0.83879999999999999</v>
      </c>
      <c r="AH138" s="25">
        <f t="shared" si="33"/>
        <v>0</v>
      </c>
      <c r="AI138" s="25">
        <f t="shared" si="34"/>
        <v>-0.10780000000000012</v>
      </c>
    </row>
    <row r="139" spans="1:35" x14ac:dyDescent="0.25">
      <c r="A139" s="24" t="s">
        <v>131</v>
      </c>
      <c r="B139" s="25" t="s">
        <v>128</v>
      </c>
      <c r="C139" s="25">
        <v>0.4</v>
      </c>
      <c r="D139" s="25">
        <v>0.79700000000000004</v>
      </c>
      <c r="E139" s="25">
        <v>0.73799999999999999</v>
      </c>
      <c r="F139" s="25">
        <v>0.81799999999999995</v>
      </c>
      <c r="G139" s="25">
        <v>0.88300000000000001</v>
      </c>
      <c r="H139" s="25">
        <v>0.82299999999999995</v>
      </c>
      <c r="I139" s="26">
        <f t="shared" si="28"/>
        <v>0.81180000000000008</v>
      </c>
      <c r="J139" s="25">
        <v>0.876</v>
      </c>
      <c r="K139" s="25">
        <v>0.81100000000000005</v>
      </c>
      <c r="L139" s="25">
        <v>0.85399999999999998</v>
      </c>
      <c r="M139" s="25">
        <v>0.94599999999999995</v>
      </c>
      <c r="N139" s="25">
        <v>0.90500000000000003</v>
      </c>
      <c r="O139" s="26">
        <f t="shared" si="29"/>
        <v>0.87840000000000007</v>
      </c>
      <c r="P139" s="25">
        <v>0.71</v>
      </c>
      <c r="Q139" s="25">
        <v>0.505</v>
      </c>
      <c r="R139" s="25">
        <v>0.61299999999999999</v>
      </c>
      <c r="S139" s="25">
        <v>0.76100000000000001</v>
      </c>
      <c r="T139" s="25">
        <v>0.623</v>
      </c>
      <c r="U139" s="26">
        <f t="shared" si="30"/>
        <v>0.64239999999999997</v>
      </c>
      <c r="V139" s="25">
        <v>0.749</v>
      </c>
      <c r="W139" s="25">
        <v>0.54800000000000004</v>
      </c>
      <c r="X139" s="25">
        <v>0.68799999999999994</v>
      </c>
      <c r="Y139" s="25">
        <v>0.86599999999999999</v>
      </c>
      <c r="Z139" s="25">
        <v>0.71899999999999997</v>
      </c>
      <c r="AA139" s="26">
        <f t="shared" si="31"/>
        <v>0.71399999999999997</v>
      </c>
      <c r="AB139" s="25">
        <v>0.749</v>
      </c>
      <c r="AC139" s="25">
        <v>0.54800000000000004</v>
      </c>
      <c r="AD139" s="25">
        <v>0.68799999999999994</v>
      </c>
      <c r="AE139" s="25">
        <v>0.86599999999999999</v>
      </c>
      <c r="AF139" s="25">
        <v>0.71899999999999997</v>
      </c>
      <c r="AG139" s="26">
        <f t="shared" si="32"/>
        <v>0.71399999999999997</v>
      </c>
      <c r="AH139" s="25">
        <f t="shared" si="33"/>
        <v>0</v>
      </c>
      <c r="AI139" s="25">
        <f t="shared" si="34"/>
        <v>-0.1644000000000001</v>
      </c>
    </row>
    <row r="140" spans="1:35" x14ac:dyDescent="0.25">
      <c r="A140" s="24" t="s">
        <v>131</v>
      </c>
      <c r="B140" s="25" t="s">
        <v>128</v>
      </c>
      <c r="C140" s="25">
        <v>0.5</v>
      </c>
      <c r="D140" s="25">
        <v>0.438</v>
      </c>
      <c r="E140" s="25">
        <v>0.42</v>
      </c>
      <c r="F140" s="25">
        <v>0.52200000000000002</v>
      </c>
      <c r="G140" s="25">
        <v>0.52600000000000002</v>
      </c>
      <c r="H140" s="25">
        <v>0.42099999999999999</v>
      </c>
      <c r="I140" s="26">
        <f t="shared" si="28"/>
        <v>0.46539999999999998</v>
      </c>
      <c r="J140" s="25">
        <v>0.44500000000000001</v>
      </c>
      <c r="K140" s="25">
        <v>0.434</v>
      </c>
      <c r="L140" s="25">
        <v>0.49299999999999999</v>
      </c>
      <c r="M140" s="25">
        <v>0.53400000000000003</v>
      </c>
      <c r="N140" s="25">
        <v>0.42899999999999999</v>
      </c>
      <c r="O140" s="26">
        <f t="shared" si="29"/>
        <v>0.46699999999999997</v>
      </c>
      <c r="P140" s="25">
        <v>0.375</v>
      </c>
      <c r="Q140" s="25">
        <v>0.36299999999999999</v>
      </c>
      <c r="R140" s="25">
        <v>0.57499999999999996</v>
      </c>
      <c r="S140" s="25">
        <v>0.53700000000000003</v>
      </c>
      <c r="T140" s="25">
        <v>0.43</v>
      </c>
      <c r="U140" s="26">
        <f t="shared" si="30"/>
        <v>0.45600000000000007</v>
      </c>
      <c r="V140" s="25">
        <v>0.44</v>
      </c>
      <c r="W140" s="25">
        <v>0.42099999999999999</v>
      </c>
      <c r="X140" s="25">
        <v>0.50700000000000001</v>
      </c>
      <c r="Y140" s="25">
        <v>0.48699999999999999</v>
      </c>
      <c r="Z140" s="25">
        <v>0.47499999999999998</v>
      </c>
      <c r="AA140" s="26">
        <f t="shared" si="31"/>
        <v>0.46600000000000003</v>
      </c>
      <c r="AB140" s="25">
        <v>0.44</v>
      </c>
      <c r="AC140" s="25">
        <v>0.42099999999999999</v>
      </c>
      <c r="AD140" s="25">
        <v>0.50700000000000001</v>
      </c>
      <c r="AE140" s="25">
        <v>0.48699999999999999</v>
      </c>
      <c r="AF140" s="25">
        <v>0.47499999999999998</v>
      </c>
      <c r="AG140" s="26">
        <f t="shared" si="32"/>
        <v>0.46600000000000003</v>
      </c>
      <c r="AH140" s="25">
        <f t="shared" si="33"/>
        <v>0</v>
      </c>
      <c r="AI140" s="25">
        <f t="shared" si="34"/>
        <v>-9.9999999999994538E-4</v>
      </c>
    </row>
    <row r="141" spans="1:35" x14ac:dyDescent="0.25">
      <c r="A141" s="24" t="s">
        <v>129</v>
      </c>
      <c r="B141" s="25" t="s">
        <v>124</v>
      </c>
      <c r="C141" s="25">
        <v>0</v>
      </c>
      <c r="D141" s="25">
        <v>0.83199999999999996</v>
      </c>
      <c r="E141" s="25">
        <v>0.81</v>
      </c>
      <c r="F141" s="25">
        <v>0.81899999999999995</v>
      </c>
      <c r="G141" s="25">
        <v>0.81399999999999995</v>
      </c>
      <c r="H141" s="25">
        <v>0.84099999999999997</v>
      </c>
      <c r="I141" s="26">
        <f t="shared" si="28"/>
        <v>0.82319999999999993</v>
      </c>
      <c r="J141" s="25">
        <v>0.83</v>
      </c>
      <c r="K141" s="25">
        <v>0.82499999999999996</v>
      </c>
      <c r="L141" s="25">
        <v>0.82199999999999995</v>
      </c>
      <c r="M141" s="25">
        <v>0.83299999999999996</v>
      </c>
      <c r="N141" s="25">
        <v>0.83499999999999996</v>
      </c>
      <c r="O141" s="26">
        <f t="shared" si="29"/>
        <v>0.82899999999999996</v>
      </c>
      <c r="P141" s="25">
        <v>0.84499999999999997</v>
      </c>
      <c r="Q141" s="25">
        <v>0.83</v>
      </c>
      <c r="R141" s="25">
        <v>0.84599999999999997</v>
      </c>
      <c r="S141" s="25">
        <v>0.83799999999999997</v>
      </c>
      <c r="T141" s="25">
        <v>0.83299999999999996</v>
      </c>
      <c r="U141" s="26">
        <f t="shared" si="30"/>
        <v>0.83840000000000003</v>
      </c>
      <c r="V141" s="25">
        <v>0.80900000000000005</v>
      </c>
      <c r="W141" s="25">
        <v>0.79400000000000004</v>
      </c>
      <c r="X141" s="25">
        <v>0.79</v>
      </c>
      <c r="Y141" s="25">
        <v>0.79900000000000004</v>
      </c>
      <c r="Z141" s="25">
        <v>0.79600000000000004</v>
      </c>
      <c r="AA141" s="26">
        <f t="shared" si="31"/>
        <v>0.79760000000000009</v>
      </c>
      <c r="AB141" s="25">
        <v>0.80900000000000005</v>
      </c>
      <c r="AC141" s="25">
        <v>0.79400000000000004</v>
      </c>
      <c r="AD141" s="25">
        <v>0.79</v>
      </c>
      <c r="AE141" s="25">
        <v>0.79900000000000004</v>
      </c>
      <c r="AF141" s="25">
        <v>0.79600000000000004</v>
      </c>
      <c r="AG141" s="26">
        <f t="shared" si="32"/>
        <v>0.79760000000000009</v>
      </c>
      <c r="AH141" s="25">
        <f t="shared" si="33"/>
        <v>0</v>
      </c>
      <c r="AI141" s="25">
        <f t="shared" si="34"/>
        <v>-3.1399999999999872E-2</v>
      </c>
    </row>
    <row r="142" spans="1:35" x14ac:dyDescent="0.25">
      <c r="A142" s="24" t="s">
        <v>129</v>
      </c>
      <c r="B142" s="25" t="s">
        <v>125</v>
      </c>
      <c r="C142" s="25">
        <v>0.2</v>
      </c>
      <c r="D142" s="25">
        <v>0.79700000000000004</v>
      </c>
      <c r="E142" s="25">
        <v>0.78600000000000003</v>
      </c>
      <c r="F142" s="25">
        <v>0.76700000000000002</v>
      </c>
      <c r="G142" s="25">
        <v>0.78600000000000003</v>
      </c>
      <c r="H142" s="25">
        <v>0.79</v>
      </c>
      <c r="I142" s="26">
        <f t="shared" si="28"/>
        <v>0.78520000000000001</v>
      </c>
      <c r="J142" s="25">
        <v>0.79100000000000004</v>
      </c>
      <c r="K142" s="25">
        <v>0.751</v>
      </c>
      <c r="L142" s="25">
        <v>0.752</v>
      </c>
      <c r="M142" s="25">
        <v>0.79300000000000004</v>
      </c>
      <c r="N142" s="25">
        <v>0.80400000000000005</v>
      </c>
      <c r="O142" s="26">
        <f t="shared" si="29"/>
        <v>0.7782</v>
      </c>
      <c r="P142" s="25">
        <v>0.745</v>
      </c>
      <c r="Q142" s="25">
        <v>0.64500000000000002</v>
      </c>
      <c r="R142" s="25">
        <v>0.76800000000000002</v>
      </c>
      <c r="S142" s="25">
        <v>0.749</v>
      </c>
      <c r="T142" s="25">
        <v>0.7</v>
      </c>
      <c r="U142" s="26">
        <f t="shared" si="30"/>
        <v>0.72140000000000004</v>
      </c>
      <c r="V142" s="25">
        <v>0.72199999999999998</v>
      </c>
      <c r="W142" s="25">
        <v>0.67400000000000004</v>
      </c>
      <c r="X142" s="25">
        <v>0.64200000000000002</v>
      </c>
      <c r="Y142" s="25">
        <v>0.69299999999999995</v>
      </c>
      <c r="Z142" s="25">
        <v>0.61599999999999999</v>
      </c>
      <c r="AA142" s="26">
        <f t="shared" si="31"/>
        <v>0.6694</v>
      </c>
      <c r="AB142" s="25">
        <v>0.72199999999999998</v>
      </c>
      <c r="AC142" s="25">
        <v>0.67400000000000004</v>
      </c>
      <c r="AD142" s="25">
        <v>0.64200000000000002</v>
      </c>
      <c r="AE142" s="25">
        <v>0.69299999999999995</v>
      </c>
      <c r="AF142" s="25">
        <v>0.61599999999999999</v>
      </c>
      <c r="AG142" s="26">
        <f t="shared" si="32"/>
        <v>0.6694</v>
      </c>
      <c r="AH142" s="25">
        <f t="shared" si="33"/>
        <v>0</v>
      </c>
      <c r="AI142" s="25">
        <f t="shared" si="34"/>
        <v>-0.10880000000000001</v>
      </c>
    </row>
    <row r="143" spans="1:35" x14ac:dyDescent="0.25">
      <c r="A143" s="24" t="s">
        <v>129</v>
      </c>
      <c r="B143" s="25" t="s">
        <v>125</v>
      </c>
      <c r="C143" s="25">
        <v>0.3</v>
      </c>
      <c r="D143" s="25">
        <v>0.73799999999999999</v>
      </c>
      <c r="E143" s="25">
        <v>0.77500000000000002</v>
      </c>
      <c r="F143" s="25">
        <v>0.70899999999999996</v>
      </c>
      <c r="G143" s="25">
        <v>0.69399999999999995</v>
      </c>
      <c r="H143" s="25">
        <v>0.77800000000000002</v>
      </c>
      <c r="I143" s="26">
        <f t="shared" si="28"/>
        <v>0.73880000000000001</v>
      </c>
      <c r="J143" s="25">
        <v>0.748</v>
      </c>
      <c r="K143" s="25">
        <v>0.751</v>
      </c>
      <c r="L143" s="25">
        <v>0.72299999999999998</v>
      </c>
      <c r="M143" s="25">
        <v>0.70299999999999996</v>
      </c>
      <c r="N143" s="25">
        <v>0.73299999999999998</v>
      </c>
      <c r="O143" s="26">
        <f t="shared" si="29"/>
        <v>0.73160000000000003</v>
      </c>
      <c r="P143" s="25">
        <v>0.67100000000000004</v>
      </c>
      <c r="Q143" s="25">
        <v>0.64500000000000002</v>
      </c>
      <c r="R143" s="25">
        <v>0.67700000000000005</v>
      </c>
      <c r="S143" s="25">
        <v>0.65700000000000003</v>
      </c>
      <c r="T143" s="25">
        <v>0.71699999999999997</v>
      </c>
      <c r="U143" s="26">
        <f t="shared" si="30"/>
        <v>0.67340000000000011</v>
      </c>
      <c r="V143" s="25">
        <v>0.66100000000000003</v>
      </c>
      <c r="W143" s="25">
        <v>0.60299999999999998</v>
      </c>
      <c r="X143" s="25">
        <v>0.68400000000000005</v>
      </c>
      <c r="Y143" s="25">
        <v>0.61899999999999999</v>
      </c>
      <c r="Z143" s="25">
        <v>0.69</v>
      </c>
      <c r="AA143" s="26">
        <f t="shared" si="31"/>
        <v>0.65139999999999998</v>
      </c>
      <c r="AB143" s="25">
        <v>0.66100000000000003</v>
      </c>
      <c r="AC143" s="25">
        <v>0.60299999999999998</v>
      </c>
      <c r="AD143" s="25">
        <v>0.68400000000000005</v>
      </c>
      <c r="AE143" s="25">
        <v>0.61899999999999999</v>
      </c>
      <c r="AF143" s="25">
        <v>0.69</v>
      </c>
      <c r="AG143" s="26">
        <f t="shared" si="32"/>
        <v>0.65139999999999998</v>
      </c>
      <c r="AH143" s="25">
        <f t="shared" si="33"/>
        <v>0</v>
      </c>
      <c r="AI143" s="25">
        <f t="shared" si="34"/>
        <v>-8.0200000000000049E-2</v>
      </c>
    </row>
    <row r="144" spans="1:35" x14ac:dyDescent="0.25">
      <c r="A144" s="24" t="s">
        <v>129</v>
      </c>
      <c r="B144" s="25" t="s">
        <v>125</v>
      </c>
      <c r="C144" s="25">
        <v>0.4</v>
      </c>
      <c r="D144" s="25">
        <v>0.64100000000000001</v>
      </c>
      <c r="E144" s="25">
        <v>0.65800000000000003</v>
      </c>
      <c r="F144" s="25">
        <v>0.626</v>
      </c>
      <c r="G144" s="25">
        <v>0.64800000000000002</v>
      </c>
      <c r="H144" s="25">
        <v>0.65200000000000002</v>
      </c>
      <c r="I144" s="26">
        <f t="shared" si="28"/>
        <v>0.64500000000000002</v>
      </c>
      <c r="J144" s="25">
        <v>0.65200000000000002</v>
      </c>
      <c r="K144" s="25">
        <v>0.67200000000000004</v>
      </c>
      <c r="L144" s="25">
        <v>0.60899999999999999</v>
      </c>
      <c r="M144" s="25">
        <v>0.622</v>
      </c>
      <c r="N144" s="25">
        <v>0.67</v>
      </c>
      <c r="O144" s="26">
        <f t="shared" si="29"/>
        <v>0.64500000000000002</v>
      </c>
      <c r="P144" s="25">
        <v>0.54800000000000004</v>
      </c>
      <c r="Q144" s="25">
        <v>0.60599999999999998</v>
      </c>
      <c r="R144" s="25">
        <v>0.59899999999999998</v>
      </c>
      <c r="S144" s="25">
        <v>0.60399999999999998</v>
      </c>
      <c r="T144" s="25">
        <v>0.61199999999999999</v>
      </c>
      <c r="U144" s="26">
        <f t="shared" si="30"/>
        <v>0.59379999999999999</v>
      </c>
      <c r="V144" s="25">
        <v>0.57799999999999996</v>
      </c>
      <c r="W144" s="25">
        <v>0.59</v>
      </c>
      <c r="X144" s="25">
        <v>0.59399999999999997</v>
      </c>
      <c r="Y144" s="25">
        <v>0.55100000000000005</v>
      </c>
      <c r="Z144" s="25">
        <v>0.61599999999999999</v>
      </c>
      <c r="AA144" s="26">
        <f t="shared" si="31"/>
        <v>0.5858000000000001</v>
      </c>
      <c r="AB144" s="25">
        <v>0.57799999999999996</v>
      </c>
      <c r="AC144" s="25">
        <v>0.59</v>
      </c>
      <c r="AD144" s="25">
        <v>0.59399999999999997</v>
      </c>
      <c r="AE144" s="25">
        <v>0.55100000000000005</v>
      </c>
      <c r="AF144" s="25">
        <v>0.61599999999999999</v>
      </c>
      <c r="AG144" s="26">
        <f t="shared" si="32"/>
        <v>0.5858000000000001</v>
      </c>
      <c r="AH144" s="25">
        <f t="shared" si="33"/>
        <v>0</v>
      </c>
      <c r="AI144" s="25">
        <f t="shared" si="34"/>
        <v>-5.9199999999999919E-2</v>
      </c>
    </row>
    <row r="145" spans="1:35" x14ac:dyDescent="0.25">
      <c r="A145" s="24" t="s">
        <v>129</v>
      </c>
      <c r="B145" s="25" t="s">
        <v>125</v>
      </c>
      <c r="C145" s="25">
        <v>0.5</v>
      </c>
      <c r="D145" s="25">
        <v>0.50900000000000001</v>
      </c>
      <c r="E145" s="25">
        <v>0.48599999999999999</v>
      </c>
      <c r="F145" s="25">
        <v>0.45900000000000002</v>
      </c>
      <c r="G145" s="25">
        <v>0.51900000000000002</v>
      </c>
      <c r="H145" s="25">
        <v>0.432</v>
      </c>
      <c r="I145" s="26">
        <f t="shared" si="28"/>
        <v>0.48099999999999998</v>
      </c>
      <c r="J145" s="25">
        <v>0.44800000000000001</v>
      </c>
      <c r="K145" s="25">
        <v>0.47799999999999998</v>
      </c>
      <c r="L145" s="25">
        <v>0.54600000000000004</v>
      </c>
      <c r="M145" s="25">
        <v>0.52</v>
      </c>
      <c r="N145" s="25">
        <v>0.46200000000000002</v>
      </c>
      <c r="O145" s="26">
        <f t="shared" si="29"/>
        <v>0.49080000000000001</v>
      </c>
      <c r="P145" s="25">
        <v>0.50900000000000001</v>
      </c>
      <c r="Q145" s="25">
        <v>0.496</v>
      </c>
      <c r="R145" s="25">
        <v>0.46700000000000003</v>
      </c>
      <c r="S145" s="25">
        <v>0.51300000000000001</v>
      </c>
      <c r="T145" s="25">
        <v>0.45700000000000002</v>
      </c>
      <c r="U145" s="26">
        <f t="shared" si="30"/>
        <v>0.48839999999999995</v>
      </c>
      <c r="V145" s="25">
        <v>0.52800000000000002</v>
      </c>
      <c r="W145" s="25">
        <v>0.501</v>
      </c>
      <c r="X145" s="25">
        <v>0.52200000000000002</v>
      </c>
      <c r="Y145" s="25">
        <v>0.52600000000000002</v>
      </c>
      <c r="Z145" s="25">
        <v>0.47799999999999998</v>
      </c>
      <c r="AA145" s="26">
        <f t="shared" si="31"/>
        <v>0.5109999999999999</v>
      </c>
      <c r="AB145" s="25">
        <v>0.52800000000000002</v>
      </c>
      <c r="AC145" s="25">
        <v>0.501</v>
      </c>
      <c r="AD145" s="25">
        <v>0.52200000000000002</v>
      </c>
      <c r="AE145" s="25">
        <v>0.52600000000000002</v>
      </c>
      <c r="AF145" s="25">
        <v>0.47799999999999998</v>
      </c>
      <c r="AG145" s="26">
        <f t="shared" si="32"/>
        <v>0.5109999999999999</v>
      </c>
      <c r="AH145" s="25">
        <f t="shared" si="33"/>
        <v>0</v>
      </c>
      <c r="AI145" s="25">
        <f t="shared" si="34"/>
        <v>2.0199999999999885E-2</v>
      </c>
    </row>
    <row r="146" spans="1:35" x14ac:dyDescent="0.25">
      <c r="A146" s="24" t="s">
        <v>129</v>
      </c>
      <c r="B146" s="25" t="s">
        <v>126</v>
      </c>
      <c r="C146" s="25">
        <v>0.2</v>
      </c>
      <c r="D146" s="25">
        <v>0.77800000000000002</v>
      </c>
      <c r="E146" s="25">
        <v>0.77700000000000002</v>
      </c>
      <c r="F146" s="25">
        <v>0.77800000000000002</v>
      </c>
      <c r="G146" s="25">
        <v>0.76400000000000001</v>
      </c>
      <c r="H146" s="25">
        <v>0.77400000000000002</v>
      </c>
      <c r="I146" s="26">
        <f t="shared" si="28"/>
        <v>0.77420000000000011</v>
      </c>
      <c r="J146" s="25">
        <v>0.754</v>
      </c>
      <c r="K146" s="25">
        <v>0.75900000000000001</v>
      </c>
      <c r="L146" s="25">
        <v>0.75800000000000001</v>
      </c>
      <c r="M146" s="25">
        <v>0.76100000000000001</v>
      </c>
      <c r="N146" s="25">
        <v>0.752</v>
      </c>
      <c r="O146" s="26">
        <f t="shared" si="29"/>
        <v>0.75679999999999992</v>
      </c>
      <c r="P146" s="25">
        <v>0.75700000000000001</v>
      </c>
      <c r="Q146" s="25">
        <v>0.70399999999999996</v>
      </c>
      <c r="R146" s="25">
        <v>0.71899999999999997</v>
      </c>
      <c r="S146" s="25">
        <v>0.65800000000000003</v>
      </c>
      <c r="T146" s="25">
        <v>0.70099999999999996</v>
      </c>
      <c r="U146" s="26">
        <f t="shared" si="30"/>
        <v>0.70779999999999998</v>
      </c>
      <c r="V146" s="25">
        <v>0.73499999999999999</v>
      </c>
      <c r="W146" s="25">
        <v>0.66700000000000004</v>
      </c>
      <c r="X146" s="25">
        <v>0.71</v>
      </c>
      <c r="Y146" s="25">
        <v>0.66500000000000004</v>
      </c>
      <c r="Z146" s="25">
        <v>0.60099999999999998</v>
      </c>
      <c r="AA146" s="26">
        <f t="shared" si="31"/>
        <v>0.67559999999999998</v>
      </c>
      <c r="AB146" s="25">
        <v>0.73499999999999999</v>
      </c>
      <c r="AC146" s="25">
        <v>0.66700000000000004</v>
      </c>
      <c r="AD146" s="25">
        <v>0.71</v>
      </c>
      <c r="AE146" s="25">
        <v>0.66500000000000004</v>
      </c>
      <c r="AF146" s="25">
        <v>0.60099999999999998</v>
      </c>
      <c r="AG146" s="26">
        <f t="shared" si="32"/>
        <v>0.67559999999999998</v>
      </c>
      <c r="AH146" s="25">
        <f t="shared" si="33"/>
        <v>0</v>
      </c>
      <c r="AI146" s="25">
        <f t="shared" si="34"/>
        <v>-8.1199999999999939E-2</v>
      </c>
    </row>
    <row r="147" spans="1:35" x14ac:dyDescent="0.25">
      <c r="A147" s="24" t="s">
        <v>129</v>
      </c>
      <c r="B147" s="25" t="s">
        <v>126</v>
      </c>
      <c r="C147" s="25">
        <v>0.3</v>
      </c>
      <c r="D147" s="25">
        <v>0.752</v>
      </c>
      <c r="E147" s="25">
        <v>0.75700000000000001</v>
      </c>
      <c r="F147" s="25">
        <v>0.74099999999999999</v>
      </c>
      <c r="G147" s="25">
        <v>0.71199999999999997</v>
      </c>
      <c r="H147" s="25">
        <v>0.72499999999999998</v>
      </c>
      <c r="I147" s="26">
        <f t="shared" si="28"/>
        <v>0.73739999999999994</v>
      </c>
      <c r="J147" s="25">
        <v>0.73599999999999999</v>
      </c>
      <c r="K147" s="25">
        <v>0.73199999999999998</v>
      </c>
      <c r="L147" s="25">
        <v>0.68799999999999994</v>
      </c>
      <c r="M147" s="25">
        <v>0.69699999999999995</v>
      </c>
      <c r="N147" s="25">
        <v>0.7</v>
      </c>
      <c r="O147" s="26">
        <f t="shared" si="29"/>
        <v>0.71060000000000001</v>
      </c>
      <c r="P147" s="25">
        <v>0.61399999999999999</v>
      </c>
      <c r="Q147" s="25">
        <v>0.67800000000000005</v>
      </c>
      <c r="R147" s="25">
        <v>0.59699999999999998</v>
      </c>
      <c r="S147" s="25">
        <v>0.61899999999999999</v>
      </c>
      <c r="T147" s="25">
        <v>0.64200000000000002</v>
      </c>
      <c r="U147" s="26">
        <f t="shared" si="30"/>
        <v>0.63</v>
      </c>
      <c r="V147" s="25">
        <v>0.61899999999999999</v>
      </c>
      <c r="W147" s="25">
        <v>0.62</v>
      </c>
      <c r="X147" s="25">
        <v>0.57099999999999995</v>
      </c>
      <c r="Y147" s="25">
        <v>0.67400000000000004</v>
      </c>
      <c r="Z147" s="25">
        <v>0.65100000000000002</v>
      </c>
      <c r="AA147" s="26">
        <f t="shared" si="31"/>
        <v>0.627</v>
      </c>
      <c r="AB147" s="25">
        <v>0.61899999999999999</v>
      </c>
      <c r="AC147" s="25">
        <v>0.62</v>
      </c>
      <c r="AD147" s="25">
        <v>0.57099999999999995</v>
      </c>
      <c r="AE147" s="25">
        <v>0.67400000000000004</v>
      </c>
      <c r="AF147" s="25">
        <v>0.65100000000000002</v>
      </c>
      <c r="AG147" s="26">
        <f t="shared" si="32"/>
        <v>0.627</v>
      </c>
      <c r="AH147" s="25">
        <f t="shared" si="33"/>
        <v>0</v>
      </c>
      <c r="AI147" s="25">
        <f t="shared" si="34"/>
        <v>-8.3600000000000008E-2</v>
      </c>
    </row>
    <row r="148" spans="1:35" x14ac:dyDescent="0.25">
      <c r="A148" s="24" t="s">
        <v>129</v>
      </c>
      <c r="B148" s="25" t="s">
        <v>126</v>
      </c>
      <c r="C148" s="25">
        <v>0.4</v>
      </c>
      <c r="D148" s="25">
        <v>0.70099999999999996</v>
      </c>
      <c r="E148" s="25">
        <v>0.69599999999999995</v>
      </c>
      <c r="F148" s="25">
        <v>0.70899999999999996</v>
      </c>
      <c r="G148" s="25">
        <v>0.67800000000000005</v>
      </c>
      <c r="H148" s="25">
        <v>0.69399999999999995</v>
      </c>
      <c r="I148" s="26">
        <f t="shared" si="28"/>
        <v>0.6956</v>
      </c>
      <c r="J148" s="25">
        <v>0.67500000000000004</v>
      </c>
      <c r="K148" s="25">
        <v>0.65400000000000003</v>
      </c>
      <c r="L148" s="25">
        <v>0.69899999999999995</v>
      </c>
      <c r="M148" s="25">
        <v>0.66700000000000004</v>
      </c>
      <c r="N148" s="25">
        <v>0.69399999999999995</v>
      </c>
      <c r="O148" s="26">
        <f t="shared" si="29"/>
        <v>0.67780000000000007</v>
      </c>
      <c r="P148" s="25">
        <v>0.59399999999999997</v>
      </c>
      <c r="Q148" s="25">
        <v>0.61299999999999999</v>
      </c>
      <c r="R148" s="25">
        <v>0.53900000000000003</v>
      </c>
      <c r="S148" s="25">
        <v>0.622</v>
      </c>
      <c r="T148" s="25">
        <v>0.65200000000000002</v>
      </c>
      <c r="U148" s="26">
        <f t="shared" si="30"/>
        <v>0.60399999999999998</v>
      </c>
      <c r="V148" s="25">
        <v>0.58099999999999996</v>
      </c>
      <c r="W148" s="25">
        <v>0.53800000000000003</v>
      </c>
      <c r="X148" s="25">
        <v>0.53</v>
      </c>
      <c r="Y148" s="25">
        <v>0.63500000000000001</v>
      </c>
      <c r="Z148" s="25">
        <v>0.61699999999999999</v>
      </c>
      <c r="AA148" s="26">
        <f t="shared" si="31"/>
        <v>0.58019999999999994</v>
      </c>
      <c r="AB148" s="25">
        <v>0.58099999999999996</v>
      </c>
      <c r="AC148" s="25">
        <v>0.53800000000000003</v>
      </c>
      <c r="AD148" s="25">
        <v>0.53</v>
      </c>
      <c r="AE148" s="25">
        <v>0.63500000000000001</v>
      </c>
      <c r="AF148" s="25">
        <v>0.61699999999999999</v>
      </c>
      <c r="AG148" s="26">
        <f t="shared" si="32"/>
        <v>0.58019999999999994</v>
      </c>
      <c r="AH148" s="25">
        <f t="shared" si="33"/>
        <v>0</v>
      </c>
      <c r="AI148" s="25">
        <f t="shared" si="34"/>
        <v>-9.7600000000000131E-2</v>
      </c>
    </row>
    <row r="149" spans="1:35" x14ac:dyDescent="0.25">
      <c r="A149" s="24" t="s">
        <v>129</v>
      </c>
      <c r="B149" s="25" t="s">
        <v>126</v>
      </c>
      <c r="C149" s="25">
        <v>0.5</v>
      </c>
      <c r="D149" s="25">
        <v>0.68600000000000005</v>
      </c>
      <c r="E149" s="25">
        <v>0.65200000000000002</v>
      </c>
      <c r="F149" s="25">
        <v>0.66700000000000004</v>
      </c>
      <c r="G149" s="25">
        <v>0.66100000000000003</v>
      </c>
      <c r="H149" s="25">
        <v>0.63900000000000001</v>
      </c>
      <c r="I149" s="26">
        <f t="shared" si="28"/>
        <v>0.66099999999999992</v>
      </c>
      <c r="J149" s="25">
        <v>0.63300000000000001</v>
      </c>
      <c r="K149" s="25">
        <v>0.623</v>
      </c>
      <c r="L149" s="25">
        <v>0.629</v>
      </c>
      <c r="M149" s="25">
        <v>0.623</v>
      </c>
      <c r="N149" s="25">
        <v>0.628</v>
      </c>
      <c r="O149" s="26">
        <f t="shared" si="29"/>
        <v>0.62719999999999998</v>
      </c>
      <c r="P149" s="25"/>
      <c r="Q149" s="25"/>
      <c r="R149" s="25"/>
      <c r="S149" s="25"/>
      <c r="T149" s="25"/>
      <c r="U149" s="26" t="str">
        <f t="shared" si="30"/>
        <v/>
      </c>
      <c r="V149" s="25"/>
      <c r="W149" s="25"/>
      <c r="X149" s="25"/>
      <c r="Y149" s="25"/>
      <c r="Z149" s="25"/>
      <c r="AA149" s="26" t="str">
        <f t="shared" si="31"/>
        <v/>
      </c>
      <c r="AB149" s="25">
        <v>0.67700000000000005</v>
      </c>
      <c r="AC149" s="25">
        <v>0.65800000000000003</v>
      </c>
      <c r="AD149" s="25">
        <v>0.64800000000000002</v>
      </c>
      <c r="AE149" s="25">
        <v>0.69399999999999995</v>
      </c>
      <c r="AF149" s="25">
        <v>0.66500000000000004</v>
      </c>
      <c r="AG149" s="26">
        <f t="shared" si="32"/>
        <v>0.66839999999999999</v>
      </c>
      <c r="AH149" s="25" t="str">
        <f t="shared" si="33"/>
        <v/>
      </c>
      <c r="AI149" s="25">
        <f t="shared" si="34"/>
        <v>4.1200000000000014E-2</v>
      </c>
    </row>
    <row r="150" spans="1:35" x14ac:dyDescent="0.25">
      <c r="A150" s="24" t="s">
        <v>129</v>
      </c>
      <c r="B150" s="25" t="s">
        <v>127</v>
      </c>
      <c r="C150" s="25">
        <v>0.2</v>
      </c>
      <c r="D150" s="25">
        <v>0.79400000000000004</v>
      </c>
      <c r="E150" s="25">
        <v>0.78600000000000003</v>
      </c>
      <c r="F150" s="25">
        <v>0.78600000000000003</v>
      </c>
      <c r="G150" s="25">
        <v>0.78700000000000003</v>
      </c>
      <c r="H150" s="25">
        <v>0.78600000000000003</v>
      </c>
      <c r="I150" s="26">
        <f t="shared" si="28"/>
        <v>0.78780000000000006</v>
      </c>
      <c r="J150" s="25">
        <v>0.78800000000000003</v>
      </c>
      <c r="K150" s="25">
        <v>0.82</v>
      </c>
      <c r="L150" s="25">
        <v>0.82</v>
      </c>
      <c r="M150" s="25">
        <v>0.79300000000000004</v>
      </c>
      <c r="N150" s="25">
        <v>0.80100000000000005</v>
      </c>
      <c r="O150" s="26">
        <f t="shared" si="29"/>
        <v>0.8044</v>
      </c>
      <c r="P150" s="25">
        <v>0.70299999999999996</v>
      </c>
      <c r="Q150" s="25">
        <v>0.77200000000000002</v>
      </c>
      <c r="R150" s="25">
        <v>0.82899999999999996</v>
      </c>
      <c r="S150" s="25">
        <v>0.82199999999999995</v>
      </c>
      <c r="T150" s="25">
        <v>0.82299999999999995</v>
      </c>
      <c r="U150" s="26">
        <f t="shared" si="30"/>
        <v>0.78980000000000006</v>
      </c>
      <c r="V150" s="25">
        <v>0.67500000000000004</v>
      </c>
      <c r="W150" s="25">
        <v>0.749</v>
      </c>
      <c r="X150" s="25">
        <v>0.79900000000000004</v>
      </c>
      <c r="Y150" s="25">
        <v>0.78600000000000003</v>
      </c>
      <c r="Z150" s="25">
        <v>0.751</v>
      </c>
      <c r="AA150" s="26">
        <f t="shared" si="31"/>
        <v>0.752</v>
      </c>
      <c r="AB150" s="25">
        <v>0.67500000000000004</v>
      </c>
      <c r="AC150" s="25">
        <v>0.749</v>
      </c>
      <c r="AD150" s="25">
        <v>0.79900000000000004</v>
      </c>
      <c r="AE150" s="25">
        <v>0.78600000000000003</v>
      </c>
      <c r="AF150" s="25">
        <v>0.751</v>
      </c>
      <c r="AG150" s="26">
        <f t="shared" si="32"/>
        <v>0.752</v>
      </c>
      <c r="AH150" s="25">
        <f t="shared" si="33"/>
        <v>0</v>
      </c>
      <c r="AI150" s="25">
        <f t="shared" si="34"/>
        <v>-5.2400000000000002E-2</v>
      </c>
    </row>
    <row r="151" spans="1:35" x14ac:dyDescent="0.25">
      <c r="A151" s="24" t="s">
        <v>129</v>
      </c>
      <c r="B151" s="25" t="s">
        <v>127</v>
      </c>
      <c r="C151" s="25">
        <v>0.3</v>
      </c>
      <c r="D151" s="25">
        <v>0.752</v>
      </c>
      <c r="E151" s="25">
        <v>0.73499999999999999</v>
      </c>
      <c r="F151" s="25">
        <v>0.72</v>
      </c>
      <c r="G151" s="25">
        <v>0.71599999999999997</v>
      </c>
      <c r="H151" s="25">
        <v>0.72199999999999998</v>
      </c>
      <c r="I151" s="26">
        <f t="shared" si="28"/>
        <v>0.72899999999999998</v>
      </c>
      <c r="J151" s="25">
        <v>0.752</v>
      </c>
      <c r="K151" s="25">
        <v>0.751</v>
      </c>
      <c r="L151" s="25">
        <v>0.76800000000000002</v>
      </c>
      <c r="M151" s="25">
        <v>0.77100000000000002</v>
      </c>
      <c r="N151" s="25">
        <v>0.75700000000000001</v>
      </c>
      <c r="O151" s="26">
        <f t="shared" si="29"/>
        <v>0.75980000000000003</v>
      </c>
      <c r="P151" s="25">
        <v>0.68700000000000006</v>
      </c>
      <c r="Q151" s="25">
        <v>0.70599999999999996</v>
      </c>
      <c r="R151" s="25">
        <v>0.63800000000000001</v>
      </c>
      <c r="S151" s="25">
        <v>0.68600000000000005</v>
      </c>
      <c r="T151" s="25">
        <v>0.69</v>
      </c>
      <c r="U151" s="26">
        <f t="shared" si="30"/>
        <v>0.68140000000000001</v>
      </c>
      <c r="V151" s="25">
        <v>0.629</v>
      </c>
      <c r="W151" s="25">
        <v>0.65800000000000003</v>
      </c>
      <c r="X151" s="25">
        <v>0.65800000000000003</v>
      </c>
      <c r="Y151" s="25">
        <v>0.66800000000000004</v>
      </c>
      <c r="Z151" s="25">
        <v>0.66800000000000004</v>
      </c>
      <c r="AA151" s="26">
        <f t="shared" si="31"/>
        <v>0.65620000000000001</v>
      </c>
      <c r="AB151" s="25">
        <v>0.629</v>
      </c>
      <c r="AC151" s="25">
        <v>0.65800000000000003</v>
      </c>
      <c r="AD151" s="25">
        <v>0.65800000000000003</v>
      </c>
      <c r="AE151" s="25">
        <v>0.66800000000000004</v>
      </c>
      <c r="AF151" s="25">
        <v>0.66800000000000004</v>
      </c>
      <c r="AG151" s="26">
        <f t="shared" si="32"/>
        <v>0.65620000000000001</v>
      </c>
      <c r="AH151" s="25">
        <f t="shared" si="33"/>
        <v>0</v>
      </c>
      <c r="AI151" s="25">
        <f t="shared" si="34"/>
        <v>-0.10360000000000003</v>
      </c>
    </row>
    <row r="152" spans="1:35" x14ac:dyDescent="0.25">
      <c r="A152" s="24" t="s">
        <v>129</v>
      </c>
      <c r="B152" s="25" t="s">
        <v>127</v>
      </c>
      <c r="C152" s="25">
        <v>0.4</v>
      </c>
      <c r="D152" s="25">
        <v>0.65900000000000003</v>
      </c>
      <c r="E152" s="25">
        <v>0.67400000000000004</v>
      </c>
      <c r="F152" s="25">
        <v>0.66400000000000003</v>
      </c>
      <c r="G152" s="25">
        <v>0.65700000000000003</v>
      </c>
      <c r="H152" s="25">
        <v>0.66500000000000004</v>
      </c>
      <c r="I152" s="26">
        <f t="shared" si="28"/>
        <v>0.66380000000000006</v>
      </c>
      <c r="J152" s="25">
        <v>0.67700000000000005</v>
      </c>
      <c r="K152" s="25">
        <v>0.70899999999999996</v>
      </c>
      <c r="L152" s="25">
        <v>0.66800000000000004</v>
      </c>
      <c r="M152" s="25">
        <v>0.67</v>
      </c>
      <c r="N152" s="25">
        <v>0.70099999999999996</v>
      </c>
      <c r="O152" s="26">
        <f t="shared" si="29"/>
        <v>0.68500000000000005</v>
      </c>
      <c r="P152" s="25">
        <v>0.63500000000000001</v>
      </c>
      <c r="Q152" s="25">
        <v>0.63200000000000001</v>
      </c>
      <c r="R152" s="25">
        <v>0.63600000000000001</v>
      </c>
      <c r="S152" s="25">
        <v>0.623</v>
      </c>
      <c r="T152" s="25">
        <v>0.61</v>
      </c>
      <c r="U152" s="26">
        <f t="shared" si="30"/>
        <v>0.62719999999999998</v>
      </c>
      <c r="V152" s="25">
        <v>0.61599999999999999</v>
      </c>
      <c r="W152" s="25">
        <v>0.61299999999999999</v>
      </c>
      <c r="X152" s="25">
        <v>0.625</v>
      </c>
      <c r="Y152" s="25">
        <v>0.57999999999999996</v>
      </c>
      <c r="Z152" s="25">
        <v>0.57399999999999995</v>
      </c>
      <c r="AA152" s="26">
        <f t="shared" si="31"/>
        <v>0.60160000000000002</v>
      </c>
      <c r="AB152" s="25">
        <v>0.61599999999999999</v>
      </c>
      <c r="AC152" s="25">
        <v>0.61299999999999999</v>
      </c>
      <c r="AD152" s="25">
        <v>0.625</v>
      </c>
      <c r="AE152" s="25">
        <v>0.57999999999999996</v>
      </c>
      <c r="AF152" s="25">
        <v>0.57399999999999995</v>
      </c>
      <c r="AG152" s="26">
        <f t="shared" si="32"/>
        <v>0.60160000000000002</v>
      </c>
      <c r="AH152" s="25">
        <f t="shared" si="33"/>
        <v>0</v>
      </c>
      <c r="AI152" s="25">
        <f t="shared" si="34"/>
        <v>-8.340000000000003E-2</v>
      </c>
    </row>
    <row r="153" spans="1:35" x14ac:dyDescent="0.25">
      <c r="A153" s="24" t="s">
        <v>129</v>
      </c>
      <c r="B153" s="25" t="s">
        <v>127</v>
      </c>
      <c r="C153" s="25">
        <v>0.5</v>
      </c>
      <c r="D153" s="25">
        <v>0.497</v>
      </c>
      <c r="E153" s="25">
        <v>0.48699999999999999</v>
      </c>
      <c r="F153" s="25">
        <v>0.49299999999999999</v>
      </c>
      <c r="G153" s="25">
        <v>0.48599999999999999</v>
      </c>
      <c r="H153" s="25">
        <v>0.504</v>
      </c>
      <c r="I153" s="26">
        <f t="shared" si="28"/>
        <v>0.49339999999999995</v>
      </c>
      <c r="J153" s="25">
        <v>0.52600000000000002</v>
      </c>
      <c r="K153" s="25">
        <v>0.503</v>
      </c>
      <c r="L153" s="25">
        <v>0.47</v>
      </c>
      <c r="M153" s="25">
        <v>0.497</v>
      </c>
      <c r="N153" s="25">
        <v>0.53200000000000003</v>
      </c>
      <c r="O153" s="26">
        <f t="shared" si="29"/>
        <v>0.50560000000000005</v>
      </c>
      <c r="P153" s="25">
        <v>0.49</v>
      </c>
      <c r="Q153" s="25">
        <v>0.48399999999999999</v>
      </c>
      <c r="R153" s="25">
        <v>0.53</v>
      </c>
      <c r="S153" s="25">
        <v>0.47</v>
      </c>
      <c r="T153" s="25">
        <v>0.504</v>
      </c>
      <c r="U153" s="26">
        <f t="shared" si="30"/>
        <v>0.49559999999999993</v>
      </c>
      <c r="V153" s="25">
        <v>0.54500000000000004</v>
      </c>
      <c r="W153" s="25">
        <v>0.49399999999999999</v>
      </c>
      <c r="X153" s="25">
        <v>0.435</v>
      </c>
      <c r="Y153" s="25">
        <v>0.51700000000000002</v>
      </c>
      <c r="Z153" s="25">
        <v>0.56499999999999995</v>
      </c>
      <c r="AA153" s="26">
        <f t="shared" si="31"/>
        <v>0.51119999999999999</v>
      </c>
      <c r="AB153" s="25">
        <v>0.54500000000000004</v>
      </c>
      <c r="AC153" s="25">
        <v>0.49399999999999999</v>
      </c>
      <c r="AD153" s="25">
        <v>0.435</v>
      </c>
      <c r="AE153" s="25">
        <v>0.51700000000000002</v>
      </c>
      <c r="AF153" s="25">
        <v>0.56499999999999995</v>
      </c>
      <c r="AG153" s="26">
        <f t="shared" si="32"/>
        <v>0.51119999999999999</v>
      </c>
      <c r="AH153" s="25">
        <f t="shared" si="33"/>
        <v>0</v>
      </c>
      <c r="AI153" s="25">
        <f t="shared" si="34"/>
        <v>5.5999999999999384E-3</v>
      </c>
    </row>
    <row r="154" spans="1:35" x14ac:dyDescent="0.25">
      <c r="A154" s="24" t="s">
        <v>129</v>
      </c>
      <c r="B154" s="25" t="s">
        <v>128</v>
      </c>
      <c r="C154" s="25">
        <v>0.2</v>
      </c>
      <c r="D154" s="25">
        <v>0.77100000000000002</v>
      </c>
      <c r="E154" s="25">
        <v>0.75800000000000001</v>
      </c>
      <c r="F154" s="25">
        <v>0.77500000000000002</v>
      </c>
      <c r="G154" s="25">
        <v>0.73599999999999999</v>
      </c>
      <c r="H154" s="25">
        <v>0.76500000000000001</v>
      </c>
      <c r="I154" s="26">
        <f t="shared" si="28"/>
        <v>0.76100000000000001</v>
      </c>
      <c r="J154" s="25">
        <v>0.78300000000000003</v>
      </c>
      <c r="K154" s="25">
        <v>0.75700000000000001</v>
      </c>
      <c r="L154" s="25">
        <v>0.77400000000000002</v>
      </c>
      <c r="M154" s="25">
        <v>0.78</v>
      </c>
      <c r="N154" s="25">
        <v>0.80300000000000005</v>
      </c>
      <c r="O154" s="26">
        <f t="shared" si="29"/>
        <v>0.77940000000000009</v>
      </c>
      <c r="P154" s="25">
        <v>0.7</v>
      </c>
      <c r="Q154" s="25">
        <v>0.72499999999999998</v>
      </c>
      <c r="R154" s="25">
        <v>0.69899999999999995</v>
      </c>
      <c r="S154" s="25">
        <v>0.77700000000000002</v>
      </c>
      <c r="T154" s="25">
        <v>0.751</v>
      </c>
      <c r="U154" s="26">
        <f t="shared" si="30"/>
        <v>0.73039999999999994</v>
      </c>
      <c r="V154" s="25">
        <v>0.69899999999999995</v>
      </c>
      <c r="W154" s="25">
        <v>0.65900000000000003</v>
      </c>
      <c r="X154" s="25">
        <v>0.71399999999999997</v>
      </c>
      <c r="Y154" s="25">
        <v>0.66200000000000003</v>
      </c>
      <c r="Z154" s="25">
        <v>0.67500000000000004</v>
      </c>
      <c r="AA154" s="26">
        <f t="shared" si="31"/>
        <v>0.68179999999999996</v>
      </c>
      <c r="AB154" s="25">
        <v>0.69899999999999995</v>
      </c>
      <c r="AC154" s="25">
        <v>0.65900000000000003</v>
      </c>
      <c r="AD154" s="25">
        <v>0.71399999999999997</v>
      </c>
      <c r="AE154" s="25">
        <v>0.66200000000000003</v>
      </c>
      <c r="AF154" s="25">
        <v>0.67500000000000004</v>
      </c>
      <c r="AG154" s="26">
        <f t="shared" si="32"/>
        <v>0.68179999999999996</v>
      </c>
      <c r="AH154" s="25">
        <f t="shared" si="33"/>
        <v>0</v>
      </c>
      <c r="AI154" s="25">
        <f t="shared" si="34"/>
        <v>-9.7600000000000131E-2</v>
      </c>
    </row>
    <row r="155" spans="1:35" x14ac:dyDescent="0.25">
      <c r="A155" s="24" t="s">
        <v>129</v>
      </c>
      <c r="B155" s="25" t="s">
        <v>128</v>
      </c>
      <c r="C155" s="25">
        <v>0.3</v>
      </c>
      <c r="D155" s="25">
        <v>0.71899999999999997</v>
      </c>
      <c r="E155" s="25">
        <v>0.73299999999999998</v>
      </c>
      <c r="F155" s="25">
        <v>0.68799999999999994</v>
      </c>
      <c r="G155" s="25">
        <v>0.69099999999999995</v>
      </c>
      <c r="H155" s="25">
        <v>0.72299999999999998</v>
      </c>
      <c r="I155" s="26">
        <f t="shared" si="28"/>
        <v>0.71079999999999988</v>
      </c>
      <c r="J155" s="25">
        <v>0.70299999999999996</v>
      </c>
      <c r="K155" s="25">
        <v>0.73899999999999999</v>
      </c>
      <c r="L155" s="25">
        <v>0.71599999999999997</v>
      </c>
      <c r="M155" s="25">
        <v>0.74099999999999999</v>
      </c>
      <c r="N155" s="25">
        <v>0.72299999999999998</v>
      </c>
      <c r="O155" s="26">
        <f t="shared" si="29"/>
        <v>0.72439999999999993</v>
      </c>
      <c r="P155" s="25">
        <v>0.67200000000000004</v>
      </c>
      <c r="Q155" s="25">
        <v>0.68600000000000005</v>
      </c>
      <c r="R155" s="25">
        <v>0.65400000000000003</v>
      </c>
      <c r="S155" s="25">
        <v>0.67200000000000004</v>
      </c>
      <c r="T155" s="25">
        <v>0.70099999999999996</v>
      </c>
      <c r="U155" s="26">
        <f t="shared" si="30"/>
        <v>0.67700000000000005</v>
      </c>
      <c r="V155" s="25">
        <v>0.629</v>
      </c>
      <c r="W155" s="25">
        <v>0.69299999999999995</v>
      </c>
      <c r="X155" s="25">
        <v>0.65200000000000002</v>
      </c>
      <c r="Y155" s="25">
        <v>0.65100000000000002</v>
      </c>
      <c r="Z155" s="25">
        <v>0.64900000000000002</v>
      </c>
      <c r="AA155" s="26">
        <f t="shared" si="31"/>
        <v>0.65480000000000005</v>
      </c>
      <c r="AB155" s="25">
        <v>0.629</v>
      </c>
      <c r="AC155" s="25">
        <v>0.69299999999999995</v>
      </c>
      <c r="AD155" s="25">
        <v>0.65200000000000002</v>
      </c>
      <c r="AE155" s="25">
        <v>0.65100000000000002</v>
      </c>
      <c r="AF155" s="25">
        <v>0.64900000000000002</v>
      </c>
      <c r="AG155" s="26">
        <f t="shared" si="32"/>
        <v>0.65480000000000005</v>
      </c>
      <c r="AH155" s="25">
        <f t="shared" si="33"/>
        <v>0</v>
      </c>
      <c r="AI155" s="25">
        <f t="shared" si="34"/>
        <v>-6.9599999999999884E-2</v>
      </c>
    </row>
    <row r="156" spans="1:35" x14ac:dyDescent="0.25">
      <c r="A156" s="24" t="s">
        <v>129</v>
      </c>
      <c r="B156" s="25" t="s">
        <v>128</v>
      </c>
      <c r="C156" s="25">
        <v>0.4</v>
      </c>
      <c r="D156" s="25">
        <v>0.61399999999999999</v>
      </c>
      <c r="E156" s="25">
        <v>0.65700000000000003</v>
      </c>
      <c r="F156" s="25">
        <v>0.63500000000000001</v>
      </c>
      <c r="G156" s="25">
        <v>0.63</v>
      </c>
      <c r="H156" s="25">
        <v>0.66100000000000003</v>
      </c>
      <c r="I156" s="26">
        <f t="shared" si="28"/>
        <v>0.63939999999999997</v>
      </c>
      <c r="J156" s="25">
        <v>0.68600000000000005</v>
      </c>
      <c r="K156" s="25">
        <v>0.63500000000000001</v>
      </c>
      <c r="L156" s="25">
        <v>0.66100000000000003</v>
      </c>
      <c r="M156" s="25">
        <v>0.66400000000000003</v>
      </c>
      <c r="N156" s="25">
        <v>0.67800000000000005</v>
      </c>
      <c r="O156" s="26">
        <f t="shared" si="29"/>
        <v>0.66480000000000006</v>
      </c>
      <c r="P156" s="25">
        <v>0.60399999999999998</v>
      </c>
      <c r="Q156" s="25">
        <v>0.60299999999999998</v>
      </c>
      <c r="R156" s="25">
        <v>0.66100000000000003</v>
      </c>
      <c r="S156" s="25">
        <v>0.60099999999999998</v>
      </c>
      <c r="T156" s="25">
        <v>0.57799999999999996</v>
      </c>
      <c r="U156" s="26">
        <f t="shared" si="30"/>
        <v>0.60939999999999994</v>
      </c>
      <c r="V156" s="25">
        <v>0.59899999999999998</v>
      </c>
      <c r="W156" s="25">
        <v>0.52800000000000002</v>
      </c>
      <c r="X156" s="25">
        <v>0.61</v>
      </c>
      <c r="Y156" s="25">
        <v>0.65800000000000003</v>
      </c>
      <c r="Z156" s="25">
        <v>0.55400000000000005</v>
      </c>
      <c r="AA156" s="26">
        <f t="shared" si="31"/>
        <v>0.58979999999999999</v>
      </c>
      <c r="AB156" s="25">
        <v>0.59899999999999998</v>
      </c>
      <c r="AC156" s="25">
        <v>0.52800000000000002</v>
      </c>
      <c r="AD156" s="25">
        <v>0.61</v>
      </c>
      <c r="AE156" s="25">
        <v>0.65800000000000003</v>
      </c>
      <c r="AF156" s="25">
        <v>0.55400000000000005</v>
      </c>
      <c r="AG156" s="26">
        <f t="shared" si="32"/>
        <v>0.58979999999999999</v>
      </c>
      <c r="AH156" s="25">
        <f t="shared" si="33"/>
        <v>0</v>
      </c>
      <c r="AI156" s="25">
        <f t="shared" si="34"/>
        <v>-7.5000000000000067E-2</v>
      </c>
    </row>
    <row r="157" spans="1:35" x14ac:dyDescent="0.25">
      <c r="A157" s="24" t="s">
        <v>129</v>
      </c>
      <c r="B157" s="25" t="s">
        <v>128</v>
      </c>
      <c r="C157" s="25">
        <v>0.5</v>
      </c>
      <c r="D157" s="25">
        <v>0.41699999999999998</v>
      </c>
      <c r="E157" s="25">
        <v>0.50600000000000001</v>
      </c>
      <c r="F157" s="25">
        <v>0.53300000000000003</v>
      </c>
      <c r="G157" s="25">
        <v>0.50600000000000001</v>
      </c>
      <c r="H157" s="25">
        <v>0.44600000000000001</v>
      </c>
      <c r="I157" s="26">
        <f t="shared" si="28"/>
        <v>0.48159999999999997</v>
      </c>
      <c r="J157" s="25">
        <v>0.45800000000000002</v>
      </c>
      <c r="K157" s="25">
        <v>0.497</v>
      </c>
      <c r="L157" s="25">
        <v>0.51300000000000001</v>
      </c>
      <c r="M157" s="25">
        <v>0.48299999999999998</v>
      </c>
      <c r="N157" s="25">
        <v>0.47399999999999998</v>
      </c>
      <c r="O157" s="26">
        <f t="shared" si="29"/>
        <v>0.48499999999999999</v>
      </c>
      <c r="P157" s="25">
        <v>0.439</v>
      </c>
      <c r="Q157" s="25">
        <v>0.52300000000000002</v>
      </c>
      <c r="R157" s="25">
        <v>0.49</v>
      </c>
      <c r="S157" s="25">
        <v>0.5</v>
      </c>
      <c r="T157" s="25">
        <v>0.47</v>
      </c>
      <c r="U157" s="26">
        <f t="shared" si="30"/>
        <v>0.48439999999999994</v>
      </c>
      <c r="V157" s="25">
        <v>0.439</v>
      </c>
      <c r="W157" s="25">
        <v>0.52200000000000002</v>
      </c>
      <c r="X157" s="25">
        <v>0.53</v>
      </c>
      <c r="Y157" s="25">
        <v>0.44900000000000001</v>
      </c>
      <c r="Z157" s="25">
        <v>0.51200000000000001</v>
      </c>
      <c r="AA157" s="26">
        <f t="shared" si="31"/>
        <v>0.4904</v>
      </c>
      <c r="AB157" s="25">
        <v>0.439</v>
      </c>
      <c r="AC157" s="25">
        <v>0.52200000000000002</v>
      </c>
      <c r="AD157" s="25">
        <v>0.53</v>
      </c>
      <c r="AE157" s="25">
        <v>0.44900000000000001</v>
      </c>
      <c r="AF157" s="25">
        <v>0.51200000000000001</v>
      </c>
      <c r="AG157" s="26">
        <f t="shared" si="32"/>
        <v>0.4904</v>
      </c>
      <c r="AH157" s="25">
        <f t="shared" si="33"/>
        <v>0</v>
      </c>
      <c r="AI157" s="25">
        <f t="shared" si="34"/>
        <v>5.4000000000000159E-3</v>
      </c>
    </row>
    <row r="158" spans="1:35" x14ac:dyDescent="0.25">
      <c r="A158" s="24" t="s">
        <v>133</v>
      </c>
      <c r="B158" s="25" t="s">
        <v>124</v>
      </c>
      <c r="C158" s="25">
        <v>0</v>
      </c>
      <c r="D158" s="25">
        <v>0.72599999999999998</v>
      </c>
      <c r="E158" s="25">
        <v>0.73299999999999998</v>
      </c>
      <c r="F158" s="25">
        <v>0.72499999999999998</v>
      </c>
      <c r="G158" s="25">
        <v>0.72099999999999997</v>
      </c>
      <c r="H158" s="25">
        <v>0.71599999999999997</v>
      </c>
      <c r="I158" s="26">
        <f t="shared" si="28"/>
        <v>0.72420000000000007</v>
      </c>
      <c r="J158" s="25">
        <v>0.71199999999999997</v>
      </c>
      <c r="K158" s="25">
        <v>0.72599999999999998</v>
      </c>
      <c r="L158" s="25">
        <v>0.72799999999999998</v>
      </c>
      <c r="M158" s="25">
        <v>0.71599999999999997</v>
      </c>
      <c r="N158" s="25">
        <v>0.72299999999999998</v>
      </c>
      <c r="O158" s="26">
        <f t="shared" si="29"/>
        <v>0.72099999999999986</v>
      </c>
      <c r="P158" s="25"/>
      <c r="Q158" s="25"/>
      <c r="R158" s="25"/>
      <c r="S158" s="25"/>
      <c r="T158" s="25"/>
      <c r="U158" s="26" t="str">
        <f t="shared" si="30"/>
        <v/>
      </c>
      <c r="V158" s="25"/>
      <c r="W158" s="25"/>
      <c r="X158" s="25"/>
      <c r="Y158" s="25"/>
      <c r="Z158" s="25"/>
      <c r="AA158" s="26" t="str">
        <f t="shared" si="31"/>
        <v/>
      </c>
      <c r="AB158" s="25">
        <v>0.61199999999999999</v>
      </c>
      <c r="AC158" s="25">
        <v>0.62</v>
      </c>
      <c r="AD158" s="25">
        <v>0.60899999999999999</v>
      </c>
      <c r="AE158" s="25">
        <v>0.623</v>
      </c>
      <c r="AF158" s="25">
        <v>0.621</v>
      </c>
      <c r="AG158" s="26">
        <f t="shared" si="32"/>
        <v>0.61699999999999999</v>
      </c>
      <c r="AH158" s="25" t="str">
        <f t="shared" si="33"/>
        <v/>
      </c>
      <c r="AI158" s="25">
        <f t="shared" si="34"/>
        <v>-0.10399999999999987</v>
      </c>
    </row>
    <row r="159" spans="1:35" x14ac:dyDescent="0.25">
      <c r="A159" s="24" t="s">
        <v>133</v>
      </c>
      <c r="B159" s="25" t="s">
        <v>125</v>
      </c>
      <c r="C159" s="25">
        <v>0.2</v>
      </c>
      <c r="D159" s="25">
        <v>0.69599999999999995</v>
      </c>
      <c r="E159" s="25">
        <v>0.69599999999999995</v>
      </c>
      <c r="F159" s="25">
        <v>0.69399999999999995</v>
      </c>
      <c r="G159" s="25">
        <v>0.67900000000000005</v>
      </c>
      <c r="H159" s="25">
        <v>0.67300000000000004</v>
      </c>
      <c r="I159" s="26">
        <f t="shared" si="28"/>
        <v>0.68759999999999999</v>
      </c>
      <c r="J159" s="25">
        <v>0.67500000000000004</v>
      </c>
      <c r="K159" s="25">
        <v>0.68899999999999995</v>
      </c>
      <c r="L159" s="25">
        <v>0.66300000000000003</v>
      </c>
      <c r="M159" s="25">
        <v>0.68500000000000005</v>
      </c>
      <c r="N159" s="25">
        <v>0.65500000000000003</v>
      </c>
      <c r="O159" s="26">
        <f t="shared" si="29"/>
        <v>0.6734</v>
      </c>
      <c r="P159" s="25">
        <v>0.67</v>
      </c>
      <c r="Q159" s="25">
        <v>0.63300000000000001</v>
      </c>
      <c r="R159" s="25">
        <v>0.63800000000000001</v>
      </c>
      <c r="S159" s="25">
        <v>0.63300000000000001</v>
      </c>
      <c r="T159" s="25">
        <v>0.61499999999999999</v>
      </c>
      <c r="U159" s="26">
        <f t="shared" si="30"/>
        <v>0.63780000000000003</v>
      </c>
      <c r="V159" s="25">
        <v>0.63</v>
      </c>
      <c r="W159" s="25">
        <v>0.60499999999999998</v>
      </c>
      <c r="X159" s="25">
        <v>0.61799999999999999</v>
      </c>
      <c r="Y159" s="25">
        <v>0.64500000000000002</v>
      </c>
      <c r="Z159" s="25">
        <v>0.56999999999999995</v>
      </c>
      <c r="AA159" s="26">
        <f t="shared" si="31"/>
        <v>0.61359999999999992</v>
      </c>
      <c r="AB159" s="25">
        <v>0.63</v>
      </c>
      <c r="AC159" s="25">
        <v>0.60499999999999998</v>
      </c>
      <c r="AD159" s="25">
        <v>0.61799999999999999</v>
      </c>
      <c r="AE159" s="25">
        <v>0.64500000000000002</v>
      </c>
      <c r="AF159" s="25">
        <v>0.56999999999999995</v>
      </c>
      <c r="AG159" s="26">
        <f t="shared" si="32"/>
        <v>0.61359999999999992</v>
      </c>
      <c r="AH159" s="25">
        <f t="shared" si="33"/>
        <v>0</v>
      </c>
      <c r="AI159" s="25">
        <f t="shared" si="34"/>
        <v>-5.9800000000000075E-2</v>
      </c>
    </row>
    <row r="160" spans="1:35" x14ac:dyDescent="0.25">
      <c r="A160" s="24" t="s">
        <v>133</v>
      </c>
      <c r="B160" s="25" t="s">
        <v>125</v>
      </c>
      <c r="C160" s="25">
        <v>0.3</v>
      </c>
      <c r="D160" s="25">
        <v>0.64700000000000002</v>
      </c>
      <c r="E160" s="25">
        <v>0.65100000000000002</v>
      </c>
      <c r="F160" s="25">
        <v>0.65100000000000002</v>
      </c>
      <c r="G160" s="25">
        <v>0.61099999999999999</v>
      </c>
      <c r="H160" s="25">
        <v>0.65700000000000003</v>
      </c>
      <c r="I160" s="26">
        <f t="shared" si="28"/>
        <v>0.64339999999999997</v>
      </c>
      <c r="J160" s="25">
        <v>0.65</v>
      </c>
      <c r="K160" s="25">
        <v>0.65400000000000003</v>
      </c>
      <c r="L160" s="25">
        <v>0.63600000000000001</v>
      </c>
      <c r="M160" s="25">
        <v>0.60799999999999998</v>
      </c>
      <c r="N160" s="25">
        <v>0.622</v>
      </c>
      <c r="O160" s="26">
        <f t="shared" si="29"/>
        <v>0.63400000000000001</v>
      </c>
      <c r="P160" s="25">
        <v>0.6</v>
      </c>
      <c r="Q160" s="25">
        <v>0.627</v>
      </c>
      <c r="R160" s="25">
        <v>0.59</v>
      </c>
      <c r="S160" s="25">
        <v>0.59099999999999997</v>
      </c>
      <c r="T160" s="25">
        <v>0.58499999999999996</v>
      </c>
      <c r="U160" s="26">
        <f t="shared" si="30"/>
        <v>0.59859999999999991</v>
      </c>
      <c r="V160" s="25">
        <v>0.56699999999999995</v>
      </c>
      <c r="W160" s="25">
        <v>0.61499999999999999</v>
      </c>
      <c r="X160" s="25">
        <v>0.58599999999999997</v>
      </c>
      <c r="Y160" s="25">
        <v>0.54500000000000004</v>
      </c>
      <c r="Z160" s="25">
        <v>0.53500000000000003</v>
      </c>
      <c r="AA160" s="26">
        <f t="shared" si="31"/>
        <v>0.5696</v>
      </c>
      <c r="AB160" s="25">
        <v>0.56699999999999995</v>
      </c>
      <c r="AC160" s="25">
        <v>0.61499999999999999</v>
      </c>
      <c r="AD160" s="25">
        <v>0.58599999999999997</v>
      </c>
      <c r="AE160" s="25">
        <v>0.54500000000000004</v>
      </c>
      <c r="AF160" s="25">
        <v>0.53500000000000003</v>
      </c>
      <c r="AG160" s="26">
        <f t="shared" si="32"/>
        <v>0.5696</v>
      </c>
      <c r="AH160" s="25">
        <f t="shared" si="33"/>
        <v>0</v>
      </c>
      <c r="AI160" s="25">
        <f t="shared" si="34"/>
        <v>-6.4400000000000013E-2</v>
      </c>
    </row>
    <row r="161" spans="1:35" x14ac:dyDescent="0.25">
      <c r="A161" s="24" t="s">
        <v>133</v>
      </c>
      <c r="B161" s="25" t="s">
        <v>125</v>
      </c>
      <c r="C161" s="25">
        <v>0.4</v>
      </c>
      <c r="D161" s="25">
        <v>0.59399999999999997</v>
      </c>
      <c r="E161" s="25">
        <v>0.57699999999999996</v>
      </c>
      <c r="F161" s="25">
        <v>0.61799999999999999</v>
      </c>
      <c r="G161" s="25">
        <v>0.57299999999999995</v>
      </c>
      <c r="H161" s="25">
        <v>0.55600000000000005</v>
      </c>
      <c r="I161" s="26">
        <f t="shared" si="28"/>
        <v>0.5835999999999999</v>
      </c>
      <c r="J161" s="25">
        <v>0.58299999999999996</v>
      </c>
      <c r="K161" s="25">
        <v>0.57299999999999995</v>
      </c>
      <c r="L161" s="25">
        <v>0.58299999999999996</v>
      </c>
      <c r="M161" s="25">
        <v>0.58199999999999996</v>
      </c>
      <c r="N161" s="25">
        <v>0.52300000000000002</v>
      </c>
      <c r="O161" s="26">
        <f t="shared" si="29"/>
        <v>0.56879999999999997</v>
      </c>
      <c r="P161" s="25">
        <v>0.57799999999999996</v>
      </c>
      <c r="Q161" s="25">
        <v>0.54200000000000004</v>
      </c>
      <c r="R161" s="25">
        <v>0.58799999999999997</v>
      </c>
      <c r="S161" s="25">
        <v>0.54800000000000004</v>
      </c>
      <c r="T161" s="25">
        <v>0.53200000000000003</v>
      </c>
      <c r="U161" s="26">
        <f t="shared" si="30"/>
        <v>0.5576000000000001</v>
      </c>
      <c r="V161" s="25">
        <v>0.56599999999999995</v>
      </c>
      <c r="W161" s="25">
        <v>0.52</v>
      </c>
      <c r="X161" s="25">
        <v>0.56200000000000006</v>
      </c>
      <c r="Y161" s="25">
        <v>0.55200000000000005</v>
      </c>
      <c r="Z161" s="25">
        <v>0.52400000000000002</v>
      </c>
      <c r="AA161" s="26">
        <f t="shared" si="31"/>
        <v>0.54480000000000006</v>
      </c>
      <c r="AB161" s="25">
        <v>0.56599999999999995</v>
      </c>
      <c r="AC161" s="25">
        <v>0.52</v>
      </c>
      <c r="AD161" s="25">
        <v>0.56200000000000006</v>
      </c>
      <c r="AE161" s="25">
        <v>0.55200000000000005</v>
      </c>
      <c r="AF161" s="25">
        <v>0.52400000000000002</v>
      </c>
      <c r="AG161" s="26">
        <f t="shared" si="32"/>
        <v>0.54480000000000006</v>
      </c>
      <c r="AH161" s="25">
        <f t="shared" si="33"/>
        <v>0</v>
      </c>
      <c r="AI161" s="25">
        <f t="shared" si="34"/>
        <v>-2.399999999999991E-2</v>
      </c>
    </row>
    <row r="162" spans="1:35" x14ac:dyDescent="0.25">
      <c r="A162" s="24" t="s">
        <v>133</v>
      </c>
      <c r="B162" s="25" t="s">
        <v>125</v>
      </c>
      <c r="C162" s="25">
        <v>0.5</v>
      </c>
      <c r="D162" s="25">
        <v>0.49199999999999999</v>
      </c>
      <c r="E162" s="25">
        <v>0.56000000000000005</v>
      </c>
      <c r="F162" s="25">
        <v>0.51</v>
      </c>
      <c r="G162" s="25">
        <v>0.47299999999999998</v>
      </c>
      <c r="H162" s="25">
        <v>0.496</v>
      </c>
      <c r="I162" s="26">
        <f t="shared" si="28"/>
        <v>0.50619999999999998</v>
      </c>
      <c r="J162" s="25">
        <v>0.48499999999999999</v>
      </c>
      <c r="K162" s="25">
        <v>0.53300000000000003</v>
      </c>
      <c r="L162" s="25">
        <v>0.50600000000000001</v>
      </c>
      <c r="M162" s="25">
        <v>0.48299999999999998</v>
      </c>
      <c r="N162" s="25">
        <v>0.47599999999999998</v>
      </c>
      <c r="O162" s="26">
        <f t="shared" si="29"/>
        <v>0.49660000000000004</v>
      </c>
      <c r="P162" s="25">
        <v>0.49399999999999999</v>
      </c>
      <c r="Q162" s="25">
        <v>0.54800000000000004</v>
      </c>
      <c r="R162" s="25">
        <v>0.497</v>
      </c>
      <c r="S162" s="25">
        <v>0.49099999999999999</v>
      </c>
      <c r="T162" s="25">
        <v>0.50800000000000001</v>
      </c>
      <c r="U162" s="26">
        <f t="shared" si="30"/>
        <v>0.50760000000000005</v>
      </c>
      <c r="V162" s="25">
        <v>0.505</v>
      </c>
      <c r="W162" s="25">
        <v>0.53500000000000003</v>
      </c>
      <c r="X162" s="25">
        <v>0.52</v>
      </c>
      <c r="Y162" s="25">
        <v>0.502</v>
      </c>
      <c r="Z162" s="25">
        <v>0.50900000000000001</v>
      </c>
      <c r="AA162" s="26">
        <f t="shared" si="31"/>
        <v>0.51419999999999999</v>
      </c>
      <c r="AB162" s="25">
        <v>0.505</v>
      </c>
      <c r="AC162" s="25">
        <v>0.53500000000000003</v>
      </c>
      <c r="AD162" s="25">
        <v>0.52</v>
      </c>
      <c r="AE162" s="25">
        <v>0.502</v>
      </c>
      <c r="AF162" s="25">
        <v>0.50900000000000001</v>
      </c>
      <c r="AG162" s="26">
        <f t="shared" si="32"/>
        <v>0.51419999999999999</v>
      </c>
      <c r="AH162" s="25">
        <f t="shared" si="33"/>
        <v>0</v>
      </c>
      <c r="AI162" s="25">
        <f t="shared" si="34"/>
        <v>1.7599999999999949E-2</v>
      </c>
    </row>
    <row r="163" spans="1:35" x14ac:dyDescent="0.25">
      <c r="A163" s="24" t="s">
        <v>133</v>
      </c>
      <c r="B163" s="25" t="s">
        <v>126</v>
      </c>
      <c r="C163" s="25">
        <v>0.2</v>
      </c>
      <c r="D163" s="25">
        <v>0.70899999999999996</v>
      </c>
      <c r="E163" s="25">
        <v>0.72699999999999998</v>
      </c>
      <c r="F163" s="25">
        <v>0.73499999999999999</v>
      </c>
      <c r="G163" s="25">
        <v>0.72299999999999998</v>
      </c>
      <c r="H163" s="25">
        <v>0.71199999999999997</v>
      </c>
      <c r="I163" s="26">
        <f t="shared" si="28"/>
        <v>0.72119999999999995</v>
      </c>
      <c r="J163" s="25">
        <v>0.72199999999999998</v>
      </c>
      <c r="K163" s="25">
        <v>0.72</v>
      </c>
      <c r="L163" s="25">
        <v>0.73</v>
      </c>
      <c r="M163" s="25">
        <v>0.71799999999999997</v>
      </c>
      <c r="N163" s="25">
        <v>0.71799999999999997</v>
      </c>
      <c r="O163" s="26">
        <f t="shared" si="29"/>
        <v>0.72159999999999991</v>
      </c>
      <c r="P163" s="25"/>
      <c r="Q163" s="25"/>
      <c r="R163" s="25"/>
      <c r="S163" s="25"/>
      <c r="T163" s="25"/>
      <c r="U163" s="26" t="str">
        <f t="shared" si="30"/>
        <v/>
      </c>
      <c r="V163" s="25"/>
      <c r="W163" s="25"/>
      <c r="X163" s="25"/>
      <c r="Y163" s="25"/>
      <c r="Z163" s="25"/>
      <c r="AA163" s="26" t="str">
        <f t="shared" si="31"/>
        <v/>
      </c>
      <c r="AB163" s="25">
        <v>0.59299999999999997</v>
      </c>
      <c r="AC163" s="25">
        <v>0.61599999999999999</v>
      </c>
      <c r="AD163" s="25">
        <v>0.66900000000000004</v>
      </c>
      <c r="AE163" s="25">
        <v>0.66900000000000004</v>
      </c>
      <c r="AF163" s="25">
        <v>0.57099999999999995</v>
      </c>
      <c r="AG163" s="26">
        <f t="shared" si="32"/>
        <v>0.62360000000000004</v>
      </c>
      <c r="AH163" s="25" t="str">
        <f t="shared" si="33"/>
        <v/>
      </c>
      <c r="AI163" s="25">
        <f t="shared" si="34"/>
        <v>-9.7999999999999865E-2</v>
      </c>
    </row>
    <row r="164" spans="1:35" x14ac:dyDescent="0.25">
      <c r="A164" s="24" t="s">
        <v>133</v>
      </c>
      <c r="B164" s="25" t="s">
        <v>126</v>
      </c>
      <c r="C164" s="25">
        <v>0.3</v>
      </c>
      <c r="D164" s="25">
        <v>0.71599999999999997</v>
      </c>
      <c r="E164" s="25">
        <v>0.72199999999999998</v>
      </c>
      <c r="F164" s="25">
        <v>0.72099999999999997</v>
      </c>
      <c r="G164" s="25">
        <v>0.71699999999999997</v>
      </c>
      <c r="H164" s="25">
        <v>0.70799999999999996</v>
      </c>
      <c r="I164" s="26">
        <f t="shared" si="28"/>
        <v>0.71679999999999988</v>
      </c>
      <c r="J164" s="25">
        <v>0.73499999999999999</v>
      </c>
      <c r="K164" s="25">
        <v>0.70599999999999996</v>
      </c>
      <c r="L164" s="25">
        <v>0.71699999999999997</v>
      </c>
      <c r="M164" s="25">
        <v>0.71399999999999997</v>
      </c>
      <c r="N164" s="25">
        <v>0.72699999999999998</v>
      </c>
      <c r="O164" s="26">
        <f t="shared" si="29"/>
        <v>0.7198</v>
      </c>
      <c r="P164" s="25"/>
      <c r="Q164" s="25"/>
      <c r="R164" s="25"/>
      <c r="S164" s="25"/>
      <c r="T164" s="25"/>
      <c r="U164" s="26" t="str">
        <f t="shared" si="30"/>
        <v/>
      </c>
      <c r="V164" s="25"/>
      <c r="W164" s="25"/>
      <c r="X164" s="25"/>
      <c r="Y164" s="25"/>
      <c r="Z164" s="25"/>
      <c r="AA164" s="26" t="str">
        <f t="shared" si="31"/>
        <v/>
      </c>
      <c r="AB164" s="25">
        <v>0.64400000000000002</v>
      </c>
      <c r="AC164" s="25">
        <v>0.56399999999999995</v>
      </c>
      <c r="AD164" s="25">
        <v>0.64500000000000002</v>
      </c>
      <c r="AE164" s="25">
        <v>0.64900000000000002</v>
      </c>
      <c r="AF164" s="25">
        <v>0.628</v>
      </c>
      <c r="AG164" s="26">
        <f t="shared" si="32"/>
        <v>0.626</v>
      </c>
      <c r="AH164" s="25" t="str">
        <f t="shared" si="33"/>
        <v/>
      </c>
      <c r="AI164" s="25">
        <f t="shared" si="34"/>
        <v>-9.3799999999999994E-2</v>
      </c>
    </row>
    <row r="165" spans="1:35" x14ac:dyDescent="0.25">
      <c r="A165" s="24" t="s">
        <v>133</v>
      </c>
      <c r="B165" s="25" t="s">
        <v>126</v>
      </c>
      <c r="C165" s="25">
        <v>0.4</v>
      </c>
      <c r="D165" s="25">
        <v>0.71499999999999997</v>
      </c>
      <c r="E165" s="25">
        <v>0.71</v>
      </c>
      <c r="F165" s="25">
        <v>0.70699999999999996</v>
      </c>
      <c r="G165" s="25">
        <v>0.70499999999999996</v>
      </c>
      <c r="H165" s="25">
        <v>0.70899999999999996</v>
      </c>
      <c r="I165" s="26">
        <f t="shared" ref="I165:I196" si="35">IFERROR(AVERAGE(D165:H165),"")</f>
        <v>0.70919999999999994</v>
      </c>
      <c r="J165" s="25">
        <v>0.71899999999999997</v>
      </c>
      <c r="K165" s="25">
        <v>0.72199999999999998</v>
      </c>
      <c r="L165" s="25">
        <v>0.71799999999999997</v>
      </c>
      <c r="M165" s="25">
        <v>0.69599999999999995</v>
      </c>
      <c r="N165" s="25">
        <v>0.71399999999999997</v>
      </c>
      <c r="O165" s="26">
        <f t="shared" ref="O165:O196" si="36">IFERROR(AVERAGE(J165:N165),"")</f>
        <v>0.71379999999999988</v>
      </c>
      <c r="P165" s="25"/>
      <c r="Q165" s="25"/>
      <c r="R165" s="25"/>
      <c r="S165" s="25"/>
      <c r="T165" s="25"/>
      <c r="U165" s="26" t="str">
        <f t="shared" ref="U165:U196" si="37">IFERROR(AVERAGE(P165:T165),"")</f>
        <v/>
      </c>
      <c r="V165" s="25"/>
      <c r="W165" s="25"/>
      <c r="X165" s="25"/>
      <c r="Y165" s="25"/>
      <c r="Z165" s="25"/>
      <c r="AA165" s="26" t="str">
        <f t="shared" ref="AA165:AA196" si="38">IFERROR(AVERAGE(V165:Z165),"")</f>
        <v/>
      </c>
      <c r="AB165" s="25">
        <v>0.59099999999999997</v>
      </c>
      <c r="AC165" s="25">
        <v>0.57499999999999996</v>
      </c>
      <c r="AD165" s="25">
        <v>0.58599999999999997</v>
      </c>
      <c r="AE165" s="25">
        <v>0.64500000000000002</v>
      </c>
      <c r="AF165" s="25">
        <v>0.59099999999999997</v>
      </c>
      <c r="AG165" s="26">
        <f t="shared" ref="AG165:AG196" si="39">IFERROR(AVERAGE(AB165:AF165),"")</f>
        <v>0.59759999999999991</v>
      </c>
      <c r="AH165" s="25" t="str">
        <f t="shared" ref="AH165:AH196" si="40">IFERROR(AG165-AA165,"")</f>
        <v/>
      </c>
      <c r="AI165" s="25">
        <f t="shared" ref="AI165:AI174" si="41">IFERROR(AG165-O165,"")</f>
        <v>-0.11619999999999997</v>
      </c>
    </row>
    <row r="166" spans="1:35" x14ac:dyDescent="0.25">
      <c r="A166" s="24" t="s">
        <v>133</v>
      </c>
      <c r="B166" s="25" t="s">
        <v>126</v>
      </c>
      <c r="C166" s="25">
        <v>0.5</v>
      </c>
      <c r="D166" s="25">
        <v>0.71099999999999997</v>
      </c>
      <c r="E166" s="25">
        <v>0.72099999999999997</v>
      </c>
      <c r="F166" s="25">
        <v>0.71099999999999997</v>
      </c>
      <c r="G166" s="25">
        <v>0.70599999999999996</v>
      </c>
      <c r="H166" s="25">
        <v>0.70199999999999996</v>
      </c>
      <c r="I166" s="26">
        <f t="shared" si="35"/>
        <v>0.71019999999999994</v>
      </c>
      <c r="J166" s="25">
        <v>0.70899999999999996</v>
      </c>
      <c r="K166" s="25">
        <v>0.71199999999999997</v>
      </c>
      <c r="L166" s="25">
        <v>0.71099999999999997</v>
      </c>
      <c r="M166" s="25">
        <v>0.71799999999999997</v>
      </c>
      <c r="N166" s="25">
        <v>0.72499999999999998</v>
      </c>
      <c r="O166" s="26">
        <f t="shared" si="36"/>
        <v>0.71499999999999997</v>
      </c>
      <c r="P166" s="25"/>
      <c r="Q166" s="25"/>
      <c r="R166" s="25"/>
      <c r="S166" s="25"/>
      <c r="T166" s="25"/>
      <c r="U166" s="26" t="str">
        <f t="shared" si="37"/>
        <v/>
      </c>
      <c r="V166" s="25"/>
      <c r="W166" s="25"/>
      <c r="X166" s="25"/>
      <c r="Y166" s="25"/>
      <c r="Z166" s="25"/>
      <c r="AA166" s="26" t="str">
        <f t="shared" si="38"/>
        <v/>
      </c>
      <c r="AB166" s="25">
        <v>0.61499999999999999</v>
      </c>
      <c r="AC166" s="25">
        <v>0.60099999999999998</v>
      </c>
      <c r="AD166" s="25">
        <v>0.63500000000000001</v>
      </c>
      <c r="AE166" s="25">
        <v>0.58899999999999997</v>
      </c>
      <c r="AF166" s="25">
        <v>0.58599999999999997</v>
      </c>
      <c r="AG166" s="26">
        <f t="shared" si="39"/>
        <v>0.60519999999999996</v>
      </c>
      <c r="AH166" s="25" t="str">
        <f t="shared" si="40"/>
        <v/>
      </c>
      <c r="AI166" s="25">
        <f t="shared" si="41"/>
        <v>-0.10980000000000001</v>
      </c>
    </row>
    <row r="167" spans="1:35" x14ac:dyDescent="0.25">
      <c r="A167" s="24" t="s">
        <v>133</v>
      </c>
      <c r="B167" s="25" t="s">
        <v>127</v>
      </c>
      <c r="C167" s="25">
        <v>0.2</v>
      </c>
      <c r="D167" s="25">
        <v>0.72</v>
      </c>
      <c r="E167" s="25">
        <v>0.72</v>
      </c>
      <c r="F167" s="25">
        <v>0.70799999999999996</v>
      </c>
      <c r="G167" s="25">
        <v>0.71</v>
      </c>
      <c r="H167" s="25">
        <v>0.69499999999999995</v>
      </c>
      <c r="I167" s="26">
        <f t="shared" si="35"/>
        <v>0.7105999999999999</v>
      </c>
      <c r="J167" s="25">
        <v>0.71499999999999997</v>
      </c>
      <c r="K167" s="25">
        <v>0.72199999999999998</v>
      </c>
      <c r="L167" s="25">
        <v>0.71</v>
      </c>
      <c r="M167" s="25">
        <v>0.7</v>
      </c>
      <c r="N167" s="25">
        <v>0.68600000000000005</v>
      </c>
      <c r="O167" s="26">
        <f t="shared" si="36"/>
        <v>0.70659999999999989</v>
      </c>
      <c r="P167" s="25">
        <v>0.64500000000000002</v>
      </c>
      <c r="Q167" s="25">
        <v>0.64500000000000002</v>
      </c>
      <c r="R167" s="25">
        <v>0.68300000000000005</v>
      </c>
      <c r="S167" s="25">
        <v>0.63400000000000001</v>
      </c>
      <c r="T167" s="25">
        <v>0.67500000000000004</v>
      </c>
      <c r="U167" s="26">
        <f t="shared" si="37"/>
        <v>0.65639999999999998</v>
      </c>
      <c r="V167" s="25">
        <v>0.55000000000000004</v>
      </c>
      <c r="W167" s="25">
        <v>0.52900000000000003</v>
      </c>
      <c r="X167" s="25">
        <v>0.63500000000000001</v>
      </c>
      <c r="Y167" s="25">
        <v>0.59799999999999998</v>
      </c>
      <c r="Z167" s="25">
        <v>0.54700000000000004</v>
      </c>
      <c r="AA167" s="26">
        <f t="shared" si="38"/>
        <v>0.57180000000000009</v>
      </c>
      <c r="AB167" s="25">
        <v>0.56999999999999995</v>
      </c>
      <c r="AC167" s="25">
        <v>0.56699999999999995</v>
      </c>
      <c r="AD167" s="25">
        <v>0.58899999999999997</v>
      </c>
      <c r="AE167" s="25">
        <v>0.58099999999999996</v>
      </c>
      <c r="AF167" s="25">
        <v>0.54600000000000004</v>
      </c>
      <c r="AG167" s="26">
        <f t="shared" si="39"/>
        <v>0.5706</v>
      </c>
      <c r="AH167" s="25">
        <f t="shared" si="40"/>
        <v>-1.2000000000000899E-3</v>
      </c>
      <c r="AI167" s="25">
        <f t="shared" si="41"/>
        <v>-0.1359999999999999</v>
      </c>
    </row>
    <row r="168" spans="1:35" x14ac:dyDescent="0.25">
      <c r="A168" s="24" t="s">
        <v>133</v>
      </c>
      <c r="B168" s="25" t="s">
        <v>127</v>
      </c>
      <c r="C168" s="25">
        <v>0.3</v>
      </c>
      <c r="D168" s="25">
        <v>0.69799999999999995</v>
      </c>
      <c r="E168" s="25">
        <v>0.69899999999999995</v>
      </c>
      <c r="F168" s="25">
        <v>0.69799999999999995</v>
      </c>
      <c r="G168" s="25">
        <v>0.69399999999999995</v>
      </c>
      <c r="H168" s="25">
        <v>0.7</v>
      </c>
      <c r="I168" s="26">
        <f t="shared" si="35"/>
        <v>0.69779999999999998</v>
      </c>
      <c r="J168" s="25">
        <v>0.69</v>
      </c>
      <c r="K168" s="25">
        <v>0.69199999999999995</v>
      </c>
      <c r="L168" s="25">
        <v>0.69799999999999995</v>
      </c>
      <c r="M168" s="25">
        <v>0.68899999999999995</v>
      </c>
      <c r="N168" s="25">
        <v>0.70399999999999996</v>
      </c>
      <c r="O168" s="26">
        <f t="shared" si="36"/>
        <v>0.6946</v>
      </c>
      <c r="P168" s="25">
        <v>0.67800000000000005</v>
      </c>
      <c r="Q168" s="25">
        <v>0.6</v>
      </c>
      <c r="R168" s="25">
        <v>0.61299999999999999</v>
      </c>
      <c r="S168" s="25">
        <v>0.63500000000000001</v>
      </c>
      <c r="T168" s="25">
        <v>0.61899999999999999</v>
      </c>
      <c r="U168" s="26">
        <f t="shared" si="37"/>
        <v>0.62899999999999989</v>
      </c>
      <c r="V168" s="25">
        <v>0.61499999999999999</v>
      </c>
      <c r="W168" s="25">
        <v>0.60399999999999998</v>
      </c>
      <c r="X168" s="25">
        <v>0.57399999999999995</v>
      </c>
      <c r="Y168" s="25">
        <v>0.58299999999999996</v>
      </c>
      <c r="Z168" s="25">
        <v>0.56799999999999995</v>
      </c>
      <c r="AA168" s="26">
        <f t="shared" si="38"/>
        <v>0.58879999999999988</v>
      </c>
      <c r="AB168" s="25">
        <v>0.61499999999999999</v>
      </c>
      <c r="AC168" s="25">
        <v>0.60399999999999998</v>
      </c>
      <c r="AD168" s="25">
        <v>0.57399999999999995</v>
      </c>
      <c r="AE168" s="25">
        <v>0.58299999999999996</v>
      </c>
      <c r="AF168" s="25">
        <v>0.56799999999999995</v>
      </c>
      <c r="AG168" s="26">
        <f t="shared" si="39"/>
        <v>0.58879999999999988</v>
      </c>
      <c r="AH168" s="25">
        <f t="shared" si="40"/>
        <v>0</v>
      </c>
      <c r="AI168" s="25">
        <f t="shared" si="41"/>
        <v>-0.10580000000000012</v>
      </c>
    </row>
    <row r="169" spans="1:35" x14ac:dyDescent="0.25">
      <c r="A169" s="24" t="s">
        <v>133</v>
      </c>
      <c r="B169" s="25" t="s">
        <v>127</v>
      </c>
      <c r="C169" s="25">
        <v>0.4</v>
      </c>
      <c r="D169" s="25">
        <v>0.70199999999999996</v>
      </c>
      <c r="E169" s="25">
        <v>0.67900000000000005</v>
      </c>
      <c r="F169" s="25">
        <v>0.69</v>
      </c>
      <c r="G169" s="25">
        <v>0.68300000000000005</v>
      </c>
      <c r="H169" s="25">
        <v>0.67100000000000004</v>
      </c>
      <c r="I169" s="26">
        <f t="shared" si="35"/>
        <v>0.68499999999999994</v>
      </c>
      <c r="J169" s="25">
        <v>0.69299999999999995</v>
      </c>
      <c r="K169" s="25">
        <v>0.66300000000000003</v>
      </c>
      <c r="L169" s="25">
        <v>0.68899999999999995</v>
      </c>
      <c r="M169" s="25">
        <v>0.66600000000000004</v>
      </c>
      <c r="N169" s="25">
        <v>0.65200000000000002</v>
      </c>
      <c r="O169" s="26">
        <f t="shared" si="36"/>
        <v>0.67259999999999998</v>
      </c>
      <c r="P169" s="25">
        <v>0.60699999999999998</v>
      </c>
      <c r="Q169" s="25">
        <v>0.58899999999999997</v>
      </c>
      <c r="R169" s="25">
        <v>0.61599999999999999</v>
      </c>
      <c r="S169" s="25">
        <v>0.61799999999999999</v>
      </c>
      <c r="T169" s="25">
        <v>0.60599999999999998</v>
      </c>
      <c r="U169" s="26">
        <f t="shared" si="37"/>
        <v>0.60719999999999996</v>
      </c>
      <c r="V169" s="25">
        <v>0.55400000000000005</v>
      </c>
      <c r="W169" s="25">
        <v>0.56000000000000005</v>
      </c>
      <c r="X169" s="25">
        <v>0.54700000000000004</v>
      </c>
      <c r="Y169" s="25">
        <v>0.61299999999999999</v>
      </c>
      <c r="Z169" s="25">
        <v>0.57899999999999996</v>
      </c>
      <c r="AA169" s="26">
        <f t="shared" si="38"/>
        <v>0.5706</v>
      </c>
      <c r="AB169" s="25">
        <v>0.55400000000000005</v>
      </c>
      <c r="AC169" s="25">
        <v>0.56000000000000005</v>
      </c>
      <c r="AD169" s="25">
        <v>0.54700000000000004</v>
      </c>
      <c r="AE169" s="25">
        <v>0.61299999999999999</v>
      </c>
      <c r="AF169" s="25">
        <v>0.57899999999999996</v>
      </c>
      <c r="AG169" s="26">
        <f t="shared" si="39"/>
        <v>0.5706</v>
      </c>
      <c r="AH169" s="25">
        <f t="shared" si="40"/>
        <v>0</v>
      </c>
      <c r="AI169" s="25">
        <f t="shared" si="41"/>
        <v>-0.10199999999999998</v>
      </c>
    </row>
    <row r="170" spans="1:35" x14ac:dyDescent="0.25">
      <c r="A170" s="24" t="s">
        <v>133</v>
      </c>
      <c r="B170" s="25" t="s">
        <v>127</v>
      </c>
      <c r="C170" s="25">
        <v>0.5</v>
      </c>
      <c r="D170" s="25">
        <v>0.48699999999999999</v>
      </c>
      <c r="E170" s="25">
        <v>0.50700000000000001</v>
      </c>
      <c r="F170" s="25">
        <v>0.48</v>
      </c>
      <c r="G170" s="25">
        <v>0.51400000000000001</v>
      </c>
      <c r="H170" s="25">
        <v>0.47299999999999998</v>
      </c>
      <c r="I170" s="26">
        <f t="shared" si="35"/>
        <v>0.49219999999999997</v>
      </c>
      <c r="J170" s="25">
        <v>0.499</v>
      </c>
      <c r="K170" s="25">
        <v>0.50800000000000001</v>
      </c>
      <c r="L170" s="25">
        <v>0.46899999999999997</v>
      </c>
      <c r="M170" s="25">
        <v>0.51200000000000001</v>
      </c>
      <c r="N170" s="25">
        <v>0.46500000000000002</v>
      </c>
      <c r="O170" s="26">
        <f t="shared" si="36"/>
        <v>0.49059999999999998</v>
      </c>
      <c r="P170" s="25">
        <v>0.51</v>
      </c>
      <c r="Q170" s="25">
        <v>0.47799999999999998</v>
      </c>
      <c r="R170" s="25">
        <v>0.47699999999999998</v>
      </c>
      <c r="S170" s="25">
        <v>0.52300000000000002</v>
      </c>
      <c r="T170" s="25">
        <v>0.48</v>
      </c>
      <c r="U170" s="26">
        <f t="shared" si="37"/>
        <v>0.49359999999999998</v>
      </c>
      <c r="V170" s="25">
        <v>0.51600000000000001</v>
      </c>
      <c r="W170" s="25">
        <v>0.46700000000000003</v>
      </c>
      <c r="X170" s="25">
        <v>0.46600000000000003</v>
      </c>
      <c r="Y170" s="25">
        <v>0.51600000000000001</v>
      </c>
      <c r="Z170" s="25">
        <v>0.48</v>
      </c>
      <c r="AA170" s="26">
        <f t="shared" si="38"/>
        <v>0.48900000000000005</v>
      </c>
      <c r="AB170" s="25">
        <v>0.51600000000000001</v>
      </c>
      <c r="AC170" s="25">
        <v>0.46700000000000003</v>
      </c>
      <c r="AD170" s="25">
        <v>0.46600000000000003</v>
      </c>
      <c r="AE170" s="25">
        <v>0.51600000000000001</v>
      </c>
      <c r="AF170" s="25">
        <v>0.48</v>
      </c>
      <c r="AG170" s="26">
        <f t="shared" si="39"/>
        <v>0.48900000000000005</v>
      </c>
      <c r="AH170" s="25">
        <f t="shared" si="40"/>
        <v>0</v>
      </c>
      <c r="AI170" s="25">
        <f t="shared" si="41"/>
        <v>-1.5999999999999348E-3</v>
      </c>
    </row>
    <row r="171" spans="1:35" x14ac:dyDescent="0.25">
      <c r="A171" s="24" t="s">
        <v>133</v>
      </c>
      <c r="B171" s="25" t="s">
        <v>128</v>
      </c>
      <c r="C171" s="25">
        <v>0.2</v>
      </c>
      <c r="D171" s="25">
        <v>0.68100000000000005</v>
      </c>
      <c r="E171" s="25">
        <v>0.70099999999999996</v>
      </c>
      <c r="F171" s="25">
        <v>0.68500000000000005</v>
      </c>
      <c r="G171" s="25">
        <v>0.68899999999999995</v>
      </c>
      <c r="H171" s="25">
        <v>0.68799999999999994</v>
      </c>
      <c r="I171" s="26">
        <f t="shared" si="35"/>
        <v>0.68879999999999997</v>
      </c>
      <c r="J171" s="25">
        <v>0.66</v>
      </c>
      <c r="K171" s="25">
        <v>0.69099999999999995</v>
      </c>
      <c r="L171" s="25">
        <v>0.68700000000000006</v>
      </c>
      <c r="M171" s="25">
        <v>0.67500000000000004</v>
      </c>
      <c r="N171" s="25">
        <v>0.66300000000000003</v>
      </c>
      <c r="O171" s="26">
        <f t="shared" si="36"/>
        <v>0.67520000000000002</v>
      </c>
      <c r="P171" s="25">
        <v>0.63200000000000001</v>
      </c>
      <c r="Q171" s="25">
        <v>0.69299999999999995</v>
      </c>
      <c r="R171" s="25">
        <v>0.68</v>
      </c>
      <c r="S171" s="25">
        <v>0.67300000000000004</v>
      </c>
      <c r="T171" s="25">
        <v>0.65200000000000002</v>
      </c>
      <c r="U171" s="26">
        <f t="shared" si="37"/>
        <v>0.66600000000000004</v>
      </c>
      <c r="V171" s="25">
        <v>0.625</v>
      </c>
      <c r="W171" s="25">
        <v>0.52500000000000002</v>
      </c>
      <c r="X171" s="25">
        <v>0.67</v>
      </c>
      <c r="Y171" s="25">
        <v>0.48499999999999999</v>
      </c>
      <c r="Z171" s="25">
        <v>0.54200000000000004</v>
      </c>
      <c r="AA171" s="26">
        <f t="shared" si="38"/>
        <v>0.56939999999999991</v>
      </c>
      <c r="AB171" s="25">
        <v>0.6</v>
      </c>
      <c r="AC171" s="25">
        <v>0.55600000000000005</v>
      </c>
      <c r="AD171" s="25">
        <v>0.59099999999999997</v>
      </c>
      <c r="AE171" s="25">
        <v>0.53500000000000003</v>
      </c>
      <c r="AF171" s="25">
        <v>0.54700000000000004</v>
      </c>
      <c r="AG171" s="26">
        <f t="shared" si="39"/>
        <v>0.56580000000000008</v>
      </c>
      <c r="AH171" s="25">
        <f t="shared" si="40"/>
        <v>-3.5999999999998256E-3</v>
      </c>
      <c r="AI171" s="25">
        <f t="shared" si="41"/>
        <v>-0.10939999999999994</v>
      </c>
    </row>
    <row r="172" spans="1:35" x14ac:dyDescent="0.25">
      <c r="A172" s="24" t="s">
        <v>133</v>
      </c>
      <c r="B172" s="25" t="s">
        <v>128</v>
      </c>
      <c r="C172" s="25">
        <v>0.3</v>
      </c>
      <c r="D172" s="25">
        <v>0.65700000000000003</v>
      </c>
      <c r="E172" s="25">
        <v>0.66600000000000004</v>
      </c>
      <c r="F172" s="25">
        <v>0.65300000000000002</v>
      </c>
      <c r="G172" s="25">
        <v>0.63800000000000001</v>
      </c>
      <c r="H172" s="25">
        <v>0.68300000000000005</v>
      </c>
      <c r="I172" s="26">
        <f t="shared" si="35"/>
        <v>0.65939999999999999</v>
      </c>
      <c r="J172" s="25">
        <v>0.63600000000000001</v>
      </c>
      <c r="K172" s="25">
        <v>0.66400000000000003</v>
      </c>
      <c r="L172" s="25">
        <v>0.64300000000000002</v>
      </c>
      <c r="M172" s="25">
        <v>0.628</v>
      </c>
      <c r="N172" s="25">
        <v>0.65900000000000003</v>
      </c>
      <c r="O172" s="26">
        <f t="shared" si="36"/>
        <v>0.64600000000000013</v>
      </c>
      <c r="P172" s="25">
        <v>0.61599999999999999</v>
      </c>
      <c r="Q172" s="25">
        <v>0.60699999999999998</v>
      </c>
      <c r="R172" s="25">
        <v>0.57399999999999995</v>
      </c>
      <c r="S172" s="25">
        <v>0.60399999999999998</v>
      </c>
      <c r="T172" s="25">
        <v>0.65500000000000003</v>
      </c>
      <c r="U172" s="26">
        <f t="shared" si="37"/>
        <v>0.61119999999999997</v>
      </c>
      <c r="V172" s="25">
        <v>0.59399999999999997</v>
      </c>
      <c r="W172" s="25">
        <v>0.58099999999999996</v>
      </c>
      <c r="X172" s="25">
        <v>0.54100000000000004</v>
      </c>
      <c r="Y172" s="25">
        <v>0.58899999999999997</v>
      </c>
      <c r="Z172" s="25">
        <v>0.6</v>
      </c>
      <c r="AA172" s="26">
        <f t="shared" si="38"/>
        <v>0.58099999999999996</v>
      </c>
      <c r="AB172" s="25">
        <v>0.59399999999999997</v>
      </c>
      <c r="AC172" s="25">
        <v>0.58099999999999996</v>
      </c>
      <c r="AD172" s="25">
        <v>0.54100000000000004</v>
      </c>
      <c r="AE172" s="25">
        <v>0.58899999999999997</v>
      </c>
      <c r="AF172" s="25">
        <v>0.6</v>
      </c>
      <c r="AG172" s="26">
        <f t="shared" si="39"/>
        <v>0.58099999999999996</v>
      </c>
      <c r="AH172" s="25">
        <f t="shared" si="40"/>
        <v>0</v>
      </c>
      <c r="AI172" s="25">
        <f t="shared" si="41"/>
        <v>-6.5000000000000169E-2</v>
      </c>
    </row>
    <row r="173" spans="1:35" x14ac:dyDescent="0.25">
      <c r="A173" s="24" t="s">
        <v>133</v>
      </c>
      <c r="B173" s="25" t="s">
        <v>128</v>
      </c>
      <c r="C173" s="25">
        <v>0.4</v>
      </c>
      <c r="D173" s="25">
        <v>0.60799999999999998</v>
      </c>
      <c r="E173" s="25">
        <v>0.55800000000000005</v>
      </c>
      <c r="F173" s="25">
        <v>0.55800000000000005</v>
      </c>
      <c r="G173" s="25">
        <v>0.56200000000000006</v>
      </c>
      <c r="H173" s="25">
        <v>0.61299999999999999</v>
      </c>
      <c r="I173" s="26">
        <f t="shared" si="35"/>
        <v>0.57979999999999998</v>
      </c>
      <c r="J173" s="25">
        <v>0.625</v>
      </c>
      <c r="K173" s="25">
        <v>0.57099999999999995</v>
      </c>
      <c r="L173" s="25">
        <v>0.56399999999999995</v>
      </c>
      <c r="M173" s="25">
        <v>0.57399999999999995</v>
      </c>
      <c r="N173" s="25">
        <v>0.61499999999999999</v>
      </c>
      <c r="O173" s="26">
        <f t="shared" si="36"/>
        <v>0.58979999999999999</v>
      </c>
      <c r="P173" s="25">
        <v>0.58899999999999997</v>
      </c>
      <c r="Q173" s="25">
        <v>0.54400000000000004</v>
      </c>
      <c r="R173" s="25">
        <v>0.54600000000000004</v>
      </c>
      <c r="S173" s="25">
        <v>0.52800000000000002</v>
      </c>
      <c r="T173" s="25">
        <v>0.56599999999999995</v>
      </c>
      <c r="U173" s="26">
        <f t="shared" si="37"/>
        <v>0.55459999999999998</v>
      </c>
      <c r="V173" s="25">
        <v>0.56100000000000005</v>
      </c>
      <c r="W173" s="25">
        <v>0.55700000000000005</v>
      </c>
      <c r="X173" s="25">
        <v>0.51</v>
      </c>
      <c r="Y173" s="25">
        <v>0.52700000000000002</v>
      </c>
      <c r="Z173" s="25">
        <v>0.55100000000000005</v>
      </c>
      <c r="AA173" s="26">
        <f t="shared" si="38"/>
        <v>0.54120000000000013</v>
      </c>
      <c r="AB173" s="25">
        <v>0.56100000000000005</v>
      </c>
      <c r="AC173" s="25">
        <v>0.55700000000000005</v>
      </c>
      <c r="AD173" s="25">
        <v>0.51</v>
      </c>
      <c r="AE173" s="25">
        <v>0.52700000000000002</v>
      </c>
      <c r="AF173" s="25">
        <v>0.55100000000000005</v>
      </c>
      <c r="AG173" s="26">
        <f t="shared" si="39"/>
        <v>0.54120000000000013</v>
      </c>
      <c r="AH173" s="25">
        <f t="shared" si="40"/>
        <v>0</v>
      </c>
      <c r="AI173" s="25">
        <f t="shared" si="41"/>
        <v>-4.8599999999999866E-2</v>
      </c>
    </row>
    <row r="174" spans="1:35" x14ac:dyDescent="0.25">
      <c r="A174" s="24" t="s">
        <v>133</v>
      </c>
      <c r="B174" s="25" t="s">
        <v>128</v>
      </c>
      <c r="C174" s="25">
        <v>0.5</v>
      </c>
      <c r="D174" s="25">
        <v>0.45800000000000002</v>
      </c>
      <c r="E174" s="25">
        <v>0.52200000000000002</v>
      </c>
      <c r="F174" s="25">
        <v>0.49399999999999999</v>
      </c>
      <c r="G174" s="25">
        <v>0.505</v>
      </c>
      <c r="H174" s="25">
        <v>0.51100000000000001</v>
      </c>
      <c r="I174" s="26">
        <f t="shared" si="35"/>
        <v>0.49800000000000005</v>
      </c>
      <c r="J174" s="25">
        <v>0.48</v>
      </c>
      <c r="K174" s="25">
        <v>0.52200000000000002</v>
      </c>
      <c r="L174" s="25">
        <v>0.47799999999999998</v>
      </c>
      <c r="M174" s="25">
        <v>0.501</v>
      </c>
      <c r="N174" s="25">
        <v>0.504</v>
      </c>
      <c r="O174" s="26">
        <f t="shared" si="36"/>
        <v>0.497</v>
      </c>
      <c r="P174" s="25">
        <v>0.45200000000000001</v>
      </c>
      <c r="Q174" s="25">
        <v>0.52400000000000002</v>
      </c>
      <c r="R174" s="25">
        <v>0.49199999999999999</v>
      </c>
      <c r="S174" s="25">
        <v>0.49</v>
      </c>
      <c r="T174" s="25">
        <v>0.51</v>
      </c>
      <c r="U174" s="26">
        <f t="shared" si="37"/>
        <v>0.49359999999999998</v>
      </c>
      <c r="V174" s="25">
        <v>0.44900000000000001</v>
      </c>
      <c r="W174" s="25">
        <v>0.51600000000000001</v>
      </c>
      <c r="X174" s="25">
        <v>0.47899999999999998</v>
      </c>
      <c r="Y174" s="25">
        <v>0.49299999999999999</v>
      </c>
      <c r="Z174" s="25">
        <v>0.497</v>
      </c>
      <c r="AA174" s="26">
        <f t="shared" si="38"/>
        <v>0.48679999999999995</v>
      </c>
      <c r="AB174" s="25">
        <v>0.44900000000000001</v>
      </c>
      <c r="AC174" s="25">
        <v>0.51600000000000001</v>
      </c>
      <c r="AD174" s="25">
        <v>0.47899999999999998</v>
      </c>
      <c r="AE174" s="25">
        <v>0.49299999999999999</v>
      </c>
      <c r="AF174" s="25">
        <v>0.497</v>
      </c>
      <c r="AG174" s="26">
        <f t="shared" si="39"/>
        <v>0.48679999999999995</v>
      </c>
      <c r="AH174" s="25">
        <f t="shared" si="40"/>
        <v>0</v>
      </c>
      <c r="AI174" s="25">
        <f t="shared" si="41"/>
        <v>-1.0200000000000042E-2</v>
      </c>
    </row>
    <row r="176" spans="1:35" ht="17.25" customHeight="1" x14ac:dyDescent="0.3">
      <c r="A176" s="21" t="s">
        <v>182</v>
      </c>
    </row>
    <row r="177" spans="1:8" x14ac:dyDescent="0.25">
      <c r="A177" s="27" t="s">
        <v>108</v>
      </c>
      <c r="B177" s="27" t="s">
        <v>109</v>
      </c>
      <c r="C177" s="27" t="s">
        <v>183</v>
      </c>
      <c r="D177" s="27" t="s">
        <v>184</v>
      </c>
      <c r="E177" s="27" t="s">
        <v>185</v>
      </c>
      <c r="F177" s="27" t="s">
        <v>186</v>
      </c>
      <c r="G177" s="27" t="s">
        <v>187</v>
      </c>
      <c r="H177" s="27" t="s">
        <v>180</v>
      </c>
    </row>
    <row r="178" spans="1:8" x14ac:dyDescent="0.25">
      <c r="A178" s="24" t="s">
        <v>124</v>
      </c>
      <c r="B178" s="25">
        <v>0</v>
      </c>
      <c r="C178" s="25">
        <f t="shared" ref="C178:C194" si="42">IFERROR(AVERAGEIFS($I$5:$I$174,$B$5:$B$174,$A178,$C$5:$C$174,$B178),"")</f>
        <v>0.82224000000000008</v>
      </c>
      <c r="D178" s="25">
        <f t="shared" ref="D178:D194" si="43">IFERROR(AVERAGEIFS($O$5:$O$174,$B$5:$B$174,$A178,$C$5:$C$174,$B178),"")</f>
        <v>0.83099999999999985</v>
      </c>
      <c r="E178" s="25">
        <f t="shared" ref="E178:E194" si="44">IFERROR(AVERAGEIFS($U$5:$U$174,$B$5:$B$174,$A178,$C$5:$C$174,$B178),"")</f>
        <v>0.82822857142857143</v>
      </c>
      <c r="F178" s="25">
        <f t="shared" ref="F178:F194" si="45">IFERROR(AVERAGEIFS($AA$5:$AA$174,$B$5:$B$174,$A178,$C$5:$C$174,$B178),"")</f>
        <v>0.83485714285714274</v>
      </c>
      <c r="G178" s="25">
        <f t="shared" ref="G178:G194" si="46">IFERROR(AVERAGEIFS($AG$5:$AG$174,$B$5:$B$174,$A178,$C$5:$C$174,$B178),"")</f>
        <v>0.76795999999999998</v>
      </c>
      <c r="H178" s="25">
        <f t="shared" ref="H178:H194" si="47">IFERROR(G178-F178,"")</f>
        <v>-6.6897142857142766E-2</v>
      </c>
    </row>
    <row r="179" spans="1:8" x14ac:dyDescent="0.25">
      <c r="A179" s="24" t="s">
        <v>125</v>
      </c>
      <c r="B179" s="25">
        <v>0.2</v>
      </c>
      <c r="C179" s="25">
        <f t="shared" si="42"/>
        <v>0.77533999999999992</v>
      </c>
      <c r="D179" s="25">
        <f t="shared" si="43"/>
        <v>0.79166000000000003</v>
      </c>
      <c r="E179" s="25">
        <f t="shared" si="44"/>
        <v>0.76258000000000004</v>
      </c>
      <c r="F179" s="25">
        <f t="shared" si="45"/>
        <v>0.75546000000000002</v>
      </c>
      <c r="G179" s="25">
        <f t="shared" si="46"/>
        <v>0.75546000000000002</v>
      </c>
      <c r="H179" s="25">
        <f t="shared" si="47"/>
        <v>0</v>
      </c>
    </row>
    <row r="180" spans="1:8" x14ac:dyDescent="0.25">
      <c r="A180" s="24" t="s">
        <v>125</v>
      </c>
      <c r="B180" s="25">
        <v>0.3</v>
      </c>
      <c r="C180" s="25">
        <f t="shared" si="42"/>
        <v>0.73401999999999989</v>
      </c>
      <c r="D180" s="25">
        <f t="shared" si="43"/>
        <v>0.75531999999999999</v>
      </c>
      <c r="E180" s="25">
        <f t="shared" si="44"/>
        <v>0.68921999999999994</v>
      </c>
      <c r="F180" s="25">
        <f t="shared" si="45"/>
        <v>0.71242000000000005</v>
      </c>
      <c r="G180" s="25">
        <f t="shared" si="46"/>
        <v>0.71242000000000005</v>
      </c>
      <c r="H180" s="25">
        <f t="shared" si="47"/>
        <v>0</v>
      </c>
    </row>
    <row r="181" spans="1:8" x14ac:dyDescent="0.25">
      <c r="A181" s="24" t="s">
        <v>125</v>
      </c>
      <c r="B181" s="25">
        <v>0.4</v>
      </c>
      <c r="C181" s="25">
        <f t="shared" si="42"/>
        <v>0.6607599999999999</v>
      </c>
      <c r="D181" s="25">
        <f t="shared" si="43"/>
        <v>0.67659999999999998</v>
      </c>
      <c r="E181" s="25">
        <f t="shared" si="44"/>
        <v>0.62674000000000007</v>
      </c>
      <c r="F181" s="25">
        <f t="shared" si="45"/>
        <v>0.65012000000000003</v>
      </c>
      <c r="G181" s="25">
        <f t="shared" si="46"/>
        <v>0.65012000000000003</v>
      </c>
      <c r="H181" s="25">
        <f t="shared" si="47"/>
        <v>0</v>
      </c>
    </row>
    <row r="182" spans="1:8" x14ac:dyDescent="0.25">
      <c r="A182" s="24" t="s">
        <v>125</v>
      </c>
      <c r="B182" s="25">
        <v>0.5</v>
      </c>
      <c r="C182" s="25">
        <f t="shared" si="42"/>
        <v>0.48850000000000005</v>
      </c>
      <c r="D182" s="25">
        <f t="shared" si="43"/>
        <v>0.50273999999999996</v>
      </c>
      <c r="E182" s="25">
        <f t="shared" si="44"/>
        <v>0.49192000000000002</v>
      </c>
      <c r="F182" s="25">
        <f t="shared" si="45"/>
        <v>0.50379999999999991</v>
      </c>
      <c r="G182" s="25">
        <f t="shared" si="46"/>
        <v>0.50379999999999991</v>
      </c>
      <c r="H182" s="25">
        <f t="shared" si="47"/>
        <v>0</v>
      </c>
    </row>
    <row r="183" spans="1:8" x14ac:dyDescent="0.25">
      <c r="A183" s="24" t="s">
        <v>126</v>
      </c>
      <c r="B183" s="25">
        <v>0.2</v>
      </c>
      <c r="C183" s="25">
        <f t="shared" si="42"/>
        <v>0.77806000000000008</v>
      </c>
      <c r="D183" s="25">
        <f t="shared" si="43"/>
        <v>0.78400000000000003</v>
      </c>
      <c r="E183" s="25">
        <f t="shared" si="44"/>
        <v>0.75053333333333327</v>
      </c>
      <c r="F183" s="25">
        <f t="shared" si="45"/>
        <v>0.74190000000000011</v>
      </c>
      <c r="G183" s="25">
        <f t="shared" si="46"/>
        <v>0.73665999999999987</v>
      </c>
      <c r="H183" s="25">
        <f t="shared" si="47"/>
        <v>-5.2400000000002445E-3</v>
      </c>
    </row>
    <row r="184" spans="1:8" x14ac:dyDescent="0.25">
      <c r="A184" s="24" t="s">
        <v>126</v>
      </c>
      <c r="B184" s="25">
        <v>0.3</v>
      </c>
      <c r="C184" s="25">
        <f t="shared" si="42"/>
        <v>0.75248000000000004</v>
      </c>
      <c r="D184" s="25">
        <f t="shared" si="43"/>
        <v>0.75962000000000018</v>
      </c>
      <c r="E184" s="25">
        <f t="shared" si="44"/>
        <v>0.68156666666666654</v>
      </c>
      <c r="F184" s="25">
        <f t="shared" si="45"/>
        <v>0.66720000000000013</v>
      </c>
      <c r="G184" s="25">
        <f t="shared" si="46"/>
        <v>0.69452000000000014</v>
      </c>
      <c r="H184" s="25">
        <f t="shared" si="47"/>
        <v>2.7320000000000011E-2</v>
      </c>
    </row>
    <row r="185" spans="1:8" x14ac:dyDescent="0.25">
      <c r="A185" s="24" t="s">
        <v>126</v>
      </c>
      <c r="B185" s="25">
        <v>0.4</v>
      </c>
      <c r="C185" s="25">
        <f t="shared" si="42"/>
        <v>0.70882000000000001</v>
      </c>
      <c r="D185" s="25">
        <f t="shared" si="43"/>
        <v>0.70754000000000006</v>
      </c>
      <c r="E185" s="25">
        <f t="shared" si="44"/>
        <v>0.61333333333333329</v>
      </c>
      <c r="F185" s="25">
        <f t="shared" si="45"/>
        <v>0.59049999999999991</v>
      </c>
      <c r="G185" s="25">
        <f t="shared" si="46"/>
        <v>0.65521999999999991</v>
      </c>
      <c r="H185" s="25">
        <f t="shared" si="47"/>
        <v>6.472E-2</v>
      </c>
    </row>
    <row r="186" spans="1:8" x14ac:dyDescent="0.25">
      <c r="A186" s="24" t="s">
        <v>126</v>
      </c>
      <c r="B186" s="25">
        <v>0.5</v>
      </c>
      <c r="C186" s="25">
        <f t="shared" si="42"/>
        <v>0.64396000000000009</v>
      </c>
      <c r="D186" s="25">
        <f t="shared" si="43"/>
        <v>0.6488600000000001</v>
      </c>
      <c r="E186" s="25">
        <f t="shared" si="44"/>
        <v>0.43079999999999996</v>
      </c>
      <c r="F186" s="25">
        <f t="shared" si="45"/>
        <v>0.36699999999999999</v>
      </c>
      <c r="G186" s="25">
        <f t="shared" si="46"/>
        <v>0.69568000000000008</v>
      </c>
      <c r="H186" s="25">
        <f t="shared" si="47"/>
        <v>0.32868000000000008</v>
      </c>
    </row>
    <row r="187" spans="1:8" x14ac:dyDescent="0.25">
      <c r="A187" s="24" t="s">
        <v>127</v>
      </c>
      <c r="B187" s="25">
        <v>0.2</v>
      </c>
      <c r="C187" s="25">
        <f t="shared" si="42"/>
        <v>0.79512000000000005</v>
      </c>
      <c r="D187" s="25">
        <f t="shared" si="43"/>
        <v>0.81258000000000019</v>
      </c>
      <c r="E187" s="25">
        <f t="shared" si="44"/>
        <v>0.77460000000000007</v>
      </c>
      <c r="F187" s="25">
        <f t="shared" si="45"/>
        <v>0.74613999999999991</v>
      </c>
      <c r="G187" s="25">
        <f t="shared" si="46"/>
        <v>0.74339999999999995</v>
      </c>
      <c r="H187" s="25">
        <f t="shared" si="47"/>
        <v>-2.7399999999999647E-3</v>
      </c>
    </row>
    <row r="188" spans="1:8" x14ac:dyDescent="0.25">
      <c r="A188" s="24" t="s">
        <v>127</v>
      </c>
      <c r="B188" s="25">
        <v>0.3</v>
      </c>
      <c r="C188" s="25">
        <f t="shared" si="42"/>
        <v>0.7557799999999999</v>
      </c>
      <c r="D188" s="25">
        <f t="shared" si="43"/>
        <v>0.7730800000000001</v>
      </c>
      <c r="E188" s="25">
        <f t="shared" si="44"/>
        <v>0.70335999999999987</v>
      </c>
      <c r="F188" s="25">
        <f t="shared" si="45"/>
        <v>0.7033600000000001</v>
      </c>
      <c r="G188" s="25">
        <f t="shared" si="46"/>
        <v>0.70385999999999993</v>
      </c>
      <c r="H188" s="25">
        <f t="shared" si="47"/>
        <v>4.9999999999983391E-4</v>
      </c>
    </row>
    <row r="189" spans="1:8" x14ac:dyDescent="0.25">
      <c r="A189" s="24" t="s">
        <v>127</v>
      </c>
      <c r="B189" s="25">
        <v>0.4</v>
      </c>
      <c r="C189" s="25">
        <f t="shared" si="42"/>
        <v>0.70167999999999997</v>
      </c>
      <c r="D189" s="25">
        <f t="shared" si="43"/>
        <v>0.71382000000000001</v>
      </c>
      <c r="E189" s="25">
        <f t="shared" si="44"/>
        <v>0.64216000000000006</v>
      </c>
      <c r="F189" s="25">
        <f t="shared" si="45"/>
        <v>0.64490000000000003</v>
      </c>
      <c r="G189" s="25">
        <f t="shared" si="46"/>
        <v>0.64490000000000003</v>
      </c>
      <c r="H189" s="25">
        <f t="shared" si="47"/>
        <v>0</v>
      </c>
    </row>
    <row r="190" spans="1:8" x14ac:dyDescent="0.25">
      <c r="A190" s="24" t="s">
        <v>127</v>
      </c>
      <c r="B190" s="25">
        <v>0.5</v>
      </c>
      <c r="C190" s="25">
        <f t="shared" si="42"/>
        <v>0.49743999999999994</v>
      </c>
      <c r="D190" s="25">
        <f t="shared" si="43"/>
        <v>0.50846000000000002</v>
      </c>
      <c r="E190" s="25">
        <f t="shared" si="44"/>
        <v>0.49074000000000001</v>
      </c>
      <c r="F190" s="25">
        <f t="shared" si="45"/>
        <v>0.49909999999999999</v>
      </c>
      <c r="G190" s="25">
        <f t="shared" si="46"/>
        <v>0.49909999999999999</v>
      </c>
      <c r="H190" s="25">
        <f t="shared" si="47"/>
        <v>0</v>
      </c>
    </row>
    <row r="191" spans="1:8" x14ac:dyDescent="0.25">
      <c r="A191" s="24" t="s">
        <v>128</v>
      </c>
      <c r="B191" s="25">
        <v>0.2</v>
      </c>
      <c r="C191" s="25">
        <f t="shared" si="42"/>
        <v>0.74065999999999999</v>
      </c>
      <c r="D191" s="25">
        <f t="shared" si="43"/>
        <v>0.76837999999999995</v>
      </c>
      <c r="E191" s="25">
        <f t="shared" si="44"/>
        <v>0.6855</v>
      </c>
      <c r="F191" s="25">
        <f t="shared" si="45"/>
        <v>0.69403999999999999</v>
      </c>
      <c r="G191" s="25">
        <f t="shared" si="46"/>
        <v>0.69775999999999994</v>
      </c>
      <c r="H191" s="25">
        <f t="shared" si="47"/>
        <v>3.7199999999999456E-3</v>
      </c>
    </row>
    <row r="192" spans="1:8" x14ac:dyDescent="0.25">
      <c r="A192" s="24" t="s">
        <v>128</v>
      </c>
      <c r="B192" s="25">
        <v>0.3</v>
      </c>
      <c r="C192" s="25">
        <f t="shared" si="42"/>
        <v>0.69812000000000007</v>
      </c>
      <c r="D192" s="25">
        <f t="shared" si="43"/>
        <v>0.73704000000000003</v>
      </c>
      <c r="E192" s="25">
        <f t="shared" si="44"/>
        <v>0.64998</v>
      </c>
      <c r="F192" s="25">
        <f t="shared" si="45"/>
        <v>0.68399999999999994</v>
      </c>
      <c r="G192" s="25">
        <f t="shared" si="46"/>
        <v>0.68399999999999994</v>
      </c>
      <c r="H192" s="25">
        <f t="shared" si="47"/>
        <v>0</v>
      </c>
    </row>
    <row r="193" spans="1:8" x14ac:dyDescent="0.25">
      <c r="A193" s="24" t="s">
        <v>128</v>
      </c>
      <c r="B193" s="25">
        <v>0.4</v>
      </c>
      <c r="C193" s="25">
        <f t="shared" si="42"/>
        <v>0.62803999999999993</v>
      </c>
      <c r="D193" s="25">
        <f t="shared" si="43"/>
        <v>0.66818000000000011</v>
      </c>
      <c r="E193" s="25">
        <f t="shared" si="44"/>
        <v>0.58767999999999998</v>
      </c>
      <c r="F193" s="25">
        <f t="shared" si="45"/>
        <v>0.61341999999999997</v>
      </c>
      <c r="G193" s="25">
        <f t="shared" si="46"/>
        <v>0.61341999999999997</v>
      </c>
      <c r="H193" s="25">
        <f t="shared" si="47"/>
        <v>0</v>
      </c>
    </row>
    <row r="194" spans="1:8" x14ac:dyDescent="0.25">
      <c r="A194" s="24" t="s">
        <v>128</v>
      </c>
      <c r="B194" s="25">
        <v>0.5</v>
      </c>
      <c r="C194" s="25">
        <f t="shared" si="42"/>
        <v>0.49562</v>
      </c>
      <c r="D194" s="25">
        <f t="shared" si="43"/>
        <v>0.49325999999999998</v>
      </c>
      <c r="E194" s="25">
        <f t="shared" si="44"/>
        <v>0.49498000000000009</v>
      </c>
      <c r="F194" s="25">
        <f t="shared" si="45"/>
        <v>0.49149999999999994</v>
      </c>
      <c r="G194" s="25">
        <f t="shared" si="46"/>
        <v>0.49149999999999994</v>
      </c>
      <c r="H194" s="25">
        <f t="shared" si="47"/>
        <v>0</v>
      </c>
    </row>
    <row r="195" spans="1:8" x14ac:dyDescent="0.25">
      <c r="A195" s="28" t="s">
        <v>142</v>
      </c>
      <c r="B195" s="29"/>
      <c r="C195" s="26">
        <f t="shared" ref="C195:H195" si="48">AVERAGE(C178:C194)</f>
        <v>0.6868611764705882</v>
      </c>
      <c r="D195" s="26">
        <f t="shared" si="48"/>
        <v>0.70189058823529404</v>
      </c>
      <c r="E195" s="26">
        <f t="shared" si="48"/>
        <v>0.64140717086834731</v>
      </c>
      <c r="F195" s="26">
        <f t="shared" si="48"/>
        <v>0.64115983193277293</v>
      </c>
      <c r="G195" s="26">
        <f t="shared" si="48"/>
        <v>0.66175176470588237</v>
      </c>
      <c r="H195" s="26">
        <f t="shared" si="48"/>
        <v>2.059193277310923E-2</v>
      </c>
    </row>
    <row r="197" spans="1:8" x14ac:dyDescent="0.25">
      <c r="A197" s="22" t="s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97"/>
  <sheetViews>
    <sheetView workbookViewId="0">
      <pane xSplit="3" ySplit="4" topLeftCell="AL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1" customWidth="1"/>
    <col min="3" max="35" width="8.85546875" customWidth="1"/>
  </cols>
  <sheetData>
    <row r="1" spans="1:35" ht="17.25" customHeight="1" x14ac:dyDescent="0.3">
      <c r="A1" s="21" t="s">
        <v>189</v>
      </c>
    </row>
    <row r="2" spans="1:35" x14ac:dyDescent="0.25">
      <c r="A2" s="22" t="s">
        <v>190</v>
      </c>
    </row>
    <row r="3" spans="1:35" x14ac:dyDescent="0.25">
      <c r="A3" s="22" t="s">
        <v>149</v>
      </c>
    </row>
    <row r="4" spans="1:35" x14ac:dyDescent="0.25">
      <c r="A4" s="23" t="s">
        <v>107</v>
      </c>
      <c r="B4" s="23" t="s">
        <v>108</v>
      </c>
      <c r="C4" s="23" t="s">
        <v>109</v>
      </c>
      <c r="D4" s="23" t="s">
        <v>150</v>
      </c>
      <c r="E4" s="23" t="s">
        <v>151</v>
      </c>
      <c r="F4" s="23" t="s">
        <v>152</v>
      </c>
      <c r="G4" s="23" t="s">
        <v>153</v>
      </c>
      <c r="H4" s="23" t="s">
        <v>154</v>
      </c>
      <c r="I4" s="23" t="s">
        <v>155</v>
      </c>
      <c r="J4" s="23" t="s">
        <v>156</v>
      </c>
      <c r="K4" s="23" t="s">
        <v>157</v>
      </c>
      <c r="L4" s="23" t="s">
        <v>158</v>
      </c>
      <c r="M4" s="23" t="s">
        <v>159</v>
      </c>
      <c r="N4" s="23" t="s">
        <v>160</v>
      </c>
      <c r="O4" s="23" t="s">
        <v>161</v>
      </c>
      <c r="P4" s="23" t="s">
        <v>191</v>
      </c>
      <c r="Q4" s="23" t="s">
        <v>192</v>
      </c>
      <c r="R4" s="23" t="s">
        <v>193</v>
      </c>
      <c r="S4" s="23" t="s">
        <v>194</v>
      </c>
      <c r="T4" s="23" t="s">
        <v>195</v>
      </c>
      <c r="U4" s="23" t="s">
        <v>196</v>
      </c>
      <c r="V4" s="23" t="s">
        <v>197</v>
      </c>
      <c r="W4" s="23" t="s">
        <v>198</v>
      </c>
      <c r="X4" s="23" t="s">
        <v>199</v>
      </c>
      <c r="Y4" s="23" t="s">
        <v>200</v>
      </c>
      <c r="Z4" s="23" t="s">
        <v>201</v>
      </c>
      <c r="AA4" s="23" t="s">
        <v>202</v>
      </c>
      <c r="AB4" s="23" t="s">
        <v>203</v>
      </c>
      <c r="AC4" s="23" t="s">
        <v>204</v>
      </c>
      <c r="AD4" s="23" t="s">
        <v>205</v>
      </c>
      <c r="AE4" s="23" t="s">
        <v>206</v>
      </c>
      <c r="AF4" s="23" t="s">
        <v>207</v>
      </c>
      <c r="AG4" s="23" t="s">
        <v>208</v>
      </c>
      <c r="AH4" s="23" t="s">
        <v>209</v>
      </c>
      <c r="AI4" s="23" t="s">
        <v>181</v>
      </c>
    </row>
    <row r="5" spans="1:35" x14ac:dyDescent="0.25">
      <c r="A5" s="24" t="s">
        <v>130</v>
      </c>
      <c r="B5" s="25" t="s">
        <v>124</v>
      </c>
      <c r="C5" s="25">
        <v>0</v>
      </c>
      <c r="D5" s="25">
        <v>0.94799999999999995</v>
      </c>
      <c r="E5" s="25">
        <v>0.94399999999999995</v>
      </c>
      <c r="F5" s="25">
        <v>0.93899999999999995</v>
      </c>
      <c r="G5" s="25">
        <v>0.94399999999999995</v>
      </c>
      <c r="H5" s="25">
        <v>0.92500000000000004</v>
      </c>
      <c r="I5" s="26">
        <f t="shared" ref="I5:I36" si="0">IFERROR(AVERAGE(D5:H5),"")</f>
        <v>0.94000000000000006</v>
      </c>
      <c r="J5" s="25">
        <v>0.95</v>
      </c>
      <c r="K5" s="25">
        <v>0.95</v>
      </c>
      <c r="L5" s="25">
        <v>0.94599999999999995</v>
      </c>
      <c r="M5" s="25">
        <v>0.95099999999999996</v>
      </c>
      <c r="N5" s="25">
        <v>0.94399999999999995</v>
      </c>
      <c r="O5" s="26">
        <f t="shared" ref="O5:O36" si="1">IFERROR(AVERAGE(J5:N5),"")</f>
        <v>0.94819999999999993</v>
      </c>
      <c r="P5" s="25">
        <v>0.73399999999999999</v>
      </c>
      <c r="Q5" s="25">
        <v>0.74299999999999999</v>
      </c>
      <c r="R5" s="25">
        <v>0.70699999999999996</v>
      </c>
      <c r="S5" s="25">
        <v>0.745</v>
      </c>
      <c r="T5" s="25">
        <v>0.77300000000000002</v>
      </c>
      <c r="U5" s="26">
        <f t="shared" ref="U5:U36" si="2">IFERROR(AVERAGE(P5:T5),"")</f>
        <v>0.74039999999999995</v>
      </c>
      <c r="V5" s="25">
        <v>0.71899999999999997</v>
      </c>
      <c r="W5" s="25">
        <v>0.91300000000000003</v>
      </c>
      <c r="X5" s="25">
        <v>0.69599999999999995</v>
      </c>
      <c r="Y5" s="25">
        <v>0.95</v>
      </c>
      <c r="Z5" s="25">
        <v>0.94299999999999995</v>
      </c>
      <c r="AA5" s="26">
        <f t="shared" ref="AA5:AA36" si="3">IFERROR(AVERAGE(V5:Z5),"")</f>
        <v>0.84420000000000006</v>
      </c>
      <c r="AB5" s="25">
        <v>0.71899999999999997</v>
      </c>
      <c r="AC5" s="25">
        <v>0.91300000000000003</v>
      </c>
      <c r="AD5" s="25">
        <v>0.69599999999999995</v>
      </c>
      <c r="AE5" s="25">
        <v>0.95</v>
      </c>
      <c r="AF5" s="25">
        <v>0.94299999999999995</v>
      </c>
      <c r="AG5" s="26">
        <f t="shared" ref="AG5:AG36" si="4">IFERROR(AVERAGE(AB5:AF5),"")</f>
        <v>0.84420000000000006</v>
      </c>
      <c r="AH5" s="25">
        <f t="shared" ref="AH5:AH36" si="5">IFERROR(AG5-AA5,"")</f>
        <v>0</v>
      </c>
      <c r="AI5" s="25">
        <f t="shared" ref="AI5:AI36" si="6">IFERROR(AG5-O5,"")</f>
        <v>-0.10399999999999987</v>
      </c>
    </row>
    <row r="6" spans="1:35" x14ac:dyDescent="0.25">
      <c r="A6" s="24" t="s">
        <v>130</v>
      </c>
      <c r="B6" s="25" t="s">
        <v>125</v>
      </c>
      <c r="C6" s="25">
        <v>0.2</v>
      </c>
      <c r="D6" s="25">
        <v>0.93600000000000005</v>
      </c>
      <c r="E6" s="25">
        <v>0.93200000000000005</v>
      </c>
      <c r="F6" s="25">
        <v>0.92</v>
      </c>
      <c r="G6" s="25">
        <v>0.92900000000000005</v>
      </c>
      <c r="H6" s="25">
        <v>0.93400000000000005</v>
      </c>
      <c r="I6" s="26">
        <f t="shared" si="0"/>
        <v>0.93020000000000014</v>
      </c>
      <c r="J6" s="25">
        <v>0.94099999999999995</v>
      </c>
      <c r="K6" s="25">
        <v>0.95</v>
      </c>
      <c r="L6" s="25">
        <v>0.92500000000000004</v>
      </c>
      <c r="M6" s="25">
        <v>0.92400000000000004</v>
      </c>
      <c r="N6" s="25">
        <v>0.92900000000000005</v>
      </c>
      <c r="O6" s="26">
        <f t="shared" si="1"/>
        <v>0.93379999999999996</v>
      </c>
      <c r="P6" s="25">
        <v>0.755</v>
      </c>
      <c r="Q6" s="25">
        <v>0.75</v>
      </c>
      <c r="R6" s="25">
        <v>0.77400000000000002</v>
      </c>
      <c r="S6" s="25">
        <v>0.745</v>
      </c>
      <c r="T6" s="25">
        <v>0.82099999999999995</v>
      </c>
      <c r="U6" s="26">
        <f t="shared" si="2"/>
        <v>0.76899999999999991</v>
      </c>
      <c r="V6" s="25">
        <v>0.79200000000000004</v>
      </c>
      <c r="W6" s="25">
        <v>0.91100000000000003</v>
      </c>
      <c r="X6" s="25">
        <v>0.79</v>
      </c>
      <c r="Y6" s="25">
        <v>0.95</v>
      </c>
      <c r="Z6" s="25">
        <v>0.93600000000000005</v>
      </c>
      <c r="AA6" s="26">
        <f t="shared" si="3"/>
        <v>0.87580000000000013</v>
      </c>
      <c r="AB6" s="25">
        <v>0.79200000000000004</v>
      </c>
      <c r="AC6" s="25">
        <v>0.91100000000000003</v>
      </c>
      <c r="AD6" s="25">
        <v>0.79</v>
      </c>
      <c r="AE6" s="25">
        <v>0.95</v>
      </c>
      <c r="AF6" s="25">
        <v>0.93600000000000005</v>
      </c>
      <c r="AG6" s="26">
        <f t="shared" si="4"/>
        <v>0.87580000000000013</v>
      </c>
      <c r="AH6" s="25">
        <f t="shared" si="5"/>
        <v>0</v>
      </c>
      <c r="AI6" s="25">
        <f t="shared" si="6"/>
        <v>-5.7999999999999829E-2</v>
      </c>
    </row>
    <row r="7" spans="1:35" x14ac:dyDescent="0.25">
      <c r="A7" s="24" t="s">
        <v>130</v>
      </c>
      <c r="B7" s="25" t="s">
        <v>125</v>
      </c>
      <c r="C7" s="25">
        <v>0.3</v>
      </c>
      <c r="D7" s="25">
        <v>0.85899999999999999</v>
      </c>
      <c r="E7" s="25">
        <v>0.93200000000000005</v>
      </c>
      <c r="F7" s="25">
        <v>0.86799999999999999</v>
      </c>
      <c r="G7" s="25">
        <v>0.92</v>
      </c>
      <c r="H7" s="25">
        <v>0.90600000000000003</v>
      </c>
      <c r="I7" s="26">
        <f t="shared" si="0"/>
        <v>0.89699999999999991</v>
      </c>
      <c r="J7" s="25">
        <v>0.88</v>
      </c>
      <c r="K7" s="25">
        <v>0.92500000000000004</v>
      </c>
      <c r="L7" s="25">
        <v>0.91100000000000003</v>
      </c>
      <c r="M7" s="25">
        <v>0.91</v>
      </c>
      <c r="N7" s="25">
        <v>0.91</v>
      </c>
      <c r="O7" s="26">
        <f t="shared" si="1"/>
        <v>0.90720000000000012</v>
      </c>
      <c r="P7" s="25">
        <v>0.755</v>
      </c>
      <c r="Q7" s="25">
        <v>0.89100000000000001</v>
      </c>
      <c r="R7" s="25">
        <v>0.73699999999999999</v>
      </c>
      <c r="S7" s="25">
        <v>0.76900000000000002</v>
      </c>
      <c r="T7" s="25">
        <v>0.86599999999999999</v>
      </c>
      <c r="U7" s="26">
        <f t="shared" si="2"/>
        <v>0.80359999999999998</v>
      </c>
      <c r="V7" s="25">
        <v>0.82499999999999996</v>
      </c>
      <c r="W7" s="25">
        <v>0.86299999999999999</v>
      </c>
      <c r="X7" s="25">
        <v>0.82199999999999995</v>
      </c>
      <c r="Y7" s="25">
        <v>0.83</v>
      </c>
      <c r="Z7" s="25">
        <v>0.92900000000000005</v>
      </c>
      <c r="AA7" s="26">
        <f t="shared" si="3"/>
        <v>0.8538</v>
      </c>
      <c r="AB7" s="25">
        <v>0.82499999999999996</v>
      </c>
      <c r="AC7" s="25">
        <v>0.86299999999999999</v>
      </c>
      <c r="AD7" s="25">
        <v>0.82199999999999995</v>
      </c>
      <c r="AE7" s="25">
        <v>0.83</v>
      </c>
      <c r="AF7" s="25">
        <v>0.92900000000000005</v>
      </c>
      <c r="AG7" s="26">
        <f t="shared" si="4"/>
        <v>0.8538</v>
      </c>
      <c r="AH7" s="25">
        <f t="shared" si="5"/>
        <v>0</v>
      </c>
      <c r="AI7" s="25">
        <f t="shared" si="6"/>
        <v>-5.3400000000000114E-2</v>
      </c>
    </row>
    <row r="8" spans="1:35" x14ac:dyDescent="0.25">
      <c r="A8" s="24" t="s">
        <v>130</v>
      </c>
      <c r="B8" s="25" t="s">
        <v>125</v>
      </c>
      <c r="C8" s="25">
        <v>0.4</v>
      </c>
      <c r="D8" s="25">
        <v>0.67200000000000004</v>
      </c>
      <c r="E8" s="25">
        <v>0.78600000000000003</v>
      </c>
      <c r="F8" s="25">
        <v>0.81799999999999995</v>
      </c>
      <c r="G8" s="25">
        <v>0.81599999999999995</v>
      </c>
      <c r="H8" s="25">
        <v>0.82799999999999996</v>
      </c>
      <c r="I8" s="26">
        <f t="shared" si="0"/>
        <v>0.78400000000000003</v>
      </c>
      <c r="J8" s="25">
        <v>0.69799999999999995</v>
      </c>
      <c r="K8" s="25">
        <v>0.83199999999999996</v>
      </c>
      <c r="L8" s="25">
        <v>0.81599999999999995</v>
      </c>
      <c r="M8" s="25">
        <v>0.79400000000000004</v>
      </c>
      <c r="N8" s="25">
        <v>0.84899999999999998</v>
      </c>
      <c r="O8" s="26">
        <f t="shared" si="1"/>
        <v>0.79779999999999995</v>
      </c>
      <c r="P8" s="25">
        <v>0.65300000000000002</v>
      </c>
      <c r="Q8" s="25">
        <v>0.748</v>
      </c>
      <c r="R8" s="25">
        <v>0.754</v>
      </c>
      <c r="S8" s="25">
        <v>0.81799999999999995</v>
      </c>
      <c r="T8" s="25">
        <v>0.753</v>
      </c>
      <c r="U8" s="26">
        <f t="shared" si="2"/>
        <v>0.74520000000000008</v>
      </c>
      <c r="V8" s="25">
        <v>0.63200000000000001</v>
      </c>
      <c r="W8" s="25">
        <v>0.77800000000000002</v>
      </c>
      <c r="X8" s="25">
        <v>0.78300000000000003</v>
      </c>
      <c r="Y8" s="25">
        <v>0.84699999999999998</v>
      </c>
      <c r="Z8" s="25">
        <v>0.77400000000000002</v>
      </c>
      <c r="AA8" s="26">
        <f t="shared" si="3"/>
        <v>0.76280000000000003</v>
      </c>
      <c r="AB8" s="25">
        <v>0.63200000000000001</v>
      </c>
      <c r="AC8" s="25">
        <v>0.77800000000000002</v>
      </c>
      <c r="AD8" s="25">
        <v>0.78300000000000003</v>
      </c>
      <c r="AE8" s="25">
        <v>0.84699999999999998</v>
      </c>
      <c r="AF8" s="25">
        <v>0.77400000000000002</v>
      </c>
      <c r="AG8" s="26">
        <f t="shared" si="4"/>
        <v>0.76280000000000003</v>
      </c>
      <c r="AH8" s="25">
        <f t="shared" si="5"/>
        <v>0</v>
      </c>
      <c r="AI8" s="25">
        <f t="shared" si="6"/>
        <v>-3.499999999999992E-2</v>
      </c>
    </row>
    <row r="9" spans="1:35" x14ac:dyDescent="0.25">
      <c r="A9" s="24" t="s">
        <v>130</v>
      </c>
      <c r="B9" s="25" t="s">
        <v>125</v>
      </c>
      <c r="C9" s="25">
        <v>0.5</v>
      </c>
      <c r="D9" s="25">
        <v>0.47699999999999998</v>
      </c>
      <c r="E9" s="25">
        <v>0.33500000000000002</v>
      </c>
      <c r="F9" s="25">
        <v>0.377</v>
      </c>
      <c r="G9" s="25">
        <v>0.47199999999999998</v>
      </c>
      <c r="H9" s="25">
        <v>0.46200000000000002</v>
      </c>
      <c r="I9" s="26">
        <f t="shared" si="0"/>
        <v>0.42460000000000003</v>
      </c>
      <c r="J9" s="25">
        <v>0.53800000000000003</v>
      </c>
      <c r="K9" s="25">
        <v>0.49099999999999999</v>
      </c>
      <c r="L9" s="25">
        <v>0.53100000000000003</v>
      </c>
      <c r="M9" s="25">
        <v>0.61</v>
      </c>
      <c r="N9" s="25">
        <v>0.502</v>
      </c>
      <c r="O9" s="26">
        <f t="shared" si="1"/>
        <v>0.53439999999999999</v>
      </c>
      <c r="P9" s="25">
        <v>0.54100000000000004</v>
      </c>
      <c r="Q9" s="25">
        <v>0.43099999999999999</v>
      </c>
      <c r="R9" s="25">
        <v>0.54400000000000004</v>
      </c>
      <c r="S9" s="25">
        <v>0.50700000000000001</v>
      </c>
      <c r="T9" s="25">
        <v>0.50600000000000001</v>
      </c>
      <c r="U9" s="26">
        <f t="shared" si="2"/>
        <v>0.50580000000000003</v>
      </c>
      <c r="V9" s="25">
        <v>0.45300000000000001</v>
      </c>
      <c r="W9" s="25">
        <v>0.47799999999999998</v>
      </c>
      <c r="X9" s="25">
        <v>0.54300000000000004</v>
      </c>
      <c r="Y9" s="25">
        <v>0.57799999999999996</v>
      </c>
      <c r="Z9" s="25">
        <v>0.53700000000000003</v>
      </c>
      <c r="AA9" s="26">
        <f t="shared" si="3"/>
        <v>0.51780000000000004</v>
      </c>
      <c r="AB9" s="25">
        <v>0.45300000000000001</v>
      </c>
      <c r="AC9" s="25">
        <v>0.47799999999999998</v>
      </c>
      <c r="AD9" s="25">
        <v>0.54300000000000004</v>
      </c>
      <c r="AE9" s="25">
        <v>0.57799999999999996</v>
      </c>
      <c r="AF9" s="25">
        <v>0.53700000000000003</v>
      </c>
      <c r="AG9" s="26">
        <f t="shared" si="4"/>
        <v>0.51780000000000004</v>
      </c>
      <c r="AH9" s="25">
        <f t="shared" si="5"/>
        <v>0</v>
      </c>
      <c r="AI9" s="25">
        <f t="shared" si="6"/>
        <v>-1.6599999999999948E-2</v>
      </c>
    </row>
    <row r="10" spans="1:35" x14ac:dyDescent="0.25">
      <c r="A10" s="24" t="s">
        <v>130</v>
      </c>
      <c r="B10" s="25" t="s">
        <v>126</v>
      </c>
      <c r="C10" s="25">
        <v>0.2</v>
      </c>
      <c r="D10" s="25">
        <v>0.89400000000000002</v>
      </c>
      <c r="E10" s="25">
        <v>0.83199999999999996</v>
      </c>
      <c r="F10" s="25">
        <v>0.84</v>
      </c>
      <c r="G10" s="25">
        <v>0.84699999999999998</v>
      </c>
      <c r="H10" s="25">
        <v>0.86599999999999999</v>
      </c>
      <c r="I10" s="26">
        <f t="shared" si="0"/>
        <v>0.85580000000000001</v>
      </c>
      <c r="J10" s="25">
        <v>0.84599999999999997</v>
      </c>
      <c r="K10" s="25">
        <v>0.85399999999999998</v>
      </c>
      <c r="L10" s="25">
        <v>0.86099999999999999</v>
      </c>
      <c r="M10" s="25">
        <v>0.83499999999999996</v>
      </c>
      <c r="N10" s="25">
        <v>0.878</v>
      </c>
      <c r="O10" s="26">
        <f t="shared" si="1"/>
        <v>0.8548</v>
      </c>
      <c r="P10" s="25">
        <v>0.78300000000000003</v>
      </c>
      <c r="Q10" s="25">
        <v>0.73499999999999999</v>
      </c>
      <c r="R10" s="25">
        <v>0.83899999999999997</v>
      </c>
      <c r="S10" s="25">
        <v>0.89100000000000001</v>
      </c>
      <c r="T10" s="25">
        <v>0.8</v>
      </c>
      <c r="U10" s="26">
        <f t="shared" si="2"/>
        <v>0.80959999999999999</v>
      </c>
      <c r="V10" s="25">
        <v>0.9</v>
      </c>
      <c r="W10" s="25">
        <v>0.93899999999999995</v>
      </c>
      <c r="X10" s="25">
        <v>0.80900000000000005</v>
      </c>
      <c r="Y10" s="25">
        <v>0.90900000000000003</v>
      </c>
      <c r="Z10" s="25">
        <v>0.95699999999999996</v>
      </c>
      <c r="AA10" s="26">
        <f t="shared" si="3"/>
        <v>0.90280000000000005</v>
      </c>
      <c r="AB10" s="25">
        <v>0.85299999999999998</v>
      </c>
      <c r="AC10" s="25">
        <v>0.85099999999999998</v>
      </c>
      <c r="AD10" s="25">
        <v>0.84</v>
      </c>
      <c r="AE10" s="25">
        <v>0.877</v>
      </c>
      <c r="AF10" s="25">
        <v>0.85599999999999998</v>
      </c>
      <c r="AG10" s="26">
        <f t="shared" si="4"/>
        <v>0.85540000000000005</v>
      </c>
      <c r="AH10" s="25">
        <f t="shared" si="5"/>
        <v>-4.7399999999999998E-2</v>
      </c>
      <c r="AI10" s="25">
        <f t="shared" si="6"/>
        <v>6.0000000000004494E-4</v>
      </c>
    </row>
    <row r="11" spans="1:35" x14ac:dyDescent="0.25">
      <c r="A11" s="24" t="s">
        <v>130</v>
      </c>
      <c r="B11" s="25" t="s">
        <v>126</v>
      </c>
      <c r="C11" s="25">
        <v>0.3</v>
      </c>
      <c r="D11" s="25">
        <v>0.79500000000000004</v>
      </c>
      <c r="E11" s="25">
        <v>0.81100000000000005</v>
      </c>
      <c r="F11" s="25">
        <v>0.77200000000000002</v>
      </c>
      <c r="G11" s="25">
        <v>0.80400000000000005</v>
      </c>
      <c r="H11" s="25">
        <v>0.79900000000000004</v>
      </c>
      <c r="I11" s="26">
        <f t="shared" si="0"/>
        <v>0.79620000000000002</v>
      </c>
      <c r="J11" s="25">
        <v>0.77100000000000002</v>
      </c>
      <c r="K11" s="25">
        <v>0.79700000000000004</v>
      </c>
      <c r="L11" s="25">
        <v>0.78600000000000003</v>
      </c>
      <c r="M11" s="25">
        <v>0.78100000000000003</v>
      </c>
      <c r="N11" s="25">
        <v>0.80400000000000005</v>
      </c>
      <c r="O11" s="26">
        <f t="shared" si="1"/>
        <v>0.78780000000000006</v>
      </c>
      <c r="P11" s="25"/>
      <c r="Q11" s="25"/>
      <c r="R11" s="25"/>
      <c r="S11" s="25"/>
      <c r="T11" s="25"/>
      <c r="U11" s="26" t="str">
        <f t="shared" si="2"/>
        <v/>
      </c>
      <c r="V11" s="25"/>
      <c r="W11" s="25"/>
      <c r="X11" s="25"/>
      <c r="Y11" s="25"/>
      <c r="Z11" s="25"/>
      <c r="AA11" s="26" t="str">
        <f t="shared" si="3"/>
        <v/>
      </c>
      <c r="AB11" s="25">
        <v>0.83699999999999997</v>
      </c>
      <c r="AC11" s="25">
        <v>0.83499999999999996</v>
      </c>
      <c r="AD11" s="25">
        <v>0.85399999999999998</v>
      </c>
      <c r="AE11" s="25">
        <v>0.85099999999999998</v>
      </c>
      <c r="AF11" s="25">
        <v>0.81299999999999994</v>
      </c>
      <c r="AG11" s="26">
        <f t="shared" si="4"/>
        <v>0.83799999999999986</v>
      </c>
      <c r="AH11" s="25" t="str">
        <f t="shared" si="5"/>
        <v/>
      </c>
      <c r="AI11" s="25">
        <f t="shared" si="6"/>
        <v>5.01999999999998E-2</v>
      </c>
    </row>
    <row r="12" spans="1:35" x14ac:dyDescent="0.25">
      <c r="A12" s="24" t="s">
        <v>130</v>
      </c>
      <c r="B12" s="25" t="s">
        <v>126</v>
      </c>
      <c r="C12" s="25">
        <v>0.4</v>
      </c>
      <c r="D12" s="25">
        <v>0.74</v>
      </c>
      <c r="E12" s="25">
        <v>0.73299999999999998</v>
      </c>
      <c r="F12" s="25">
        <v>0.72599999999999998</v>
      </c>
      <c r="G12" s="25">
        <v>0.73399999999999999</v>
      </c>
      <c r="H12" s="25">
        <v>0.748</v>
      </c>
      <c r="I12" s="26">
        <f t="shared" si="0"/>
        <v>0.73619999999999997</v>
      </c>
      <c r="J12" s="25">
        <v>0.71199999999999997</v>
      </c>
      <c r="K12" s="25">
        <v>0.70499999999999996</v>
      </c>
      <c r="L12" s="25">
        <v>0.73399999999999999</v>
      </c>
      <c r="M12" s="25">
        <v>0.72</v>
      </c>
      <c r="N12" s="25">
        <v>0.73599999999999999</v>
      </c>
      <c r="O12" s="26">
        <f t="shared" si="1"/>
        <v>0.72139999999999982</v>
      </c>
      <c r="P12" s="25"/>
      <c r="Q12" s="25"/>
      <c r="R12" s="25"/>
      <c r="S12" s="25"/>
      <c r="T12" s="25"/>
      <c r="U12" s="26" t="str">
        <f t="shared" si="2"/>
        <v/>
      </c>
      <c r="V12" s="25"/>
      <c r="W12" s="25"/>
      <c r="X12" s="25"/>
      <c r="Y12" s="25"/>
      <c r="Z12" s="25"/>
      <c r="AA12" s="26" t="str">
        <f t="shared" si="3"/>
        <v/>
      </c>
      <c r="AB12" s="25">
        <v>0.83399999999999996</v>
      </c>
      <c r="AC12" s="25">
        <v>0.84199999999999997</v>
      </c>
      <c r="AD12" s="25">
        <v>0.84499999999999997</v>
      </c>
      <c r="AE12" s="25">
        <v>0.84399999999999997</v>
      </c>
      <c r="AF12" s="25">
        <v>0.8</v>
      </c>
      <c r="AG12" s="26">
        <f t="shared" si="4"/>
        <v>0.83299999999999996</v>
      </c>
      <c r="AH12" s="25" t="str">
        <f t="shared" si="5"/>
        <v/>
      </c>
      <c r="AI12" s="25">
        <f t="shared" si="6"/>
        <v>0.11160000000000014</v>
      </c>
    </row>
    <row r="13" spans="1:35" x14ac:dyDescent="0.25">
      <c r="A13" s="24" t="s">
        <v>130</v>
      </c>
      <c r="B13" s="25" t="s">
        <v>126</v>
      </c>
      <c r="C13" s="25">
        <v>0.5</v>
      </c>
      <c r="D13" s="25">
        <v>0.68899999999999995</v>
      </c>
      <c r="E13" s="25">
        <v>0.67400000000000004</v>
      </c>
      <c r="F13" s="25">
        <v>0.67</v>
      </c>
      <c r="G13" s="25">
        <v>0.65300000000000002</v>
      </c>
      <c r="H13" s="25">
        <v>0.67</v>
      </c>
      <c r="I13" s="26">
        <f t="shared" si="0"/>
        <v>0.67120000000000002</v>
      </c>
      <c r="J13" s="25">
        <v>0.65300000000000002</v>
      </c>
      <c r="K13" s="25">
        <v>0.65100000000000002</v>
      </c>
      <c r="L13" s="25">
        <v>0.66700000000000004</v>
      </c>
      <c r="M13" s="25">
        <v>0.65600000000000003</v>
      </c>
      <c r="N13" s="25">
        <v>0.66300000000000003</v>
      </c>
      <c r="O13" s="26">
        <f t="shared" si="1"/>
        <v>0.65800000000000003</v>
      </c>
      <c r="P13" s="25"/>
      <c r="Q13" s="25"/>
      <c r="R13" s="25"/>
      <c r="S13" s="25"/>
      <c r="T13" s="25"/>
      <c r="U13" s="26" t="str">
        <f t="shared" si="2"/>
        <v/>
      </c>
      <c r="V13" s="25"/>
      <c r="W13" s="25"/>
      <c r="X13" s="25"/>
      <c r="Y13" s="25"/>
      <c r="Z13" s="25"/>
      <c r="AA13" s="26" t="str">
        <f t="shared" si="3"/>
        <v/>
      </c>
      <c r="AB13" s="25">
        <v>0.83499999999999996</v>
      </c>
      <c r="AC13" s="25">
        <v>0.82099999999999995</v>
      </c>
      <c r="AD13" s="25">
        <v>0.85399999999999998</v>
      </c>
      <c r="AE13" s="25">
        <v>0.84</v>
      </c>
      <c r="AF13" s="25">
        <v>0.81100000000000005</v>
      </c>
      <c r="AG13" s="26">
        <f t="shared" si="4"/>
        <v>0.83219999999999994</v>
      </c>
      <c r="AH13" s="25" t="str">
        <f t="shared" si="5"/>
        <v/>
      </c>
      <c r="AI13" s="25">
        <f t="shared" si="6"/>
        <v>0.17419999999999991</v>
      </c>
    </row>
    <row r="14" spans="1:35" x14ac:dyDescent="0.25">
      <c r="A14" s="24" t="s">
        <v>130</v>
      </c>
      <c r="B14" s="25" t="s">
        <v>127</v>
      </c>
      <c r="C14" s="25">
        <v>0.2</v>
      </c>
      <c r="D14" s="25">
        <v>0.93200000000000005</v>
      </c>
      <c r="E14" s="25">
        <v>0.93400000000000005</v>
      </c>
      <c r="F14" s="25">
        <v>0.93899999999999995</v>
      </c>
      <c r="G14" s="25">
        <v>0.93400000000000005</v>
      </c>
      <c r="H14" s="25">
        <v>0.93600000000000005</v>
      </c>
      <c r="I14" s="26">
        <f t="shared" si="0"/>
        <v>0.93500000000000016</v>
      </c>
      <c r="J14" s="25">
        <v>0.93100000000000005</v>
      </c>
      <c r="K14" s="25">
        <v>0.93600000000000005</v>
      </c>
      <c r="L14" s="25">
        <v>0.94299999999999995</v>
      </c>
      <c r="M14" s="25">
        <v>0.94099999999999995</v>
      </c>
      <c r="N14" s="25">
        <v>0.93600000000000005</v>
      </c>
      <c r="O14" s="26">
        <f t="shared" si="1"/>
        <v>0.93740000000000001</v>
      </c>
      <c r="P14" s="25">
        <v>0.77400000000000002</v>
      </c>
      <c r="Q14" s="25">
        <v>0.72699999999999998</v>
      </c>
      <c r="R14" s="25">
        <v>0.72399999999999998</v>
      </c>
      <c r="S14" s="25">
        <v>0.745</v>
      </c>
      <c r="T14" s="25">
        <v>0.77300000000000002</v>
      </c>
      <c r="U14" s="26">
        <f t="shared" si="2"/>
        <v>0.74859999999999993</v>
      </c>
      <c r="V14" s="25">
        <v>0.77800000000000002</v>
      </c>
      <c r="W14" s="25">
        <v>0.83699999999999997</v>
      </c>
      <c r="X14" s="25">
        <v>0.70899999999999996</v>
      </c>
      <c r="Y14" s="25">
        <v>0.95</v>
      </c>
      <c r="Z14" s="25">
        <v>0.94299999999999995</v>
      </c>
      <c r="AA14" s="26">
        <f t="shared" si="3"/>
        <v>0.84339999999999993</v>
      </c>
      <c r="AB14" s="25">
        <v>0.77800000000000002</v>
      </c>
      <c r="AC14" s="25">
        <v>0.83699999999999997</v>
      </c>
      <c r="AD14" s="25">
        <v>0.70899999999999996</v>
      </c>
      <c r="AE14" s="25">
        <v>0.95</v>
      </c>
      <c r="AF14" s="25">
        <v>0.94299999999999995</v>
      </c>
      <c r="AG14" s="26">
        <f t="shared" si="4"/>
        <v>0.84339999999999993</v>
      </c>
      <c r="AH14" s="25">
        <f t="shared" si="5"/>
        <v>0</v>
      </c>
      <c r="AI14" s="25">
        <f t="shared" si="6"/>
        <v>-9.4000000000000083E-2</v>
      </c>
    </row>
    <row r="15" spans="1:35" x14ac:dyDescent="0.25">
      <c r="A15" s="24" t="s">
        <v>130</v>
      </c>
      <c r="B15" s="25" t="s">
        <v>127</v>
      </c>
      <c r="C15" s="25">
        <v>0.3</v>
      </c>
      <c r="D15" s="25">
        <v>0.94299999999999995</v>
      </c>
      <c r="E15" s="25">
        <v>0.92900000000000005</v>
      </c>
      <c r="F15" s="25">
        <v>0.92700000000000005</v>
      </c>
      <c r="G15" s="25">
        <v>0.94099999999999995</v>
      </c>
      <c r="H15" s="25">
        <v>0.94599999999999995</v>
      </c>
      <c r="I15" s="26">
        <f t="shared" si="0"/>
        <v>0.93720000000000003</v>
      </c>
      <c r="J15" s="25">
        <v>0.94099999999999995</v>
      </c>
      <c r="K15" s="25">
        <v>0.94299999999999995</v>
      </c>
      <c r="L15" s="25">
        <v>0.93700000000000006</v>
      </c>
      <c r="M15" s="25">
        <v>0.93799999999999994</v>
      </c>
      <c r="N15" s="25">
        <v>0.94099999999999995</v>
      </c>
      <c r="O15" s="26">
        <f t="shared" si="1"/>
        <v>0.93999999999999984</v>
      </c>
      <c r="P15" s="25">
        <v>0.73399999999999999</v>
      </c>
      <c r="Q15" s="25">
        <v>0.78</v>
      </c>
      <c r="R15" s="25">
        <v>0.72399999999999998</v>
      </c>
      <c r="S15" s="25">
        <v>0.745</v>
      </c>
      <c r="T15" s="25">
        <v>0.77300000000000002</v>
      </c>
      <c r="U15" s="26">
        <f t="shared" si="2"/>
        <v>0.75120000000000009</v>
      </c>
      <c r="V15" s="25">
        <v>0.71899999999999997</v>
      </c>
      <c r="W15" s="25">
        <v>0.94099999999999995</v>
      </c>
      <c r="X15" s="25">
        <v>0.70899999999999996</v>
      </c>
      <c r="Y15" s="25">
        <v>0.95</v>
      </c>
      <c r="Z15" s="25">
        <v>0.94299999999999995</v>
      </c>
      <c r="AA15" s="26">
        <f t="shared" si="3"/>
        <v>0.85239999999999994</v>
      </c>
      <c r="AB15" s="25">
        <v>0.71899999999999997</v>
      </c>
      <c r="AC15" s="25">
        <v>0.94099999999999995</v>
      </c>
      <c r="AD15" s="25">
        <v>0.70899999999999996</v>
      </c>
      <c r="AE15" s="25">
        <v>0.95</v>
      </c>
      <c r="AF15" s="25">
        <v>0.94299999999999995</v>
      </c>
      <c r="AG15" s="26">
        <f t="shared" si="4"/>
        <v>0.85239999999999994</v>
      </c>
      <c r="AH15" s="25">
        <f t="shared" si="5"/>
        <v>0</v>
      </c>
      <c r="AI15" s="25">
        <f t="shared" si="6"/>
        <v>-8.75999999999999E-2</v>
      </c>
    </row>
    <row r="16" spans="1:35" x14ac:dyDescent="0.25">
      <c r="A16" s="24" t="s">
        <v>130</v>
      </c>
      <c r="B16" s="25" t="s">
        <v>127</v>
      </c>
      <c r="C16" s="25">
        <v>0.4</v>
      </c>
      <c r="D16" s="25">
        <v>0.90300000000000002</v>
      </c>
      <c r="E16" s="25">
        <v>0.93200000000000005</v>
      </c>
      <c r="F16" s="25">
        <v>0.90600000000000003</v>
      </c>
      <c r="G16" s="25">
        <v>0.84699999999999998</v>
      </c>
      <c r="H16" s="25">
        <v>0.92500000000000004</v>
      </c>
      <c r="I16" s="26">
        <f t="shared" si="0"/>
        <v>0.90259999999999996</v>
      </c>
      <c r="J16" s="25">
        <v>0.93200000000000005</v>
      </c>
      <c r="K16" s="25">
        <v>0.91800000000000004</v>
      </c>
      <c r="L16" s="25">
        <v>0.92</v>
      </c>
      <c r="M16" s="25">
        <v>0.91100000000000003</v>
      </c>
      <c r="N16" s="25">
        <v>0.94399999999999995</v>
      </c>
      <c r="O16" s="26">
        <f t="shared" si="1"/>
        <v>0.92500000000000004</v>
      </c>
      <c r="P16" s="25">
        <v>0.67400000000000004</v>
      </c>
      <c r="Q16" s="25">
        <v>0.748</v>
      </c>
      <c r="R16" s="25">
        <v>0.66100000000000003</v>
      </c>
      <c r="S16" s="25">
        <v>0.77100000000000002</v>
      </c>
      <c r="T16" s="25">
        <v>0.79500000000000004</v>
      </c>
      <c r="U16" s="26">
        <f t="shared" si="2"/>
        <v>0.7298</v>
      </c>
      <c r="V16" s="25">
        <v>0.71199999999999997</v>
      </c>
      <c r="W16" s="25">
        <v>0.752</v>
      </c>
      <c r="X16" s="25">
        <v>0.76900000000000002</v>
      </c>
      <c r="Y16" s="25">
        <v>0.83199999999999996</v>
      </c>
      <c r="Z16" s="25">
        <v>0.88900000000000001</v>
      </c>
      <c r="AA16" s="26">
        <f t="shared" si="3"/>
        <v>0.79079999999999995</v>
      </c>
      <c r="AB16" s="25">
        <v>0.71199999999999997</v>
      </c>
      <c r="AC16" s="25">
        <v>0.752</v>
      </c>
      <c r="AD16" s="25">
        <v>0.76900000000000002</v>
      </c>
      <c r="AE16" s="25">
        <v>0.83199999999999996</v>
      </c>
      <c r="AF16" s="25">
        <v>0.88900000000000001</v>
      </c>
      <c r="AG16" s="26">
        <f t="shared" si="4"/>
        <v>0.79079999999999995</v>
      </c>
      <c r="AH16" s="25">
        <f t="shared" si="5"/>
        <v>0</v>
      </c>
      <c r="AI16" s="25">
        <f t="shared" si="6"/>
        <v>-0.1342000000000001</v>
      </c>
    </row>
    <row r="17" spans="1:35" x14ac:dyDescent="0.25">
      <c r="A17" s="24" t="s">
        <v>130</v>
      </c>
      <c r="B17" s="25" t="s">
        <v>127</v>
      </c>
      <c r="C17" s="25">
        <v>0.5</v>
      </c>
      <c r="D17" s="25">
        <v>0.41099999999999998</v>
      </c>
      <c r="E17" s="25">
        <v>0.44400000000000001</v>
      </c>
      <c r="F17" s="25">
        <v>0.53300000000000003</v>
      </c>
      <c r="G17" s="25">
        <v>0.52400000000000002</v>
      </c>
      <c r="H17" s="25">
        <v>0.63400000000000001</v>
      </c>
      <c r="I17" s="26">
        <f t="shared" si="0"/>
        <v>0.50919999999999999</v>
      </c>
      <c r="J17" s="25">
        <v>0.39900000000000002</v>
      </c>
      <c r="K17" s="25">
        <v>0.46500000000000002</v>
      </c>
      <c r="L17" s="25">
        <v>0.61299999999999999</v>
      </c>
      <c r="M17" s="25">
        <v>0.50900000000000001</v>
      </c>
      <c r="N17" s="25">
        <v>0.69099999999999995</v>
      </c>
      <c r="O17" s="26">
        <f t="shared" si="1"/>
        <v>0.53539999999999999</v>
      </c>
      <c r="P17" s="25">
        <v>0.45500000000000002</v>
      </c>
      <c r="Q17" s="25">
        <v>0.48399999999999999</v>
      </c>
      <c r="R17" s="25">
        <v>0.64600000000000002</v>
      </c>
      <c r="S17" s="25">
        <v>0.48799999999999999</v>
      </c>
      <c r="T17" s="25">
        <v>0.60599999999999998</v>
      </c>
      <c r="U17" s="26">
        <f t="shared" si="2"/>
        <v>0.53579999999999994</v>
      </c>
      <c r="V17" s="25">
        <v>0.42899999999999999</v>
      </c>
      <c r="W17" s="25">
        <v>0.45300000000000001</v>
      </c>
      <c r="X17" s="25">
        <v>0.58299999999999996</v>
      </c>
      <c r="Y17" s="25">
        <v>0.51400000000000001</v>
      </c>
      <c r="Z17" s="25">
        <v>0.58499999999999996</v>
      </c>
      <c r="AA17" s="26">
        <f t="shared" si="3"/>
        <v>0.51280000000000003</v>
      </c>
      <c r="AB17" s="25">
        <v>0.42899999999999999</v>
      </c>
      <c r="AC17" s="25">
        <v>0.45300000000000001</v>
      </c>
      <c r="AD17" s="25">
        <v>0.58299999999999996</v>
      </c>
      <c r="AE17" s="25">
        <v>0.51400000000000001</v>
      </c>
      <c r="AF17" s="25">
        <v>0.58499999999999996</v>
      </c>
      <c r="AG17" s="26">
        <f t="shared" si="4"/>
        <v>0.51280000000000003</v>
      </c>
      <c r="AH17" s="25">
        <f t="shared" si="5"/>
        <v>0</v>
      </c>
      <c r="AI17" s="25">
        <f t="shared" si="6"/>
        <v>-2.2599999999999953E-2</v>
      </c>
    </row>
    <row r="18" spans="1:35" x14ac:dyDescent="0.25">
      <c r="A18" s="24" t="s">
        <v>130</v>
      </c>
      <c r="B18" s="25" t="s">
        <v>128</v>
      </c>
      <c r="C18" s="25">
        <v>0.2</v>
      </c>
      <c r="D18" s="25">
        <v>0.92400000000000004</v>
      </c>
      <c r="E18" s="25">
        <v>0.93899999999999995</v>
      </c>
      <c r="F18" s="25">
        <v>0.93400000000000005</v>
      </c>
      <c r="G18" s="25">
        <v>0.92500000000000004</v>
      </c>
      <c r="H18" s="25">
        <v>0.95</v>
      </c>
      <c r="I18" s="26">
        <f t="shared" si="0"/>
        <v>0.93440000000000012</v>
      </c>
      <c r="J18" s="25">
        <v>0.93600000000000005</v>
      </c>
      <c r="K18" s="25">
        <v>0.93899999999999995</v>
      </c>
      <c r="L18" s="25">
        <v>0.94399999999999995</v>
      </c>
      <c r="M18" s="25">
        <v>0.94599999999999995</v>
      </c>
      <c r="N18" s="25">
        <v>0.95099999999999996</v>
      </c>
      <c r="O18" s="26">
        <f t="shared" si="1"/>
        <v>0.94319999999999982</v>
      </c>
      <c r="P18" s="25">
        <v>0.74299999999999999</v>
      </c>
      <c r="Q18" s="25">
        <v>0.74299999999999999</v>
      </c>
      <c r="R18" s="25">
        <v>0.72899999999999998</v>
      </c>
      <c r="S18" s="25">
        <v>0.745</v>
      </c>
      <c r="T18" s="25">
        <v>0.77300000000000002</v>
      </c>
      <c r="U18" s="26">
        <f t="shared" si="2"/>
        <v>0.74660000000000004</v>
      </c>
      <c r="V18" s="25">
        <v>0.77800000000000002</v>
      </c>
      <c r="W18" s="25">
        <v>0.91300000000000003</v>
      </c>
      <c r="X18" s="25">
        <v>0.745</v>
      </c>
      <c r="Y18" s="25">
        <v>0.95</v>
      </c>
      <c r="Z18" s="25">
        <v>0.94299999999999995</v>
      </c>
      <c r="AA18" s="26">
        <f t="shared" si="3"/>
        <v>0.8657999999999999</v>
      </c>
      <c r="AB18" s="25">
        <v>0.77800000000000002</v>
      </c>
      <c r="AC18" s="25">
        <v>0.91300000000000003</v>
      </c>
      <c r="AD18" s="25">
        <v>0.745</v>
      </c>
      <c r="AE18" s="25">
        <v>0.95</v>
      </c>
      <c r="AF18" s="25">
        <v>0.94299999999999995</v>
      </c>
      <c r="AG18" s="26">
        <f t="shared" si="4"/>
        <v>0.8657999999999999</v>
      </c>
      <c r="AH18" s="25">
        <f t="shared" si="5"/>
        <v>0</v>
      </c>
      <c r="AI18" s="25">
        <f t="shared" si="6"/>
        <v>-7.7399999999999913E-2</v>
      </c>
    </row>
    <row r="19" spans="1:35" x14ac:dyDescent="0.25">
      <c r="A19" s="24" t="s">
        <v>130</v>
      </c>
      <c r="B19" s="25" t="s">
        <v>128</v>
      </c>
      <c r="C19" s="25">
        <v>0.3</v>
      </c>
      <c r="D19" s="25">
        <v>0.88900000000000001</v>
      </c>
      <c r="E19" s="25">
        <v>0.90300000000000002</v>
      </c>
      <c r="F19" s="25">
        <v>0.91700000000000004</v>
      </c>
      <c r="G19" s="25">
        <v>0.88900000000000001</v>
      </c>
      <c r="H19" s="25">
        <v>0.91300000000000003</v>
      </c>
      <c r="I19" s="26">
        <f t="shared" si="0"/>
        <v>0.9022</v>
      </c>
      <c r="J19" s="25">
        <v>0.90800000000000003</v>
      </c>
      <c r="K19" s="25">
        <v>0.89100000000000001</v>
      </c>
      <c r="L19" s="25">
        <v>0.92500000000000004</v>
      </c>
      <c r="M19" s="25">
        <v>0.94599999999999995</v>
      </c>
      <c r="N19" s="25">
        <v>0.92700000000000005</v>
      </c>
      <c r="O19" s="26">
        <f t="shared" si="1"/>
        <v>0.91939999999999988</v>
      </c>
      <c r="P19" s="25">
        <v>0.77100000000000002</v>
      </c>
      <c r="Q19" s="25">
        <v>0.753</v>
      </c>
      <c r="R19" s="25">
        <v>0.745</v>
      </c>
      <c r="S19" s="25">
        <v>0.745</v>
      </c>
      <c r="T19" s="25">
        <v>0.77300000000000002</v>
      </c>
      <c r="U19" s="26">
        <f t="shared" si="2"/>
        <v>0.75740000000000007</v>
      </c>
      <c r="V19" s="25">
        <v>0.89400000000000002</v>
      </c>
      <c r="W19" s="25">
        <v>0.91</v>
      </c>
      <c r="X19" s="25">
        <v>0.77800000000000002</v>
      </c>
      <c r="Y19" s="25">
        <v>0.95</v>
      </c>
      <c r="Z19" s="25">
        <v>0.94299999999999995</v>
      </c>
      <c r="AA19" s="26">
        <f t="shared" si="3"/>
        <v>0.89499999999999991</v>
      </c>
      <c r="AB19" s="25">
        <v>0.89400000000000002</v>
      </c>
      <c r="AC19" s="25">
        <v>0.91</v>
      </c>
      <c r="AD19" s="25">
        <v>0.77800000000000002</v>
      </c>
      <c r="AE19" s="25">
        <v>0.95</v>
      </c>
      <c r="AF19" s="25">
        <v>0.94299999999999995</v>
      </c>
      <c r="AG19" s="26">
        <f t="shared" si="4"/>
        <v>0.89499999999999991</v>
      </c>
      <c r="AH19" s="25">
        <f t="shared" si="5"/>
        <v>0</v>
      </c>
      <c r="AI19" s="25">
        <f t="shared" si="6"/>
        <v>-2.4399999999999977E-2</v>
      </c>
    </row>
    <row r="20" spans="1:35" x14ac:dyDescent="0.25">
      <c r="A20" s="24" t="s">
        <v>130</v>
      </c>
      <c r="B20" s="25" t="s">
        <v>128</v>
      </c>
      <c r="C20" s="25">
        <v>0.4</v>
      </c>
      <c r="D20" s="25">
        <v>0.78100000000000003</v>
      </c>
      <c r="E20" s="25">
        <v>0.81200000000000006</v>
      </c>
      <c r="F20" s="25">
        <v>0.77300000000000002</v>
      </c>
      <c r="G20" s="25">
        <v>0.78600000000000003</v>
      </c>
      <c r="H20" s="25">
        <v>0.76600000000000001</v>
      </c>
      <c r="I20" s="26">
        <f t="shared" si="0"/>
        <v>0.78360000000000007</v>
      </c>
      <c r="J20" s="25">
        <v>0.84</v>
      </c>
      <c r="K20" s="25">
        <v>0.89200000000000002</v>
      </c>
      <c r="L20" s="25">
        <v>0.85399999999999998</v>
      </c>
      <c r="M20" s="25">
        <v>0.878</v>
      </c>
      <c r="N20" s="25">
        <v>0.80600000000000005</v>
      </c>
      <c r="O20" s="26">
        <f t="shared" si="1"/>
        <v>0.85399999999999987</v>
      </c>
      <c r="P20" s="25">
        <v>0.81100000000000005</v>
      </c>
      <c r="Q20" s="25">
        <v>0.65600000000000003</v>
      </c>
      <c r="R20" s="25">
        <v>0.81599999999999995</v>
      </c>
      <c r="S20" s="25">
        <v>0.79200000000000004</v>
      </c>
      <c r="T20" s="25">
        <v>0.75900000000000001</v>
      </c>
      <c r="U20" s="26">
        <f t="shared" si="2"/>
        <v>0.76680000000000004</v>
      </c>
      <c r="V20" s="25">
        <v>0.78100000000000003</v>
      </c>
      <c r="W20" s="25">
        <v>0.76600000000000001</v>
      </c>
      <c r="X20" s="25">
        <v>0.85399999999999998</v>
      </c>
      <c r="Y20" s="25">
        <v>0.79</v>
      </c>
      <c r="Z20" s="25">
        <v>0.85799999999999998</v>
      </c>
      <c r="AA20" s="26">
        <f t="shared" si="3"/>
        <v>0.80980000000000008</v>
      </c>
      <c r="AB20" s="25">
        <v>0.78100000000000003</v>
      </c>
      <c r="AC20" s="25">
        <v>0.76600000000000001</v>
      </c>
      <c r="AD20" s="25">
        <v>0.85399999999999998</v>
      </c>
      <c r="AE20" s="25">
        <v>0.79</v>
      </c>
      <c r="AF20" s="25">
        <v>0.85799999999999998</v>
      </c>
      <c r="AG20" s="26">
        <f t="shared" si="4"/>
        <v>0.80980000000000008</v>
      </c>
      <c r="AH20" s="25">
        <f t="shared" si="5"/>
        <v>0</v>
      </c>
      <c r="AI20" s="25">
        <f t="shared" si="6"/>
        <v>-4.4199999999999795E-2</v>
      </c>
    </row>
    <row r="21" spans="1:35" x14ac:dyDescent="0.25">
      <c r="A21" s="24" t="s">
        <v>130</v>
      </c>
      <c r="B21" s="25" t="s">
        <v>128</v>
      </c>
      <c r="C21" s="25">
        <v>0.5</v>
      </c>
      <c r="D21" s="25">
        <v>0.34599999999999997</v>
      </c>
      <c r="E21" s="25">
        <v>0.50900000000000001</v>
      </c>
      <c r="F21" s="25">
        <v>0.41199999999999998</v>
      </c>
      <c r="G21" s="25">
        <v>0.55100000000000005</v>
      </c>
      <c r="H21" s="25">
        <v>0.56499999999999995</v>
      </c>
      <c r="I21" s="26">
        <f t="shared" si="0"/>
        <v>0.47660000000000002</v>
      </c>
      <c r="J21" s="25">
        <v>0.51</v>
      </c>
      <c r="K21" s="25">
        <v>0.56899999999999995</v>
      </c>
      <c r="L21" s="25">
        <v>0.439</v>
      </c>
      <c r="M21" s="25">
        <v>0.53700000000000003</v>
      </c>
      <c r="N21" s="25">
        <v>0.52100000000000002</v>
      </c>
      <c r="O21" s="26">
        <f t="shared" si="1"/>
        <v>0.51519999999999999</v>
      </c>
      <c r="P21" s="25">
        <v>0.443</v>
      </c>
      <c r="Q21" s="25">
        <v>0.623</v>
      </c>
      <c r="R21" s="25">
        <v>0.55800000000000005</v>
      </c>
      <c r="S21" s="25">
        <v>0.47</v>
      </c>
      <c r="T21" s="25">
        <v>0.49199999999999999</v>
      </c>
      <c r="U21" s="26">
        <f t="shared" si="2"/>
        <v>0.5172000000000001</v>
      </c>
      <c r="V21" s="25">
        <v>0.38800000000000001</v>
      </c>
      <c r="W21" s="25">
        <v>0.57999999999999996</v>
      </c>
      <c r="X21" s="25">
        <v>0.42499999999999999</v>
      </c>
      <c r="Y21" s="25">
        <v>0.502</v>
      </c>
      <c r="Z21" s="25">
        <v>0.57399999999999995</v>
      </c>
      <c r="AA21" s="26">
        <f t="shared" si="3"/>
        <v>0.49379999999999996</v>
      </c>
      <c r="AB21" s="25">
        <v>0.38800000000000001</v>
      </c>
      <c r="AC21" s="25">
        <v>0.57999999999999996</v>
      </c>
      <c r="AD21" s="25">
        <v>0.42499999999999999</v>
      </c>
      <c r="AE21" s="25">
        <v>0.502</v>
      </c>
      <c r="AF21" s="25">
        <v>0.57399999999999995</v>
      </c>
      <c r="AG21" s="26">
        <f t="shared" si="4"/>
        <v>0.49379999999999996</v>
      </c>
      <c r="AH21" s="25">
        <f t="shared" si="5"/>
        <v>0</v>
      </c>
      <c r="AI21" s="25">
        <f t="shared" si="6"/>
        <v>-2.140000000000003E-2</v>
      </c>
    </row>
    <row r="22" spans="1:35" x14ac:dyDescent="0.25">
      <c r="A22" s="24" t="s">
        <v>132</v>
      </c>
      <c r="B22" s="25" t="s">
        <v>124</v>
      </c>
      <c r="C22" s="25">
        <v>0</v>
      </c>
      <c r="D22" s="25">
        <v>0.95099999999999996</v>
      </c>
      <c r="E22" s="25">
        <v>0.95299999999999996</v>
      </c>
      <c r="F22" s="25">
        <v>0.93700000000000006</v>
      </c>
      <c r="G22" s="25">
        <v>0.94899999999999995</v>
      </c>
      <c r="H22" s="25">
        <v>0.95799999999999996</v>
      </c>
      <c r="I22" s="26">
        <f t="shared" si="0"/>
        <v>0.9496</v>
      </c>
      <c r="J22" s="25">
        <v>0.96299999999999997</v>
      </c>
      <c r="K22" s="25">
        <v>0.96099999999999997</v>
      </c>
      <c r="L22" s="25">
        <v>0.95799999999999996</v>
      </c>
      <c r="M22" s="25">
        <v>0.95399999999999996</v>
      </c>
      <c r="N22" s="25">
        <v>0.95599999999999996</v>
      </c>
      <c r="O22" s="26">
        <f t="shared" si="1"/>
        <v>0.95839999999999992</v>
      </c>
      <c r="P22" s="25"/>
      <c r="Q22" s="25"/>
      <c r="R22" s="25"/>
      <c r="S22" s="25"/>
      <c r="T22" s="25"/>
      <c r="U22" s="26" t="str">
        <f t="shared" si="2"/>
        <v/>
      </c>
      <c r="V22" s="25"/>
      <c r="W22" s="25"/>
      <c r="X22" s="25"/>
      <c r="Y22" s="25"/>
      <c r="Z22" s="25"/>
      <c r="AA22" s="26" t="str">
        <f t="shared" si="3"/>
        <v/>
      </c>
      <c r="AB22" s="25">
        <v>0.90500000000000003</v>
      </c>
      <c r="AC22" s="25">
        <v>0.90500000000000003</v>
      </c>
      <c r="AD22" s="25">
        <v>0.9</v>
      </c>
      <c r="AE22" s="25">
        <v>0.91</v>
      </c>
      <c r="AF22" s="25">
        <v>0.91</v>
      </c>
      <c r="AG22" s="26">
        <f t="shared" si="4"/>
        <v>0.90600000000000003</v>
      </c>
      <c r="AH22" s="25" t="str">
        <f t="shared" si="5"/>
        <v/>
      </c>
      <c r="AI22" s="25">
        <f t="shared" si="6"/>
        <v>-5.2399999999999891E-2</v>
      </c>
    </row>
    <row r="23" spans="1:35" x14ac:dyDescent="0.25">
      <c r="A23" s="24" t="s">
        <v>132</v>
      </c>
      <c r="B23" s="25" t="s">
        <v>125</v>
      </c>
      <c r="C23" s="25">
        <v>0.2</v>
      </c>
      <c r="D23" s="25">
        <v>0.83</v>
      </c>
      <c r="E23" s="25">
        <v>0.84399999999999997</v>
      </c>
      <c r="F23" s="25">
        <v>0.84699999999999998</v>
      </c>
      <c r="G23" s="25">
        <v>0.84899999999999998</v>
      </c>
      <c r="H23" s="25">
        <v>0.85799999999999998</v>
      </c>
      <c r="I23" s="26">
        <f t="shared" si="0"/>
        <v>0.84559999999999991</v>
      </c>
      <c r="J23" s="25">
        <v>0.89800000000000002</v>
      </c>
      <c r="K23" s="25">
        <v>0.92100000000000004</v>
      </c>
      <c r="L23" s="25">
        <v>0.90500000000000003</v>
      </c>
      <c r="M23" s="25">
        <v>0.91200000000000003</v>
      </c>
      <c r="N23" s="25">
        <v>0.91</v>
      </c>
      <c r="O23" s="26">
        <f t="shared" si="1"/>
        <v>0.90920000000000001</v>
      </c>
      <c r="P23" s="25">
        <v>0.94899999999999995</v>
      </c>
      <c r="Q23" s="25">
        <v>0.94899999999999995</v>
      </c>
      <c r="R23" s="25">
        <v>0.94199999999999995</v>
      </c>
      <c r="S23" s="25">
        <v>0.94199999999999995</v>
      </c>
      <c r="T23" s="25">
        <v>0.95299999999999996</v>
      </c>
      <c r="U23" s="26">
        <f t="shared" si="2"/>
        <v>0.94700000000000006</v>
      </c>
      <c r="V23" s="25">
        <v>0.94499999999999995</v>
      </c>
      <c r="W23" s="25">
        <v>0.94699999999999995</v>
      </c>
      <c r="X23" s="25">
        <v>0.94499999999999995</v>
      </c>
      <c r="Y23" s="25">
        <v>0.94599999999999995</v>
      </c>
      <c r="Z23" s="25">
        <v>0.94699999999999995</v>
      </c>
      <c r="AA23" s="26">
        <f t="shared" si="3"/>
        <v>0.94599999999999995</v>
      </c>
      <c r="AB23" s="25">
        <v>0.94699999999999995</v>
      </c>
      <c r="AC23" s="25">
        <v>0.94599999999999995</v>
      </c>
      <c r="AD23" s="25">
        <v>0.94499999999999995</v>
      </c>
      <c r="AE23" s="25">
        <v>0.94599999999999995</v>
      </c>
      <c r="AF23" s="25">
        <v>0.94699999999999995</v>
      </c>
      <c r="AG23" s="26">
        <f t="shared" si="4"/>
        <v>0.94619999999999993</v>
      </c>
      <c r="AH23" s="25">
        <f t="shared" si="5"/>
        <v>1.9999999999997797E-4</v>
      </c>
      <c r="AI23" s="25">
        <f t="shared" si="6"/>
        <v>3.6999999999999922E-2</v>
      </c>
    </row>
    <row r="24" spans="1:35" x14ac:dyDescent="0.25">
      <c r="A24" s="24" t="s">
        <v>132</v>
      </c>
      <c r="B24" s="25" t="s">
        <v>125</v>
      </c>
      <c r="C24" s="25">
        <v>0.3</v>
      </c>
      <c r="D24" s="25">
        <v>0.75800000000000001</v>
      </c>
      <c r="E24" s="25">
        <v>0.81499999999999995</v>
      </c>
      <c r="F24" s="25">
        <v>0.72899999999999998</v>
      </c>
      <c r="G24" s="25">
        <v>0.77300000000000002</v>
      </c>
      <c r="H24" s="25">
        <v>0.79400000000000004</v>
      </c>
      <c r="I24" s="26">
        <f t="shared" si="0"/>
        <v>0.77380000000000004</v>
      </c>
      <c r="J24" s="25">
        <v>0.88900000000000001</v>
      </c>
      <c r="K24" s="25">
        <v>0.85099999999999998</v>
      </c>
      <c r="L24" s="25">
        <v>0.86099999999999999</v>
      </c>
      <c r="M24" s="25">
        <v>0.83799999999999997</v>
      </c>
      <c r="N24" s="25">
        <v>0.88400000000000001</v>
      </c>
      <c r="O24" s="26">
        <f t="shared" si="1"/>
        <v>0.86460000000000004</v>
      </c>
      <c r="P24" s="25">
        <v>0.88900000000000001</v>
      </c>
      <c r="Q24" s="25">
        <v>0.94599999999999995</v>
      </c>
      <c r="R24" s="25">
        <v>0.94199999999999995</v>
      </c>
      <c r="S24" s="25">
        <v>0.94199999999999995</v>
      </c>
      <c r="T24" s="25">
        <v>0.95299999999999996</v>
      </c>
      <c r="U24" s="26">
        <f t="shared" si="2"/>
        <v>0.93440000000000012</v>
      </c>
      <c r="V24" s="25">
        <v>0.89500000000000002</v>
      </c>
      <c r="W24" s="25">
        <v>0.94</v>
      </c>
      <c r="X24" s="25">
        <v>0.94499999999999995</v>
      </c>
      <c r="Y24" s="25">
        <v>0.94599999999999995</v>
      </c>
      <c r="Z24" s="25">
        <v>0.94699999999999995</v>
      </c>
      <c r="AA24" s="26">
        <f t="shared" si="3"/>
        <v>0.93459999999999999</v>
      </c>
      <c r="AB24" s="25">
        <v>0.89500000000000002</v>
      </c>
      <c r="AC24" s="25">
        <v>0.94</v>
      </c>
      <c r="AD24" s="25">
        <v>0.94499999999999995</v>
      </c>
      <c r="AE24" s="25">
        <v>0.94599999999999995</v>
      </c>
      <c r="AF24" s="25">
        <v>0.94699999999999995</v>
      </c>
      <c r="AG24" s="26">
        <f t="shared" si="4"/>
        <v>0.93459999999999999</v>
      </c>
      <c r="AH24" s="25">
        <f t="shared" si="5"/>
        <v>0</v>
      </c>
      <c r="AI24" s="25">
        <f t="shared" si="6"/>
        <v>6.9999999999999951E-2</v>
      </c>
    </row>
    <row r="25" spans="1:35" x14ac:dyDescent="0.25">
      <c r="A25" s="24" t="s">
        <v>132</v>
      </c>
      <c r="B25" s="25" t="s">
        <v>125</v>
      </c>
      <c r="C25" s="25">
        <v>0.4</v>
      </c>
      <c r="D25" s="25">
        <v>0.64900000000000002</v>
      </c>
      <c r="E25" s="25">
        <v>0.64500000000000002</v>
      </c>
      <c r="F25" s="25">
        <v>0.65500000000000003</v>
      </c>
      <c r="G25" s="25">
        <v>0.68899999999999995</v>
      </c>
      <c r="H25" s="25">
        <v>0.60399999999999998</v>
      </c>
      <c r="I25" s="26">
        <f t="shared" si="0"/>
        <v>0.64839999999999998</v>
      </c>
      <c r="J25" s="25">
        <v>0.76100000000000001</v>
      </c>
      <c r="K25" s="25">
        <v>0.73299999999999998</v>
      </c>
      <c r="L25" s="25">
        <v>0.81</v>
      </c>
      <c r="M25" s="25">
        <v>0.77900000000000003</v>
      </c>
      <c r="N25" s="25">
        <v>0.76600000000000001</v>
      </c>
      <c r="O25" s="26">
        <f t="shared" si="1"/>
        <v>0.76980000000000004</v>
      </c>
      <c r="P25" s="25">
        <v>0.69799999999999995</v>
      </c>
      <c r="Q25" s="25">
        <v>0.74199999999999999</v>
      </c>
      <c r="R25" s="25">
        <v>0.73299999999999998</v>
      </c>
      <c r="S25" s="25">
        <v>0.68899999999999995</v>
      </c>
      <c r="T25" s="25">
        <v>0.69899999999999995</v>
      </c>
      <c r="U25" s="26">
        <f t="shared" si="2"/>
        <v>0.71219999999999994</v>
      </c>
      <c r="V25" s="25">
        <v>0.77400000000000002</v>
      </c>
      <c r="W25" s="25">
        <v>0.754</v>
      </c>
      <c r="X25" s="25">
        <v>0.78600000000000003</v>
      </c>
      <c r="Y25" s="25">
        <v>0.71199999999999997</v>
      </c>
      <c r="Z25" s="25">
        <v>0.74199999999999999</v>
      </c>
      <c r="AA25" s="26">
        <f t="shared" si="3"/>
        <v>0.75359999999999994</v>
      </c>
      <c r="AB25" s="25">
        <v>0.77400000000000002</v>
      </c>
      <c r="AC25" s="25">
        <v>0.754</v>
      </c>
      <c r="AD25" s="25">
        <v>0.78600000000000003</v>
      </c>
      <c r="AE25" s="25">
        <v>0.71199999999999997</v>
      </c>
      <c r="AF25" s="25">
        <v>0.74199999999999999</v>
      </c>
      <c r="AG25" s="26">
        <f t="shared" si="4"/>
        <v>0.75359999999999994</v>
      </c>
      <c r="AH25" s="25">
        <f t="shared" si="5"/>
        <v>0</v>
      </c>
      <c r="AI25" s="25">
        <f t="shared" si="6"/>
        <v>-1.6200000000000103E-2</v>
      </c>
    </row>
    <row r="26" spans="1:35" x14ac:dyDescent="0.25">
      <c r="A26" s="24" t="s">
        <v>132</v>
      </c>
      <c r="B26" s="25" t="s">
        <v>125</v>
      </c>
      <c r="C26" s="25">
        <v>0.5</v>
      </c>
      <c r="D26" s="25">
        <v>0.52700000000000002</v>
      </c>
      <c r="E26" s="25">
        <v>0.54100000000000004</v>
      </c>
      <c r="F26" s="25">
        <v>0.497</v>
      </c>
      <c r="G26" s="25">
        <v>0.47499999999999998</v>
      </c>
      <c r="H26" s="25">
        <v>0.48699999999999999</v>
      </c>
      <c r="I26" s="26">
        <f t="shared" si="0"/>
        <v>0.50540000000000007</v>
      </c>
      <c r="J26" s="25">
        <v>0.54700000000000004</v>
      </c>
      <c r="K26" s="25">
        <v>0.501</v>
      </c>
      <c r="L26" s="25">
        <v>0.52</v>
      </c>
      <c r="M26" s="25">
        <v>0.50600000000000001</v>
      </c>
      <c r="N26" s="25">
        <v>0.53900000000000003</v>
      </c>
      <c r="O26" s="26">
        <f t="shared" si="1"/>
        <v>0.52259999999999995</v>
      </c>
      <c r="P26" s="25">
        <v>0.51700000000000002</v>
      </c>
      <c r="Q26" s="25">
        <v>0.58699999999999997</v>
      </c>
      <c r="R26" s="25">
        <v>0.48699999999999999</v>
      </c>
      <c r="S26" s="25">
        <v>0.496</v>
      </c>
      <c r="T26" s="25">
        <v>0.504</v>
      </c>
      <c r="U26" s="26">
        <f t="shared" si="2"/>
        <v>0.51819999999999999</v>
      </c>
      <c r="V26" s="25">
        <v>0.56799999999999995</v>
      </c>
      <c r="W26" s="25">
        <v>0.53400000000000003</v>
      </c>
      <c r="X26" s="25">
        <v>0.52400000000000002</v>
      </c>
      <c r="Y26" s="25">
        <v>0.51300000000000001</v>
      </c>
      <c r="Z26" s="25">
        <v>0.53100000000000003</v>
      </c>
      <c r="AA26" s="26">
        <f t="shared" si="3"/>
        <v>0.53400000000000003</v>
      </c>
      <c r="AB26" s="25">
        <v>0.56799999999999995</v>
      </c>
      <c r="AC26" s="25">
        <v>0.53400000000000003</v>
      </c>
      <c r="AD26" s="25">
        <v>0.52400000000000002</v>
      </c>
      <c r="AE26" s="25">
        <v>0.51300000000000001</v>
      </c>
      <c r="AF26" s="25">
        <v>0.53100000000000003</v>
      </c>
      <c r="AG26" s="26">
        <f t="shared" si="4"/>
        <v>0.53400000000000003</v>
      </c>
      <c r="AH26" s="25">
        <f t="shared" si="5"/>
        <v>0</v>
      </c>
      <c r="AI26" s="25">
        <f t="shared" si="6"/>
        <v>1.1400000000000077E-2</v>
      </c>
    </row>
    <row r="27" spans="1:35" x14ac:dyDescent="0.25">
      <c r="A27" s="24" t="s">
        <v>132</v>
      </c>
      <c r="B27" s="25" t="s">
        <v>126</v>
      </c>
      <c r="C27" s="25">
        <v>0.2</v>
      </c>
      <c r="D27" s="25">
        <v>0.875</v>
      </c>
      <c r="E27" s="25">
        <v>0.88400000000000001</v>
      </c>
      <c r="F27" s="25">
        <v>0.86799999999999999</v>
      </c>
      <c r="G27" s="25">
        <v>0.88400000000000001</v>
      </c>
      <c r="H27" s="25">
        <v>0.89800000000000002</v>
      </c>
      <c r="I27" s="26">
        <f t="shared" si="0"/>
        <v>0.88179999999999992</v>
      </c>
      <c r="J27" s="25">
        <v>0.90300000000000002</v>
      </c>
      <c r="K27" s="25">
        <v>0.89500000000000002</v>
      </c>
      <c r="L27" s="25">
        <v>0.88200000000000001</v>
      </c>
      <c r="M27" s="25">
        <v>0.90900000000000003</v>
      </c>
      <c r="N27" s="25">
        <v>0.90500000000000003</v>
      </c>
      <c r="O27" s="26">
        <f t="shared" si="1"/>
        <v>0.89880000000000015</v>
      </c>
      <c r="P27" s="25"/>
      <c r="Q27" s="25"/>
      <c r="R27" s="25"/>
      <c r="S27" s="25"/>
      <c r="T27" s="25"/>
      <c r="U27" s="26" t="str">
        <f t="shared" si="2"/>
        <v/>
      </c>
      <c r="V27" s="25"/>
      <c r="W27" s="25"/>
      <c r="X27" s="25"/>
      <c r="Y27" s="25"/>
      <c r="Z27" s="25"/>
      <c r="AA27" s="26" t="str">
        <f t="shared" si="3"/>
        <v/>
      </c>
      <c r="AB27" s="25">
        <v>0.90500000000000003</v>
      </c>
      <c r="AC27" s="25">
        <v>0.91</v>
      </c>
      <c r="AD27" s="25">
        <v>0.9</v>
      </c>
      <c r="AE27" s="25">
        <v>0.90700000000000003</v>
      </c>
      <c r="AF27" s="25">
        <v>0.91</v>
      </c>
      <c r="AG27" s="26">
        <f t="shared" si="4"/>
        <v>0.90639999999999998</v>
      </c>
      <c r="AH27" s="25" t="str">
        <f t="shared" si="5"/>
        <v/>
      </c>
      <c r="AI27" s="25">
        <f t="shared" si="6"/>
        <v>7.5999999999998291E-3</v>
      </c>
    </row>
    <row r="28" spans="1:35" x14ac:dyDescent="0.25">
      <c r="A28" s="24" t="s">
        <v>132</v>
      </c>
      <c r="B28" s="25" t="s">
        <v>126</v>
      </c>
      <c r="C28" s="25">
        <v>0.3</v>
      </c>
      <c r="D28" s="25">
        <v>0.84699999999999998</v>
      </c>
      <c r="E28" s="25">
        <v>0.85899999999999999</v>
      </c>
      <c r="F28" s="25">
        <v>0.84699999999999998</v>
      </c>
      <c r="G28" s="25">
        <v>0.81699999999999995</v>
      </c>
      <c r="H28" s="25">
        <v>0.86099999999999999</v>
      </c>
      <c r="I28" s="26">
        <f t="shared" si="0"/>
        <v>0.84619999999999995</v>
      </c>
      <c r="J28" s="25">
        <v>0.86499999999999999</v>
      </c>
      <c r="K28" s="25">
        <v>0.86799999999999999</v>
      </c>
      <c r="L28" s="25">
        <v>0.879</v>
      </c>
      <c r="M28" s="25">
        <v>0.86099999999999999</v>
      </c>
      <c r="N28" s="25">
        <v>0.85799999999999998</v>
      </c>
      <c r="O28" s="26">
        <f t="shared" si="1"/>
        <v>0.86619999999999986</v>
      </c>
      <c r="P28" s="25"/>
      <c r="Q28" s="25"/>
      <c r="R28" s="25"/>
      <c r="S28" s="25"/>
      <c r="T28" s="25"/>
      <c r="U28" s="26" t="str">
        <f t="shared" si="2"/>
        <v/>
      </c>
      <c r="V28" s="25"/>
      <c r="W28" s="25"/>
      <c r="X28" s="25"/>
      <c r="Y28" s="25"/>
      <c r="Z28" s="25"/>
      <c r="AA28" s="26" t="str">
        <f t="shared" si="3"/>
        <v/>
      </c>
      <c r="AB28" s="25">
        <v>0.90500000000000003</v>
      </c>
      <c r="AC28" s="25">
        <v>0.90900000000000003</v>
      </c>
      <c r="AD28" s="25">
        <v>0.90300000000000002</v>
      </c>
      <c r="AE28" s="25">
        <v>0.91200000000000003</v>
      </c>
      <c r="AF28" s="25">
        <v>0.91200000000000003</v>
      </c>
      <c r="AG28" s="26">
        <f t="shared" si="4"/>
        <v>0.90820000000000012</v>
      </c>
      <c r="AH28" s="25" t="str">
        <f t="shared" si="5"/>
        <v/>
      </c>
      <c r="AI28" s="25">
        <f t="shared" si="6"/>
        <v>4.2000000000000259E-2</v>
      </c>
    </row>
    <row r="29" spans="1:35" x14ac:dyDescent="0.25">
      <c r="A29" s="24" t="s">
        <v>132</v>
      </c>
      <c r="B29" s="25" t="s">
        <v>126</v>
      </c>
      <c r="C29" s="25">
        <v>0.4</v>
      </c>
      <c r="D29" s="25">
        <v>0.82199999999999995</v>
      </c>
      <c r="E29" s="25">
        <v>0.81699999999999995</v>
      </c>
      <c r="F29" s="25">
        <v>0.82199999999999995</v>
      </c>
      <c r="G29" s="25">
        <v>0.78400000000000003</v>
      </c>
      <c r="H29" s="25">
        <v>0.80500000000000005</v>
      </c>
      <c r="I29" s="26">
        <f t="shared" si="0"/>
        <v>0.80999999999999994</v>
      </c>
      <c r="J29" s="25">
        <v>0.82399999999999995</v>
      </c>
      <c r="K29" s="25">
        <v>0.82899999999999996</v>
      </c>
      <c r="L29" s="25">
        <v>0.80300000000000005</v>
      </c>
      <c r="M29" s="25">
        <v>0.82299999999999995</v>
      </c>
      <c r="N29" s="25">
        <v>0.81899999999999995</v>
      </c>
      <c r="O29" s="26">
        <f t="shared" si="1"/>
        <v>0.8196</v>
      </c>
      <c r="P29" s="25"/>
      <c r="Q29" s="25"/>
      <c r="R29" s="25"/>
      <c r="S29" s="25"/>
      <c r="T29" s="25"/>
      <c r="U29" s="26" t="str">
        <f t="shared" si="2"/>
        <v/>
      </c>
      <c r="V29" s="25"/>
      <c r="W29" s="25"/>
      <c r="X29" s="25"/>
      <c r="Y29" s="25"/>
      <c r="Z29" s="25"/>
      <c r="AA29" s="26" t="str">
        <f t="shared" si="3"/>
        <v/>
      </c>
      <c r="AB29" s="25">
        <v>0.91</v>
      </c>
      <c r="AC29" s="25">
        <v>0.90500000000000003</v>
      </c>
      <c r="AD29" s="25">
        <v>0.9</v>
      </c>
      <c r="AE29" s="25">
        <v>0.90700000000000003</v>
      </c>
      <c r="AF29" s="25">
        <v>0.90900000000000003</v>
      </c>
      <c r="AG29" s="26">
        <f t="shared" si="4"/>
        <v>0.90619999999999989</v>
      </c>
      <c r="AH29" s="25" t="str">
        <f t="shared" si="5"/>
        <v/>
      </c>
      <c r="AI29" s="25">
        <f t="shared" si="6"/>
        <v>8.6599999999999899E-2</v>
      </c>
    </row>
    <row r="30" spans="1:35" x14ac:dyDescent="0.25">
      <c r="A30" s="24" t="s">
        <v>132</v>
      </c>
      <c r="B30" s="25" t="s">
        <v>126</v>
      </c>
      <c r="C30" s="25">
        <v>0.5</v>
      </c>
      <c r="D30" s="25">
        <v>0.749</v>
      </c>
      <c r="E30" s="25">
        <v>0.73499999999999999</v>
      </c>
      <c r="F30" s="25">
        <v>0.749</v>
      </c>
      <c r="G30" s="25">
        <v>0.75900000000000001</v>
      </c>
      <c r="H30" s="25">
        <v>0.754</v>
      </c>
      <c r="I30" s="26">
        <f t="shared" si="0"/>
        <v>0.74919999999999998</v>
      </c>
      <c r="J30" s="25">
        <v>0.77200000000000002</v>
      </c>
      <c r="K30" s="25">
        <v>0.78400000000000003</v>
      </c>
      <c r="L30" s="25">
        <v>0.747</v>
      </c>
      <c r="M30" s="25">
        <v>0.77200000000000002</v>
      </c>
      <c r="N30" s="25">
        <v>0.75700000000000001</v>
      </c>
      <c r="O30" s="26">
        <f t="shared" si="1"/>
        <v>0.76640000000000008</v>
      </c>
      <c r="P30" s="25"/>
      <c r="Q30" s="25"/>
      <c r="R30" s="25"/>
      <c r="S30" s="25"/>
      <c r="T30" s="25"/>
      <c r="U30" s="26" t="str">
        <f t="shared" si="2"/>
        <v/>
      </c>
      <c r="V30" s="25"/>
      <c r="W30" s="25"/>
      <c r="X30" s="25"/>
      <c r="Y30" s="25"/>
      <c r="Z30" s="25"/>
      <c r="AA30" s="26" t="str">
        <f t="shared" si="3"/>
        <v/>
      </c>
      <c r="AB30" s="25">
        <v>0.90300000000000002</v>
      </c>
      <c r="AC30" s="25">
        <v>0.89800000000000002</v>
      </c>
      <c r="AD30" s="25">
        <v>0.9</v>
      </c>
      <c r="AE30" s="25">
        <v>0.90300000000000002</v>
      </c>
      <c r="AF30" s="25">
        <v>0.91</v>
      </c>
      <c r="AG30" s="26">
        <f t="shared" si="4"/>
        <v>0.90280000000000005</v>
      </c>
      <c r="AH30" s="25" t="str">
        <f t="shared" si="5"/>
        <v/>
      </c>
      <c r="AI30" s="25">
        <f t="shared" si="6"/>
        <v>0.13639999999999997</v>
      </c>
    </row>
    <row r="31" spans="1:35" x14ac:dyDescent="0.25">
      <c r="A31" s="24" t="s">
        <v>132</v>
      </c>
      <c r="B31" s="25" t="s">
        <v>127</v>
      </c>
      <c r="C31" s="25">
        <v>0.2</v>
      </c>
      <c r="D31" s="25">
        <v>0.85399999999999998</v>
      </c>
      <c r="E31" s="25">
        <v>0.83499999999999996</v>
      </c>
      <c r="F31" s="25">
        <v>0.873</v>
      </c>
      <c r="G31" s="25">
        <v>0.86799999999999999</v>
      </c>
      <c r="H31" s="25">
        <v>0.875</v>
      </c>
      <c r="I31" s="26">
        <f t="shared" si="0"/>
        <v>0.86099999999999999</v>
      </c>
      <c r="J31" s="25">
        <v>0.92300000000000004</v>
      </c>
      <c r="K31" s="25">
        <v>0.88800000000000001</v>
      </c>
      <c r="L31" s="25">
        <v>0.93</v>
      </c>
      <c r="M31" s="25">
        <v>0.90700000000000003</v>
      </c>
      <c r="N31" s="25">
        <v>0.91200000000000003</v>
      </c>
      <c r="O31" s="26">
        <f t="shared" si="1"/>
        <v>0.91200000000000014</v>
      </c>
      <c r="P31" s="25">
        <v>0.94699999999999995</v>
      </c>
      <c r="Q31" s="25">
        <v>0.94599999999999995</v>
      </c>
      <c r="R31" s="25">
        <v>0.94199999999999995</v>
      </c>
      <c r="S31" s="25">
        <v>0.94199999999999995</v>
      </c>
      <c r="T31" s="25">
        <v>0.95299999999999996</v>
      </c>
      <c r="U31" s="26">
        <f t="shared" si="2"/>
        <v>0.94600000000000006</v>
      </c>
      <c r="V31" s="25">
        <v>0.94199999999999995</v>
      </c>
      <c r="W31" s="25">
        <v>0.94</v>
      </c>
      <c r="X31" s="25">
        <v>0.94499999999999995</v>
      </c>
      <c r="Y31" s="25">
        <v>0.94599999999999995</v>
      </c>
      <c r="Z31" s="25">
        <v>0.94699999999999995</v>
      </c>
      <c r="AA31" s="26">
        <f t="shared" si="3"/>
        <v>0.94399999999999995</v>
      </c>
      <c r="AB31" s="25">
        <v>0.94199999999999995</v>
      </c>
      <c r="AC31" s="25">
        <v>0.94</v>
      </c>
      <c r="AD31" s="25">
        <v>0.94499999999999995</v>
      </c>
      <c r="AE31" s="25">
        <v>0.94599999999999995</v>
      </c>
      <c r="AF31" s="25">
        <v>0.94699999999999995</v>
      </c>
      <c r="AG31" s="26">
        <f t="shared" si="4"/>
        <v>0.94399999999999995</v>
      </c>
      <c r="AH31" s="25">
        <f t="shared" si="5"/>
        <v>0</v>
      </c>
      <c r="AI31" s="25">
        <f t="shared" si="6"/>
        <v>3.1999999999999806E-2</v>
      </c>
    </row>
    <row r="32" spans="1:35" x14ac:dyDescent="0.25">
      <c r="A32" s="24" t="s">
        <v>132</v>
      </c>
      <c r="B32" s="25" t="s">
        <v>127</v>
      </c>
      <c r="C32" s="25">
        <v>0.3</v>
      </c>
      <c r="D32" s="25">
        <v>0.75600000000000001</v>
      </c>
      <c r="E32" s="25">
        <v>0.79300000000000004</v>
      </c>
      <c r="F32" s="25">
        <v>0.81</v>
      </c>
      <c r="G32" s="25">
        <v>0.78200000000000003</v>
      </c>
      <c r="H32" s="25">
        <v>0.83699999999999997</v>
      </c>
      <c r="I32" s="26">
        <f t="shared" si="0"/>
        <v>0.79559999999999997</v>
      </c>
      <c r="J32" s="25">
        <v>0.85099999999999998</v>
      </c>
      <c r="K32" s="25">
        <v>0.84499999999999997</v>
      </c>
      <c r="L32" s="25">
        <v>0.85099999999999998</v>
      </c>
      <c r="M32" s="25">
        <v>0.86299999999999999</v>
      </c>
      <c r="N32" s="25">
        <v>0.86599999999999999</v>
      </c>
      <c r="O32" s="26">
        <f t="shared" si="1"/>
        <v>0.85519999999999996</v>
      </c>
      <c r="P32" s="25">
        <v>0.94699999999999995</v>
      </c>
      <c r="Q32" s="25">
        <v>0.94599999999999995</v>
      </c>
      <c r="R32" s="25">
        <v>0.85699999999999998</v>
      </c>
      <c r="S32" s="25">
        <v>0.94199999999999995</v>
      </c>
      <c r="T32" s="25">
        <v>0.95299999999999996</v>
      </c>
      <c r="U32" s="26">
        <f t="shared" si="2"/>
        <v>0.92900000000000005</v>
      </c>
      <c r="V32" s="25">
        <v>0.94199999999999995</v>
      </c>
      <c r="W32" s="25">
        <v>0.94</v>
      </c>
      <c r="X32" s="25">
        <v>0.90500000000000003</v>
      </c>
      <c r="Y32" s="25">
        <v>0.94599999999999995</v>
      </c>
      <c r="Z32" s="25">
        <v>0.94699999999999995</v>
      </c>
      <c r="AA32" s="26">
        <f t="shared" si="3"/>
        <v>0.93599999999999994</v>
      </c>
      <c r="AB32" s="25">
        <v>0.94199999999999995</v>
      </c>
      <c r="AC32" s="25">
        <v>0.94</v>
      </c>
      <c r="AD32" s="25">
        <v>0.90500000000000003</v>
      </c>
      <c r="AE32" s="25">
        <v>0.94599999999999995</v>
      </c>
      <c r="AF32" s="25">
        <v>0.94699999999999995</v>
      </c>
      <c r="AG32" s="26">
        <f t="shared" si="4"/>
        <v>0.93599999999999994</v>
      </c>
      <c r="AH32" s="25">
        <f t="shared" si="5"/>
        <v>0</v>
      </c>
      <c r="AI32" s="25">
        <f t="shared" si="6"/>
        <v>8.0799999999999983E-2</v>
      </c>
    </row>
    <row r="33" spans="1:35" x14ac:dyDescent="0.25">
      <c r="A33" s="24" t="s">
        <v>132</v>
      </c>
      <c r="B33" s="25" t="s">
        <v>127</v>
      </c>
      <c r="C33" s="25">
        <v>0.4</v>
      </c>
      <c r="D33" s="25">
        <v>0.69899999999999995</v>
      </c>
      <c r="E33" s="25">
        <v>0.64300000000000002</v>
      </c>
      <c r="F33" s="25">
        <v>0.71499999999999997</v>
      </c>
      <c r="G33" s="25">
        <v>0.629</v>
      </c>
      <c r="H33" s="25">
        <v>0.67300000000000004</v>
      </c>
      <c r="I33" s="26">
        <f t="shared" si="0"/>
        <v>0.67179999999999995</v>
      </c>
      <c r="J33" s="25">
        <v>0.747</v>
      </c>
      <c r="K33" s="25">
        <v>0.71299999999999997</v>
      </c>
      <c r="L33" s="25">
        <v>0.71299999999999997</v>
      </c>
      <c r="M33" s="25">
        <v>0.69599999999999995</v>
      </c>
      <c r="N33" s="25">
        <v>0.68899999999999995</v>
      </c>
      <c r="O33" s="26">
        <f t="shared" si="1"/>
        <v>0.71160000000000001</v>
      </c>
      <c r="P33" s="25">
        <v>0.60899999999999999</v>
      </c>
      <c r="Q33" s="25">
        <v>0.60299999999999998</v>
      </c>
      <c r="R33" s="25">
        <v>0.70199999999999996</v>
      </c>
      <c r="S33" s="25">
        <v>0.54300000000000004</v>
      </c>
      <c r="T33" s="25">
        <v>0.63700000000000001</v>
      </c>
      <c r="U33" s="26">
        <f t="shared" si="2"/>
        <v>0.61880000000000002</v>
      </c>
      <c r="V33" s="25">
        <v>0.66800000000000004</v>
      </c>
      <c r="W33" s="25">
        <v>0.70399999999999996</v>
      </c>
      <c r="X33" s="25">
        <v>0.81100000000000005</v>
      </c>
      <c r="Y33" s="25">
        <v>0.56100000000000005</v>
      </c>
      <c r="Z33" s="25">
        <v>0.67800000000000005</v>
      </c>
      <c r="AA33" s="26">
        <f t="shared" si="3"/>
        <v>0.6843999999999999</v>
      </c>
      <c r="AB33" s="25">
        <v>0.69399999999999995</v>
      </c>
      <c r="AC33" s="25">
        <v>0.73699999999999999</v>
      </c>
      <c r="AD33" s="25">
        <v>0.82799999999999996</v>
      </c>
      <c r="AE33" s="25">
        <v>0.61699999999999999</v>
      </c>
      <c r="AF33" s="25">
        <v>0.76100000000000001</v>
      </c>
      <c r="AG33" s="26">
        <f t="shared" si="4"/>
        <v>0.72740000000000005</v>
      </c>
      <c r="AH33" s="25">
        <f t="shared" si="5"/>
        <v>4.3000000000000149E-2</v>
      </c>
      <c r="AI33" s="25">
        <f t="shared" si="6"/>
        <v>1.5800000000000036E-2</v>
      </c>
    </row>
    <row r="34" spans="1:35" x14ac:dyDescent="0.25">
      <c r="A34" s="24" t="s">
        <v>132</v>
      </c>
      <c r="B34" s="25" t="s">
        <v>127</v>
      </c>
      <c r="C34" s="25">
        <v>0.5</v>
      </c>
      <c r="D34" s="25">
        <v>0.47099999999999997</v>
      </c>
      <c r="E34" s="25">
        <v>0.54100000000000004</v>
      </c>
      <c r="F34" s="25">
        <v>0.499</v>
      </c>
      <c r="G34" s="25">
        <v>0.45</v>
      </c>
      <c r="H34" s="25">
        <v>0.53600000000000003</v>
      </c>
      <c r="I34" s="26">
        <f t="shared" si="0"/>
        <v>0.49939999999999996</v>
      </c>
      <c r="J34" s="25">
        <v>0.57099999999999995</v>
      </c>
      <c r="K34" s="25">
        <v>0.50800000000000001</v>
      </c>
      <c r="L34" s="25">
        <v>0.626</v>
      </c>
      <c r="M34" s="25">
        <v>0.53400000000000003</v>
      </c>
      <c r="N34" s="25">
        <v>0.496</v>
      </c>
      <c r="O34" s="26">
        <f t="shared" si="1"/>
        <v>0.54699999999999993</v>
      </c>
      <c r="P34" s="25">
        <v>0.51700000000000002</v>
      </c>
      <c r="Q34" s="25">
        <v>0.42</v>
      </c>
      <c r="R34" s="25">
        <v>0.51</v>
      </c>
      <c r="S34" s="25">
        <v>0.53300000000000003</v>
      </c>
      <c r="T34" s="25">
        <v>0.52200000000000002</v>
      </c>
      <c r="U34" s="26">
        <f t="shared" si="2"/>
        <v>0.50039999999999996</v>
      </c>
      <c r="V34" s="25">
        <v>0.52700000000000002</v>
      </c>
      <c r="W34" s="25">
        <v>0.51500000000000001</v>
      </c>
      <c r="X34" s="25">
        <v>0.51900000000000002</v>
      </c>
      <c r="Y34" s="25">
        <v>0.51200000000000001</v>
      </c>
      <c r="Z34" s="25">
        <v>0.52700000000000002</v>
      </c>
      <c r="AA34" s="26">
        <f t="shared" si="3"/>
        <v>0.52</v>
      </c>
      <c r="AB34" s="25">
        <v>0.52700000000000002</v>
      </c>
      <c r="AC34" s="25">
        <v>0.51500000000000001</v>
      </c>
      <c r="AD34" s="25">
        <v>0.51900000000000002</v>
      </c>
      <c r="AE34" s="25">
        <v>0.51200000000000001</v>
      </c>
      <c r="AF34" s="25">
        <v>0.52700000000000002</v>
      </c>
      <c r="AG34" s="26">
        <f t="shared" si="4"/>
        <v>0.52</v>
      </c>
      <c r="AH34" s="25">
        <f t="shared" si="5"/>
        <v>0</v>
      </c>
      <c r="AI34" s="25">
        <f t="shared" si="6"/>
        <v>-2.6999999999999913E-2</v>
      </c>
    </row>
    <row r="35" spans="1:35" x14ac:dyDescent="0.25">
      <c r="A35" s="24" t="s">
        <v>132</v>
      </c>
      <c r="B35" s="25" t="s">
        <v>128</v>
      </c>
      <c r="C35" s="25">
        <v>0.2</v>
      </c>
      <c r="D35" s="25">
        <v>0.78900000000000003</v>
      </c>
      <c r="E35" s="25">
        <v>0.77900000000000003</v>
      </c>
      <c r="F35" s="25">
        <v>0.76600000000000001</v>
      </c>
      <c r="G35" s="25">
        <v>0.81399999999999995</v>
      </c>
      <c r="H35" s="25">
        <v>0.83</v>
      </c>
      <c r="I35" s="26">
        <f t="shared" si="0"/>
        <v>0.79560000000000008</v>
      </c>
      <c r="J35" s="25">
        <v>0.84399999999999997</v>
      </c>
      <c r="K35" s="25">
        <v>0.84699999999999998</v>
      </c>
      <c r="L35" s="25">
        <v>0.81899999999999995</v>
      </c>
      <c r="M35" s="25">
        <v>0.85199999999999998</v>
      </c>
      <c r="N35" s="25">
        <v>0.85399999999999998</v>
      </c>
      <c r="O35" s="26">
        <f t="shared" si="1"/>
        <v>0.84319999999999984</v>
      </c>
      <c r="P35" s="25"/>
      <c r="Q35" s="25"/>
      <c r="R35" s="25"/>
      <c r="S35" s="25"/>
      <c r="T35" s="25"/>
      <c r="U35" s="26" t="str">
        <f t="shared" si="2"/>
        <v/>
      </c>
      <c r="V35" s="25"/>
      <c r="W35" s="25"/>
      <c r="X35" s="25"/>
      <c r="Y35" s="25"/>
      <c r="Z35" s="25"/>
      <c r="AA35" s="26" t="str">
        <f t="shared" si="3"/>
        <v/>
      </c>
      <c r="AB35" s="25">
        <v>0.93500000000000005</v>
      </c>
      <c r="AC35" s="25">
        <v>0.92600000000000005</v>
      </c>
      <c r="AD35" s="25">
        <v>0.92400000000000004</v>
      </c>
      <c r="AE35" s="25">
        <v>0.93100000000000005</v>
      </c>
      <c r="AF35" s="25">
        <v>0.92800000000000005</v>
      </c>
      <c r="AG35" s="26">
        <f t="shared" si="4"/>
        <v>0.92880000000000007</v>
      </c>
      <c r="AH35" s="25" t="str">
        <f t="shared" si="5"/>
        <v/>
      </c>
      <c r="AI35" s="25">
        <f t="shared" si="6"/>
        <v>8.5600000000000231E-2</v>
      </c>
    </row>
    <row r="36" spans="1:35" x14ac:dyDescent="0.25">
      <c r="A36" s="24" t="s">
        <v>132</v>
      </c>
      <c r="B36" s="25" t="s">
        <v>128</v>
      </c>
      <c r="C36" s="25">
        <v>0.3</v>
      </c>
      <c r="D36" s="25">
        <v>0.754</v>
      </c>
      <c r="E36" s="25">
        <v>0.71499999999999997</v>
      </c>
      <c r="F36" s="25">
        <v>0.71</v>
      </c>
      <c r="G36" s="25">
        <v>0.70599999999999996</v>
      </c>
      <c r="H36" s="25">
        <v>0.76800000000000002</v>
      </c>
      <c r="I36" s="26">
        <f t="shared" si="0"/>
        <v>0.73059999999999992</v>
      </c>
      <c r="J36" s="25">
        <v>0.79100000000000004</v>
      </c>
      <c r="K36" s="25">
        <v>0.78400000000000003</v>
      </c>
      <c r="L36" s="25">
        <v>0.80100000000000005</v>
      </c>
      <c r="M36" s="25">
        <v>0.80800000000000005</v>
      </c>
      <c r="N36" s="25">
        <v>0.80300000000000005</v>
      </c>
      <c r="O36" s="26">
        <f t="shared" si="1"/>
        <v>0.7974</v>
      </c>
      <c r="P36" s="25"/>
      <c r="Q36" s="25"/>
      <c r="R36" s="25"/>
      <c r="S36" s="25"/>
      <c r="T36" s="25"/>
      <c r="U36" s="26" t="str">
        <f t="shared" si="2"/>
        <v/>
      </c>
      <c r="V36" s="25"/>
      <c r="W36" s="25"/>
      <c r="X36" s="25"/>
      <c r="Y36" s="25"/>
      <c r="Z36" s="25"/>
      <c r="AA36" s="26" t="str">
        <f t="shared" si="3"/>
        <v/>
      </c>
      <c r="AB36" s="25">
        <v>0.90300000000000002</v>
      </c>
      <c r="AC36" s="25">
        <v>0.91700000000000004</v>
      </c>
      <c r="AD36" s="25">
        <v>0.91900000000000004</v>
      </c>
      <c r="AE36" s="25">
        <v>0.91700000000000004</v>
      </c>
      <c r="AF36" s="25">
        <v>0.91700000000000004</v>
      </c>
      <c r="AG36" s="26">
        <f t="shared" si="4"/>
        <v>0.91459999999999986</v>
      </c>
      <c r="AH36" s="25" t="str">
        <f t="shared" si="5"/>
        <v/>
      </c>
      <c r="AI36" s="25">
        <f t="shared" si="6"/>
        <v>0.11719999999999986</v>
      </c>
    </row>
    <row r="37" spans="1:35" x14ac:dyDescent="0.25">
      <c r="A37" s="24" t="s">
        <v>132</v>
      </c>
      <c r="B37" s="25" t="s">
        <v>128</v>
      </c>
      <c r="C37" s="25">
        <v>0.4</v>
      </c>
      <c r="D37" s="25">
        <v>0.64</v>
      </c>
      <c r="E37" s="25">
        <v>0.69799999999999995</v>
      </c>
      <c r="F37" s="25">
        <v>0.64700000000000002</v>
      </c>
      <c r="G37" s="25">
        <v>0.63500000000000001</v>
      </c>
      <c r="H37" s="25">
        <v>0.622</v>
      </c>
      <c r="I37" s="26">
        <f t="shared" ref="I37:I68" si="7">IFERROR(AVERAGE(D37:H37),"")</f>
        <v>0.64839999999999998</v>
      </c>
      <c r="J37" s="25">
        <v>0.69199999999999995</v>
      </c>
      <c r="K37" s="25">
        <v>0.70699999999999996</v>
      </c>
      <c r="L37" s="25">
        <v>0.73799999999999999</v>
      </c>
      <c r="M37" s="25">
        <v>0.71199999999999997</v>
      </c>
      <c r="N37" s="25">
        <v>0.72199999999999998</v>
      </c>
      <c r="O37" s="26">
        <f t="shared" ref="O37:O68" si="8">IFERROR(AVERAGE(J37:N37),"")</f>
        <v>0.71420000000000006</v>
      </c>
      <c r="P37" s="25">
        <v>0.56299999999999994</v>
      </c>
      <c r="Q37" s="25">
        <v>0.56899999999999995</v>
      </c>
      <c r="R37" s="25">
        <v>0.46200000000000002</v>
      </c>
      <c r="S37" s="25">
        <v>0.65400000000000003</v>
      </c>
      <c r="T37" s="25">
        <v>0.71399999999999997</v>
      </c>
      <c r="U37" s="26">
        <f t="shared" ref="U37:U68" si="9">IFERROR(AVERAGE(P37:T37),"")</f>
        <v>0.59239999999999993</v>
      </c>
      <c r="V37" s="25">
        <v>0.65500000000000003</v>
      </c>
      <c r="W37" s="25">
        <v>0.69899999999999995</v>
      </c>
      <c r="X37" s="25">
        <v>0.70899999999999996</v>
      </c>
      <c r="Y37" s="25">
        <v>0.67500000000000004</v>
      </c>
      <c r="Z37" s="25">
        <v>0.77400000000000002</v>
      </c>
      <c r="AA37" s="26">
        <f t="shared" ref="AA37:AA68" si="10">IFERROR(AVERAGE(V37:Z37),"")</f>
        <v>0.70240000000000014</v>
      </c>
      <c r="AB37" s="25">
        <v>0.71199999999999997</v>
      </c>
      <c r="AC37" s="25">
        <v>0.745</v>
      </c>
      <c r="AD37" s="25">
        <v>0.84199999999999997</v>
      </c>
      <c r="AE37" s="25">
        <v>0.67500000000000004</v>
      </c>
      <c r="AF37" s="25">
        <v>0.78900000000000003</v>
      </c>
      <c r="AG37" s="26">
        <f t="shared" ref="AG37:AG68" si="11">IFERROR(AVERAGE(AB37:AF37),"")</f>
        <v>0.75260000000000005</v>
      </c>
      <c r="AH37" s="25">
        <f t="shared" ref="AH37:AH68" si="12">IFERROR(AG37-AA37,"")</f>
        <v>5.0199999999999911E-2</v>
      </c>
      <c r="AI37" s="25">
        <f t="shared" ref="AI37:AI68" si="13">IFERROR(AG37-O37,"")</f>
        <v>3.839999999999999E-2</v>
      </c>
    </row>
    <row r="38" spans="1:35" x14ac:dyDescent="0.25">
      <c r="A38" s="24" t="s">
        <v>132</v>
      </c>
      <c r="B38" s="25" t="s">
        <v>128</v>
      </c>
      <c r="C38" s="25">
        <v>0.5</v>
      </c>
      <c r="D38" s="25">
        <v>0.46</v>
      </c>
      <c r="E38" s="25">
        <v>0.53600000000000003</v>
      </c>
      <c r="F38" s="25">
        <v>0.56200000000000006</v>
      </c>
      <c r="G38" s="25">
        <v>0.496</v>
      </c>
      <c r="H38" s="25">
        <v>0.45300000000000001</v>
      </c>
      <c r="I38" s="26">
        <f t="shared" si="7"/>
        <v>0.50140000000000007</v>
      </c>
      <c r="J38" s="25">
        <v>0.42699999999999999</v>
      </c>
      <c r="K38" s="25">
        <v>0.45</v>
      </c>
      <c r="L38" s="25">
        <v>0.48199999999999998</v>
      </c>
      <c r="M38" s="25">
        <v>0.44600000000000001</v>
      </c>
      <c r="N38" s="25">
        <v>0.52200000000000002</v>
      </c>
      <c r="O38" s="26">
        <f t="shared" si="8"/>
        <v>0.46539999999999998</v>
      </c>
      <c r="P38" s="25">
        <v>0.44800000000000001</v>
      </c>
      <c r="Q38" s="25">
        <v>0.499</v>
      </c>
      <c r="R38" s="25">
        <v>0.49199999999999999</v>
      </c>
      <c r="S38" s="25">
        <v>0.46200000000000002</v>
      </c>
      <c r="T38" s="25">
        <v>0.48899999999999999</v>
      </c>
      <c r="U38" s="26">
        <f t="shared" si="9"/>
        <v>0.47800000000000004</v>
      </c>
      <c r="V38" s="25">
        <v>0.496</v>
      </c>
      <c r="W38" s="25">
        <v>0.48499999999999999</v>
      </c>
      <c r="X38" s="25">
        <v>0.52900000000000003</v>
      </c>
      <c r="Y38" s="25">
        <v>0.38800000000000001</v>
      </c>
      <c r="Z38" s="25">
        <v>0.54700000000000004</v>
      </c>
      <c r="AA38" s="26">
        <f t="shared" si="10"/>
        <v>0.48900000000000005</v>
      </c>
      <c r="AB38" s="25">
        <v>0.496</v>
      </c>
      <c r="AC38" s="25">
        <v>0.48499999999999999</v>
      </c>
      <c r="AD38" s="25">
        <v>0.52900000000000003</v>
      </c>
      <c r="AE38" s="25">
        <v>0.38800000000000001</v>
      </c>
      <c r="AF38" s="25">
        <v>0.54700000000000004</v>
      </c>
      <c r="AG38" s="26">
        <f t="shared" si="11"/>
        <v>0.48900000000000005</v>
      </c>
      <c r="AH38" s="25">
        <f t="shared" si="12"/>
        <v>0</v>
      </c>
      <c r="AI38" s="25">
        <f t="shared" si="13"/>
        <v>2.3600000000000065E-2</v>
      </c>
    </row>
    <row r="39" spans="1:35" x14ac:dyDescent="0.25">
      <c r="A39" s="24" t="s">
        <v>123</v>
      </c>
      <c r="B39" s="25" t="s">
        <v>124</v>
      </c>
      <c r="C39" s="25">
        <v>0</v>
      </c>
      <c r="D39" s="25">
        <v>0.73</v>
      </c>
      <c r="E39" s="25">
        <v>0.76800000000000002</v>
      </c>
      <c r="F39" s="25">
        <v>0.72699999999999998</v>
      </c>
      <c r="G39" s="25">
        <v>0.73399999999999999</v>
      </c>
      <c r="H39" s="25">
        <v>0.78600000000000003</v>
      </c>
      <c r="I39" s="26">
        <f t="shared" si="7"/>
        <v>0.749</v>
      </c>
      <c r="J39" s="25">
        <v>0.79400000000000004</v>
      </c>
      <c r="K39" s="25">
        <v>0.78700000000000003</v>
      </c>
      <c r="L39" s="25">
        <v>0.77600000000000002</v>
      </c>
      <c r="M39" s="25">
        <v>0.78300000000000003</v>
      </c>
      <c r="N39" s="25">
        <v>0.746</v>
      </c>
      <c r="O39" s="26">
        <f t="shared" si="8"/>
        <v>0.7772</v>
      </c>
      <c r="P39" s="25"/>
      <c r="Q39" s="25"/>
      <c r="R39" s="25"/>
      <c r="S39" s="25"/>
      <c r="T39" s="25"/>
      <c r="U39" s="26" t="str">
        <f t="shared" si="9"/>
        <v/>
      </c>
      <c r="V39" s="25"/>
      <c r="W39" s="25"/>
      <c r="X39" s="25"/>
      <c r="Y39" s="25"/>
      <c r="Z39" s="25"/>
      <c r="AA39" s="26" t="str">
        <f t="shared" si="10"/>
        <v/>
      </c>
      <c r="AB39" s="25">
        <v>0.69199999999999995</v>
      </c>
      <c r="AC39" s="25">
        <v>0.69399999999999995</v>
      </c>
      <c r="AD39" s="25">
        <v>0.70099999999999996</v>
      </c>
      <c r="AE39" s="25">
        <v>0.71199999999999997</v>
      </c>
      <c r="AF39" s="25">
        <v>0.71199999999999997</v>
      </c>
      <c r="AG39" s="26">
        <f t="shared" si="11"/>
        <v>0.70219999999999982</v>
      </c>
      <c r="AH39" s="25" t="str">
        <f t="shared" si="12"/>
        <v/>
      </c>
      <c r="AI39" s="25">
        <f t="shared" si="13"/>
        <v>-7.5000000000000178E-2</v>
      </c>
    </row>
    <row r="40" spans="1:35" x14ac:dyDescent="0.25">
      <c r="A40" s="24" t="s">
        <v>123</v>
      </c>
      <c r="B40" s="25" t="s">
        <v>125</v>
      </c>
      <c r="C40" s="25">
        <v>0.2</v>
      </c>
      <c r="D40" s="25">
        <v>0.63400000000000001</v>
      </c>
      <c r="E40" s="25">
        <v>0.65900000000000003</v>
      </c>
      <c r="F40" s="25">
        <v>0.66300000000000003</v>
      </c>
      <c r="G40" s="25">
        <v>0.63300000000000001</v>
      </c>
      <c r="H40" s="25">
        <v>0.70399999999999996</v>
      </c>
      <c r="I40" s="26">
        <f t="shared" si="7"/>
        <v>0.65860000000000007</v>
      </c>
      <c r="J40" s="25">
        <v>0.72299999999999998</v>
      </c>
      <c r="K40" s="25">
        <v>0.71499999999999997</v>
      </c>
      <c r="L40" s="25">
        <v>0.68500000000000005</v>
      </c>
      <c r="M40" s="25">
        <v>0.65900000000000003</v>
      </c>
      <c r="N40" s="25">
        <v>0.70099999999999996</v>
      </c>
      <c r="O40" s="26">
        <f t="shared" si="8"/>
        <v>0.6966</v>
      </c>
      <c r="P40" s="25"/>
      <c r="Q40" s="25"/>
      <c r="R40" s="25"/>
      <c r="S40" s="25"/>
      <c r="T40" s="25"/>
      <c r="U40" s="26" t="str">
        <f t="shared" si="9"/>
        <v/>
      </c>
      <c r="V40" s="25"/>
      <c r="W40" s="25"/>
      <c r="X40" s="25"/>
      <c r="Y40" s="25"/>
      <c r="Z40" s="25"/>
      <c r="AA40" s="26" t="str">
        <f t="shared" si="10"/>
        <v/>
      </c>
      <c r="AB40" s="25">
        <v>0.622</v>
      </c>
      <c r="AC40" s="25">
        <v>0.67100000000000004</v>
      </c>
      <c r="AD40" s="25">
        <v>0.57299999999999995</v>
      </c>
      <c r="AE40" s="25">
        <v>0.65200000000000002</v>
      </c>
      <c r="AF40" s="25">
        <v>0.64400000000000002</v>
      </c>
      <c r="AG40" s="26">
        <f t="shared" si="11"/>
        <v>0.63240000000000007</v>
      </c>
      <c r="AH40" s="25" t="str">
        <f t="shared" si="12"/>
        <v/>
      </c>
      <c r="AI40" s="25">
        <f t="shared" si="13"/>
        <v>-6.4199999999999924E-2</v>
      </c>
    </row>
    <row r="41" spans="1:35" x14ac:dyDescent="0.25">
      <c r="A41" s="24" t="s">
        <v>123</v>
      </c>
      <c r="B41" s="25" t="s">
        <v>125</v>
      </c>
      <c r="C41" s="25">
        <v>0.3</v>
      </c>
      <c r="D41" s="25">
        <v>0.54800000000000004</v>
      </c>
      <c r="E41" s="25">
        <v>0.58799999999999997</v>
      </c>
      <c r="F41" s="25">
        <v>0.65200000000000002</v>
      </c>
      <c r="G41" s="25">
        <v>0.61399999999999999</v>
      </c>
      <c r="H41" s="25">
        <v>0.64100000000000001</v>
      </c>
      <c r="I41" s="26">
        <f t="shared" si="7"/>
        <v>0.60860000000000003</v>
      </c>
      <c r="J41" s="25">
        <v>0.59599999999999997</v>
      </c>
      <c r="K41" s="25">
        <v>0.63</v>
      </c>
      <c r="L41" s="25">
        <v>0.61399999999999999</v>
      </c>
      <c r="M41" s="25">
        <v>0.65100000000000002</v>
      </c>
      <c r="N41" s="25">
        <v>0.64800000000000002</v>
      </c>
      <c r="O41" s="26">
        <f t="shared" si="8"/>
        <v>0.62779999999999991</v>
      </c>
      <c r="P41" s="25">
        <v>0.71099999999999997</v>
      </c>
      <c r="Q41" s="25"/>
      <c r="R41" s="25"/>
      <c r="S41" s="25"/>
      <c r="T41" s="25">
        <v>0.57399999999999995</v>
      </c>
      <c r="U41" s="26">
        <f t="shared" si="9"/>
        <v>0.64249999999999996</v>
      </c>
      <c r="V41" s="25">
        <v>0.626</v>
      </c>
      <c r="W41" s="25"/>
      <c r="X41" s="25"/>
      <c r="Y41" s="25"/>
      <c r="Z41" s="25">
        <v>0.57399999999999995</v>
      </c>
      <c r="AA41" s="26">
        <f t="shared" si="10"/>
        <v>0.6</v>
      </c>
      <c r="AB41" s="25">
        <v>0.626</v>
      </c>
      <c r="AC41" s="25">
        <v>0.61799999999999999</v>
      </c>
      <c r="AD41" s="25">
        <v>0.59199999999999997</v>
      </c>
      <c r="AE41" s="25">
        <v>0.54700000000000004</v>
      </c>
      <c r="AF41" s="25">
        <v>0.57699999999999996</v>
      </c>
      <c r="AG41" s="26">
        <f t="shared" si="11"/>
        <v>0.59199999999999997</v>
      </c>
      <c r="AH41" s="25">
        <f t="shared" si="12"/>
        <v>-8.0000000000000071E-3</v>
      </c>
      <c r="AI41" s="25">
        <f t="shared" si="13"/>
        <v>-3.5799999999999943E-2</v>
      </c>
    </row>
    <row r="42" spans="1:35" x14ac:dyDescent="0.25">
      <c r="A42" s="24" t="s">
        <v>123</v>
      </c>
      <c r="B42" s="25" t="s">
        <v>125</v>
      </c>
      <c r="C42" s="25">
        <v>0.4</v>
      </c>
      <c r="D42" s="25">
        <v>0.58799999999999997</v>
      </c>
      <c r="E42" s="25">
        <v>0.59799999999999998</v>
      </c>
      <c r="F42" s="25">
        <v>0.57299999999999995</v>
      </c>
      <c r="G42" s="25">
        <v>0.59599999999999997</v>
      </c>
      <c r="H42" s="25">
        <v>0.53200000000000003</v>
      </c>
      <c r="I42" s="26">
        <f t="shared" si="7"/>
        <v>0.57740000000000002</v>
      </c>
      <c r="J42" s="25">
        <v>0.58799999999999997</v>
      </c>
      <c r="K42" s="25">
        <v>0.57999999999999996</v>
      </c>
      <c r="L42" s="25">
        <v>0.57399999999999995</v>
      </c>
      <c r="M42" s="25">
        <v>0.629</v>
      </c>
      <c r="N42" s="25">
        <v>0.54</v>
      </c>
      <c r="O42" s="26">
        <f t="shared" si="8"/>
        <v>0.58220000000000005</v>
      </c>
      <c r="P42" s="25">
        <v>0.58799999999999997</v>
      </c>
      <c r="Q42" s="25">
        <v>0.67</v>
      </c>
      <c r="R42" s="25">
        <v>0.60299999999999998</v>
      </c>
      <c r="S42" s="25">
        <v>0.72199999999999998</v>
      </c>
      <c r="T42" s="25">
        <v>0.64</v>
      </c>
      <c r="U42" s="26">
        <f t="shared" si="9"/>
        <v>0.64460000000000006</v>
      </c>
      <c r="V42" s="25">
        <v>0.60599999999999998</v>
      </c>
      <c r="W42" s="25">
        <v>0.65900000000000003</v>
      </c>
      <c r="X42" s="25">
        <v>0.57999999999999996</v>
      </c>
      <c r="Y42" s="25">
        <v>0.67400000000000004</v>
      </c>
      <c r="Z42" s="25">
        <v>0.60299999999999998</v>
      </c>
      <c r="AA42" s="26">
        <f t="shared" si="10"/>
        <v>0.62439999999999996</v>
      </c>
      <c r="AB42" s="25">
        <v>0.60599999999999998</v>
      </c>
      <c r="AC42" s="25">
        <v>0.65900000000000003</v>
      </c>
      <c r="AD42" s="25">
        <v>0.57999999999999996</v>
      </c>
      <c r="AE42" s="25">
        <v>0.67400000000000004</v>
      </c>
      <c r="AF42" s="25">
        <v>0.60299999999999998</v>
      </c>
      <c r="AG42" s="26">
        <f t="shared" si="11"/>
        <v>0.62439999999999996</v>
      </c>
      <c r="AH42" s="25">
        <f t="shared" si="12"/>
        <v>0</v>
      </c>
      <c r="AI42" s="25">
        <f t="shared" si="13"/>
        <v>4.2199999999999904E-2</v>
      </c>
    </row>
    <row r="43" spans="1:35" x14ac:dyDescent="0.25">
      <c r="A43" s="24" t="s">
        <v>123</v>
      </c>
      <c r="B43" s="25" t="s">
        <v>125</v>
      </c>
      <c r="C43" s="25">
        <v>0.5</v>
      </c>
      <c r="D43" s="25">
        <v>0.502</v>
      </c>
      <c r="E43" s="25">
        <v>0.44900000000000001</v>
      </c>
      <c r="F43" s="25">
        <v>0.498</v>
      </c>
      <c r="G43" s="25">
        <v>0.53900000000000003</v>
      </c>
      <c r="H43" s="25">
        <v>0.502</v>
      </c>
      <c r="I43" s="26">
        <f t="shared" si="7"/>
        <v>0.49800000000000005</v>
      </c>
      <c r="J43" s="25">
        <v>0.47599999999999998</v>
      </c>
      <c r="K43" s="25">
        <v>0.45700000000000002</v>
      </c>
      <c r="L43" s="25">
        <v>0.498</v>
      </c>
      <c r="M43" s="25">
        <v>0.44600000000000001</v>
      </c>
      <c r="N43" s="25">
        <v>0.505</v>
      </c>
      <c r="O43" s="26">
        <f t="shared" si="8"/>
        <v>0.47640000000000005</v>
      </c>
      <c r="P43" s="25">
        <v>0.42699999999999999</v>
      </c>
      <c r="Q43" s="25">
        <v>0.52</v>
      </c>
      <c r="R43" s="25">
        <v>0.51300000000000001</v>
      </c>
      <c r="S43" s="25">
        <v>0.498</v>
      </c>
      <c r="T43" s="25">
        <v>0.45300000000000001</v>
      </c>
      <c r="U43" s="26">
        <f t="shared" si="9"/>
        <v>0.48220000000000002</v>
      </c>
      <c r="V43" s="25">
        <v>0.47899999999999998</v>
      </c>
      <c r="W43" s="25">
        <v>0.57299999999999995</v>
      </c>
      <c r="X43" s="25">
        <v>0.53200000000000003</v>
      </c>
      <c r="Y43" s="25">
        <v>0.495</v>
      </c>
      <c r="Z43" s="25">
        <v>0.442</v>
      </c>
      <c r="AA43" s="26">
        <f t="shared" si="10"/>
        <v>0.50420000000000009</v>
      </c>
      <c r="AB43" s="25">
        <v>0.47899999999999998</v>
      </c>
      <c r="AC43" s="25">
        <v>0.57299999999999995</v>
      </c>
      <c r="AD43" s="25">
        <v>0.53200000000000003</v>
      </c>
      <c r="AE43" s="25">
        <v>0.495</v>
      </c>
      <c r="AF43" s="25">
        <v>0.442</v>
      </c>
      <c r="AG43" s="26">
        <f t="shared" si="11"/>
        <v>0.50420000000000009</v>
      </c>
      <c r="AH43" s="25">
        <f t="shared" si="12"/>
        <v>0</v>
      </c>
      <c r="AI43" s="25">
        <f t="shared" si="13"/>
        <v>2.7800000000000047E-2</v>
      </c>
    </row>
    <row r="44" spans="1:35" x14ac:dyDescent="0.25">
      <c r="A44" s="24" t="s">
        <v>123</v>
      </c>
      <c r="B44" s="25" t="s">
        <v>126</v>
      </c>
      <c r="C44" s="25">
        <v>0.2</v>
      </c>
      <c r="D44" s="25">
        <v>0.749</v>
      </c>
      <c r="E44" s="25">
        <v>0.73</v>
      </c>
      <c r="F44" s="25">
        <v>0.745</v>
      </c>
      <c r="G44" s="25">
        <v>0.753</v>
      </c>
      <c r="H44" s="25">
        <v>0.749</v>
      </c>
      <c r="I44" s="26">
        <f t="shared" si="7"/>
        <v>0.74520000000000008</v>
      </c>
      <c r="J44" s="25">
        <v>0.77800000000000002</v>
      </c>
      <c r="K44" s="25">
        <v>0.77500000000000002</v>
      </c>
      <c r="L44" s="25">
        <v>0.74199999999999999</v>
      </c>
      <c r="M44" s="25">
        <v>0.749</v>
      </c>
      <c r="N44" s="25">
        <v>0.76100000000000001</v>
      </c>
      <c r="O44" s="26">
        <f t="shared" si="8"/>
        <v>0.76100000000000001</v>
      </c>
      <c r="P44" s="25"/>
      <c r="Q44" s="25"/>
      <c r="R44" s="25"/>
      <c r="S44" s="25"/>
      <c r="T44" s="25"/>
      <c r="U44" s="26" t="str">
        <f t="shared" si="9"/>
        <v/>
      </c>
      <c r="V44" s="25"/>
      <c r="W44" s="25"/>
      <c r="X44" s="25"/>
      <c r="Y44" s="25"/>
      <c r="Z44" s="25"/>
      <c r="AA44" s="26" t="str">
        <f t="shared" si="10"/>
        <v/>
      </c>
      <c r="AB44" s="25">
        <v>0.68500000000000005</v>
      </c>
      <c r="AC44" s="25">
        <v>0.68600000000000005</v>
      </c>
      <c r="AD44" s="25">
        <v>0.69699999999999995</v>
      </c>
      <c r="AE44" s="25">
        <v>0.69299999999999995</v>
      </c>
      <c r="AF44" s="25">
        <v>0.70399999999999996</v>
      </c>
      <c r="AG44" s="26">
        <f t="shared" si="11"/>
        <v>0.69299999999999995</v>
      </c>
      <c r="AH44" s="25" t="str">
        <f t="shared" si="12"/>
        <v/>
      </c>
      <c r="AI44" s="25">
        <f t="shared" si="13"/>
        <v>-6.800000000000006E-2</v>
      </c>
    </row>
    <row r="45" spans="1:35" x14ac:dyDescent="0.25">
      <c r="A45" s="24" t="s">
        <v>123</v>
      </c>
      <c r="B45" s="25" t="s">
        <v>126</v>
      </c>
      <c r="C45" s="25">
        <v>0.3</v>
      </c>
      <c r="D45" s="25">
        <v>0.76400000000000001</v>
      </c>
      <c r="E45" s="25">
        <v>0.753</v>
      </c>
      <c r="F45" s="25">
        <v>0.753</v>
      </c>
      <c r="G45" s="25">
        <v>0.73</v>
      </c>
      <c r="H45" s="25">
        <v>0.76400000000000001</v>
      </c>
      <c r="I45" s="26">
        <f t="shared" si="7"/>
        <v>0.75280000000000002</v>
      </c>
      <c r="J45" s="25">
        <v>0.78300000000000003</v>
      </c>
      <c r="K45" s="25">
        <v>0.77600000000000002</v>
      </c>
      <c r="L45" s="25">
        <v>0.78700000000000003</v>
      </c>
      <c r="M45" s="25">
        <v>0.78700000000000003</v>
      </c>
      <c r="N45" s="25">
        <v>0.746</v>
      </c>
      <c r="O45" s="26">
        <f t="shared" si="8"/>
        <v>0.77580000000000005</v>
      </c>
      <c r="P45" s="25"/>
      <c r="Q45" s="25"/>
      <c r="R45" s="25"/>
      <c r="S45" s="25"/>
      <c r="T45" s="25"/>
      <c r="U45" s="26" t="str">
        <f t="shared" si="9"/>
        <v/>
      </c>
      <c r="V45" s="25"/>
      <c r="W45" s="25"/>
      <c r="X45" s="25"/>
      <c r="Y45" s="25"/>
      <c r="Z45" s="25"/>
      <c r="AA45" s="26" t="str">
        <f t="shared" si="10"/>
        <v/>
      </c>
      <c r="AB45" s="25">
        <v>0.70399999999999996</v>
      </c>
      <c r="AC45" s="25">
        <v>0.72</v>
      </c>
      <c r="AD45" s="25">
        <v>0.71199999999999997</v>
      </c>
      <c r="AE45" s="25">
        <v>0.70799999999999996</v>
      </c>
      <c r="AF45" s="25">
        <v>0.69699999999999995</v>
      </c>
      <c r="AG45" s="26">
        <f t="shared" si="11"/>
        <v>0.70820000000000005</v>
      </c>
      <c r="AH45" s="25" t="str">
        <f t="shared" si="12"/>
        <v/>
      </c>
      <c r="AI45" s="25">
        <f t="shared" si="13"/>
        <v>-6.7599999999999993E-2</v>
      </c>
    </row>
    <row r="46" spans="1:35" x14ac:dyDescent="0.25">
      <c r="A46" s="24" t="s">
        <v>123</v>
      </c>
      <c r="B46" s="25" t="s">
        <v>126</v>
      </c>
      <c r="C46" s="25">
        <v>0.4</v>
      </c>
      <c r="D46" s="25">
        <v>0.745</v>
      </c>
      <c r="E46" s="25">
        <v>0.78700000000000003</v>
      </c>
      <c r="F46" s="25">
        <v>0.753</v>
      </c>
      <c r="G46" s="25">
        <v>0.77500000000000002</v>
      </c>
      <c r="H46" s="25">
        <v>0.79</v>
      </c>
      <c r="I46" s="26">
        <f t="shared" si="7"/>
        <v>0.77</v>
      </c>
      <c r="J46" s="25">
        <v>0.75600000000000001</v>
      </c>
      <c r="K46" s="25">
        <v>0.78700000000000003</v>
      </c>
      <c r="L46" s="25">
        <v>0.80500000000000005</v>
      </c>
      <c r="M46" s="25">
        <v>0.76100000000000001</v>
      </c>
      <c r="N46" s="25">
        <v>0.75600000000000001</v>
      </c>
      <c r="O46" s="26">
        <f t="shared" si="8"/>
        <v>0.77300000000000002</v>
      </c>
      <c r="P46" s="25"/>
      <c r="Q46" s="25"/>
      <c r="R46" s="25"/>
      <c r="S46" s="25"/>
      <c r="T46" s="25"/>
      <c r="U46" s="26" t="str">
        <f t="shared" si="9"/>
        <v/>
      </c>
      <c r="V46" s="25"/>
      <c r="W46" s="25"/>
      <c r="X46" s="25"/>
      <c r="Y46" s="25"/>
      <c r="Z46" s="25"/>
      <c r="AA46" s="26" t="str">
        <f t="shared" si="10"/>
        <v/>
      </c>
      <c r="AB46" s="25">
        <v>0.69199999999999995</v>
      </c>
      <c r="AC46" s="25">
        <v>0.70499999999999996</v>
      </c>
      <c r="AD46" s="25">
        <v>0.70399999999999996</v>
      </c>
      <c r="AE46" s="25">
        <v>0.69699999999999995</v>
      </c>
      <c r="AF46" s="25">
        <v>0.69699999999999995</v>
      </c>
      <c r="AG46" s="26">
        <f t="shared" si="11"/>
        <v>0.69900000000000007</v>
      </c>
      <c r="AH46" s="25" t="str">
        <f t="shared" si="12"/>
        <v/>
      </c>
      <c r="AI46" s="25">
        <f t="shared" si="13"/>
        <v>-7.3999999999999955E-2</v>
      </c>
    </row>
    <row r="47" spans="1:35" x14ac:dyDescent="0.25">
      <c r="A47" s="24" t="s">
        <v>123</v>
      </c>
      <c r="B47" s="25" t="s">
        <v>126</v>
      </c>
      <c r="C47" s="25">
        <v>0.5</v>
      </c>
      <c r="D47" s="25">
        <v>0.79400000000000004</v>
      </c>
      <c r="E47" s="25">
        <v>0.76400000000000001</v>
      </c>
      <c r="F47" s="25">
        <v>0.76800000000000002</v>
      </c>
      <c r="G47" s="25">
        <v>0.76400000000000001</v>
      </c>
      <c r="H47" s="25">
        <v>0.753</v>
      </c>
      <c r="I47" s="26">
        <f t="shared" si="7"/>
        <v>0.76859999999999995</v>
      </c>
      <c r="J47" s="25">
        <v>0.78700000000000003</v>
      </c>
      <c r="K47" s="25">
        <v>0.753</v>
      </c>
      <c r="L47" s="25">
        <v>0.76800000000000002</v>
      </c>
      <c r="M47" s="25">
        <v>0.76400000000000001</v>
      </c>
      <c r="N47" s="25">
        <v>0.76</v>
      </c>
      <c r="O47" s="26">
        <f t="shared" si="8"/>
        <v>0.76639999999999997</v>
      </c>
      <c r="P47" s="25"/>
      <c r="Q47" s="25"/>
      <c r="R47" s="25"/>
      <c r="S47" s="25"/>
      <c r="T47" s="25"/>
      <c r="U47" s="26" t="str">
        <f t="shared" si="9"/>
        <v/>
      </c>
      <c r="V47" s="25"/>
      <c r="W47" s="25"/>
      <c r="X47" s="25"/>
      <c r="Y47" s="25"/>
      <c r="Z47" s="25"/>
      <c r="AA47" s="26" t="str">
        <f t="shared" si="10"/>
        <v/>
      </c>
      <c r="AB47" s="25">
        <v>0.69599999999999995</v>
      </c>
      <c r="AC47" s="25">
        <v>0.70899999999999996</v>
      </c>
      <c r="AD47" s="25">
        <v>0.69699999999999995</v>
      </c>
      <c r="AE47" s="25">
        <v>0.70399999999999996</v>
      </c>
      <c r="AF47" s="25">
        <v>0.72299999999999998</v>
      </c>
      <c r="AG47" s="26">
        <f t="shared" si="11"/>
        <v>0.70579999999999998</v>
      </c>
      <c r="AH47" s="25" t="str">
        <f t="shared" si="12"/>
        <v/>
      </c>
      <c r="AI47" s="25">
        <f t="shared" si="13"/>
        <v>-6.0599999999999987E-2</v>
      </c>
    </row>
    <row r="48" spans="1:35" x14ac:dyDescent="0.25">
      <c r="A48" s="24" t="s">
        <v>123</v>
      </c>
      <c r="B48" s="25" t="s">
        <v>127</v>
      </c>
      <c r="C48" s="25">
        <v>0.2</v>
      </c>
      <c r="D48" s="25">
        <v>0.73</v>
      </c>
      <c r="E48" s="25">
        <v>0.77200000000000002</v>
      </c>
      <c r="F48" s="25">
        <v>0.76500000000000001</v>
      </c>
      <c r="G48" s="25">
        <v>0.753</v>
      </c>
      <c r="H48" s="25">
        <v>0.73399999999999999</v>
      </c>
      <c r="I48" s="26">
        <f t="shared" si="7"/>
        <v>0.75080000000000002</v>
      </c>
      <c r="J48" s="25">
        <v>0.75700000000000001</v>
      </c>
      <c r="K48" s="25">
        <v>0.77900000000000003</v>
      </c>
      <c r="L48" s="25">
        <v>0.73399999999999999</v>
      </c>
      <c r="M48" s="25">
        <v>0.75600000000000001</v>
      </c>
      <c r="N48" s="25">
        <v>0.749</v>
      </c>
      <c r="O48" s="26">
        <f t="shared" si="8"/>
        <v>0.755</v>
      </c>
      <c r="P48" s="25"/>
      <c r="Q48" s="25"/>
      <c r="R48" s="25"/>
      <c r="S48" s="25"/>
      <c r="T48" s="25"/>
      <c r="U48" s="26" t="str">
        <f t="shared" si="9"/>
        <v/>
      </c>
      <c r="V48" s="25"/>
      <c r="W48" s="25"/>
      <c r="X48" s="25"/>
      <c r="Y48" s="25"/>
      <c r="Z48" s="25"/>
      <c r="AA48" s="26" t="str">
        <f t="shared" si="10"/>
        <v/>
      </c>
      <c r="AB48" s="25">
        <v>0.66600000000000004</v>
      </c>
      <c r="AC48" s="25">
        <v>0.69399999999999995</v>
      </c>
      <c r="AD48" s="25">
        <v>0.68600000000000005</v>
      </c>
      <c r="AE48" s="25">
        <v>0.69299999999999995</v>
      </c>
      <c r="AF48" s="25">
        <v>0.7</v>
      </c>
      <c r="AG48" s="26">
        <f t="shared" si="11"/>
        <v>0.68779999999999997</v>
      </c>
      <c r="AH48" s="25" t="str">
        <f t="shared" si="12"/>
        <v/>
      </c>
      <c r="AI48" s="25">
        <f t="shared" si="13"/>
        <v>-6.7200000000000037E-2</v>
      </c>
    </row>
    <row r="49" spans="1:35" x14ac:dyDescent="0.25">
      <c r="A49" s="24" t="s">
        <v>123</v>
      </c>
      <c r="B49" s="25" t="s">
        <v>127</v>
      </c>
      <c r="C49" s="25">
        <v>0.3</v>
      </c>
      <c r="D49" s="25">
        <v>0.65500000000000003</v>
      </c>
      <c r="E49" s="25">
        <v>0.745</v>
      </c>
      <c r="F49" s="25">
        <v>0.68899999999999995</v>
      </c>
      <c r="G49" s="25">
        <v>0.70399999999999996</v>
      </c>
      <c r="H49" s="25">
        <v>0.67</v>
      </c>
      <c r="I49" s="26">
        <f t="shared" si="7"/>
        <v>0.69259999999999999</v>
      </c>
      <c r="J49" s="25">
        <v>0.74099999999999999</v>
      </c>
      <c r="K49" s="25">
        <v>0.73499999999999999</v>
      </c>
      <c r="L49" s="25">
        <v>0.70399999999999996</v>
      </c>
      <c r="M49" s="25">
        <v>0.76</v>
      </c>
      <c r="N49" s="25">
        <v>0.68500000000000005</v>
      </c>
      <c r="O49" s="26">
        <f t="shared" si="8"/>
        <v>0.72499999999999987</v>
      </c>
      <c r="P49" s="25"/>
      <c r="Q49" s="25"/>
      <c r="R49" s="25"/>
      <c r="S49" s="25"/>
      <c r="T49" s="25"/>
      <c r="U49" s="26" t="str">
        <f t="shared" si="9"/>
        <v/>
      </c>
      <c r="V49" s="25"/>
      <c r="W49" s="25"/>
      <c r="X49" s="25"/>
      <c r="Y49" s="25"/>
      <c r="Z49" s="25"/>
      <c r="AA49" s="26" t="str">
        <f t="shared" si="10"/>
        <v/>
      </c>
      <c r="AB49" s="25">
        <v>0.64400000000000002</v>
      </c>
      <c r="AC49" s="25">
        <v>0.68200000000000005</v>
      </c>
      <c r="AD49" s="25">
        <v>0.64400000000000002</v>
      </c>
      <c r="AE49" s="25">
        <v>0.68500000000000005</v>
      </c>
      <c r="AF49" s="25">
        <v>0.66600000000000004</v>
      </c>
      <c r="AG49" s="26">
        <f t="shared" si="11"/>
        <v>0.66420000000000001</v>
      </c>
      <c r="AH49" s="25" t="str">
        <f t="shared" si="12"/>
        <v/>
      </c>
      <c r="AI49" s="25">
        <f t="shared" si="13"/>
        <v>-6.0799999999999854E-2</v>
      </c>
    </row>
    <row r="50" spans="1:35" x14ac:dyDescent="0.25">
      <c r="A50" s="24" t="s">
        <v>123</v>
      </c>
      <c r="B50" s="25" t="s">
        <v>127</v>
      </c>
      <c r="C50" s="25">
        <v>0.4</v>
      </c>
      <c r="D50" s="25">
        <v>0.60199999999999998</v>
      </c>
      <c r="E50" s="25">
        <v>0.66200000000000003</v>
      </c>
      <c r="F50" s="25">
        <v>0.63300000000000001</v>
      </c>
      <c r="G50" s="25">
        <v>0.67400000000000004</v>
      </c>
      <c r="H50" s="25">
        <v>0.65200000000000002</v>
      </c>
      <c r="I50" s="26">
        <f t="shared" si="7"/>
        <v>0.64460000000000006</v>
      </c>
      <c r="J50" s="25">
        <v>0.61299999999999999</v>
      </c>
      <c r="K50" s="25">
        <v>0.60299999999999998</v>
      </c>
      <c r="L50" s="25">
        <v>0.65200000000000002</v>
      </c>
      <c r="M50" s="25">
        <v>0.63700000000000001</v>
      </c>
      <c r="N50" s="25">
        <v>0.59199999999999997</v>
      </c>
      <c r="O50" s="26">
        <f t="shared" si="8"/>
        <v>0.61939999999999995</v>
      </c>
      <c r="P50" s="25">
        <v>0.64</v>
      </c>
      <c r="Q50" s="25">
        <v>0.59399999999999997</v>
      </c>
      <c r="R50" s="25">
        <v>0.58499999999999996</v>
      </c>
      <c r="S50" s="25">
        <v>0.623</v>
      </c>
      <c r="T50" s="25">
        <v>0.72599999999999998</v>
      </c>
      <c r="U50" s="26">
        <f t="shared" si="9"/>
        <v>0.63360000000000005</v>
      </c>
      <c r="V50" s="25">
        <v>0.64500000000000002</v>
      </c>
      <c r="W50" s="25">
        <v>0.56599999999999995</v>
      </c>
      <c r="X50" s="25">
        <v>0.57899999999999996</v>
      </c>
      <c r="Y50" s="25">
        <v>0.66</v>
      </c>
      <c r="Z50" s="25">
        <v>0.59399999999999997</v>
      </c>
      <c r="AA50" s="26">
        <f t="shared" si="10"/>
        <v>0.6087999999999999</v>
      </c>
      <c r="AB50" s="25">
        <v>0.629</v>
      </c>
      <c r="AC50" s="25">
        <v>0.59899999999999998</v>
      </c>
      <c r="AD50" s="25">
        <v>0.59199999999999997</v>
      </c>
      <c r="AE50" s="25">
        <v>0.63700000000000001</v>
      </c>
      <c r="AF50" s="25">
        <v>0.622</v>
      </c>
      <c r="AG50" s="26">
        <f t="shared" si="11"/>
        <v>0.6157999999999999</v>
      </c>
      <c r="AH50" s="25">
        <f t="shared" si="12"/>
        <v>7.0000000000000062E-3</v>
      </c>
      <c r="AI50" s="25">
        <f t="shared" si="13"/>
        <v>-3.6000000000000476E-3</v>
      </c>
    </row>
    <row r="51" spans="1:35" x14ac:dyDescent="0.25">
      <c r="A51" s="24" t="s">
        <v>123</v>
      </c>
      <c r="B51" s="25" t="s">
        <v>127</v>
      </c>
      <c r="C51" s="25">
        <v>0.5</v>
      </c>
      <c r="D51" s="25">
        <v>0.46100000000000002</v>
      </c>
      <c r="E51" s="25">
        <v>0.502</v>
      </c>
      <c r="F51" s="25">
        <v>0.51600000000000001</v>
      </c>
      <c r="G51" s="25">
        <v>0.49</v>
      </c>
      <c r="H51" s="25">
        <v>0.46</v>
      </c>
      <c r="I51" s="26">
        <f t="shared" si="7"/>
        <v>0.48580000000000007</v>
      </c>
      <c r="J51" s="25">
        <v>0.52</v>
      </c>
      <c r="K51" s="25">
        <v>0.51300000000000001</v>
      </c>
      <c r="L51" s="25">
        <v>0.502</v>
      </c>
      <c r="M51" s="25">
        <v>0.49</v>
      </c>
      <c r="N51" s="25">
        <v>0.378</v>
      </c>
      <c r="O51" s="26">
        <f t="shared" si="8"/>
        <v>0.48060000000000003</v>
      </c>
      <c r="P51" s="25">
        <v>0.59899999999999998</v>
      </c>
      <c r="Q51" s="25">
        <v>0.52800000000000002</v>
      </c>
      <c r="R51" s="25">
        <v>0.58799999999999997</v>
      </c>
      <c r="S51" s="25">
        <v>0.49</v>
      </c>
      <c r="T51" s="25">
        <v>0.48699999999999999</v>
      </c>
      <c r="U51" s="26">
        <f t="shared" si="9"/>
        <v>0.53839999999999999</v>
      </c>
      <c r="V51" s="25">
        <v>0.53900000000000003</v>
      </c>
      <c r="W51" s="25">
        <v>0.438</v>
      </c>
      <c r="X51" s="25">
        <v>0.57699999999999996</v>
      </c>
      <c r="Y51" s="25">
        <v>0.502</v>
      </c>
      <c r="Z51" s="25">
        <v>0.45700000000000002</v>
      </c>
      <c r="AA51" s="26">
        <f t="shared" si="10"/>
        <v>0.50259999999999994</v>
      </c>
      <c r="AB51" s="25">
        <v>0.53900000000000003</v>
      </c>
      <c r="AC51" s="25">
        <v>0.438</v>
      </c>
      <c r="AD51" s="25">
        <v>0.57699999999999996</v>
      </c>
      <c r="AE51" s="25">
        <v>0.502</v>
      </c>
      <c r="AF51" s="25">
        <v>0.45700000000000002</v>
      </c>
      <c r="AG51" s="26">
        <f t="shared" si="11"/>
        <v>0.50259999999999994</v>
      </c>
      <c r="AH51" s="25">
        <f t="shared" si="12"/>
        <v>0</v>
      </c>
      <c r="AI51" s="25">
        <f t="shared" si="13"/>
        <v>2.1999999999999909E-2</v>
      </c>
    </row>
    <row r="52" spans="1:35" x14ac:dyDescent="0.25">
      <c r="A52" s="24" t="s">
        <v>123</v>
      </c>
      <c r="B52" s="25" t="s">
        <v>128</v>
      </c>
      <c r="C52" s="25">
        <v>0.2</v>
      </c>
      <c r="D52" s="25">
        <v>0.626</v>
      </c>
      <c r="E52" s="25">
        <v>0.629</v>
      </c>
      <c r="F52" s="25">
        <v>0.60699999999999998</v>
      </c>
      <c r="G52" s="25">
        <v>0.53900000000000003</v>
      </c>
      <c r="H52" s="25">
        <v>0.61</v>
      </c>
      <c r="I52" s="26">
        <f t="shared" si="7"/>
        <v>0.60219999999999996</v>
      </c>
      <c r="J52" s="25">
        <v>0.66600000000000004</v>
      </c>
      <c r="K52" s="25">
        <v>0.626</v>
      </c>
      <c r="L52" s="25">
        <v>0.64</v>
      </c>
      <c r="M52" s="25">
        <v>0.60299999999999998</v>
      </c>
      <c r="N52" s="25">
        <v>0.61799999999999999</v>
      </c>
      <c r="O52" s="26">
        <f t="shared" si="8"/>
        <v>0.63060000000000005</v>
      </c>
      <c r="P52" s="25">
        <v>0.79200000000000004</v>
      </c>
      <c r="Q52" s="25">
        <v>0.67300000000000004</v>
      </c>
      <c r="R52" s="25">
        <v>0.68200000000000005</v>
      </c>
      <c r="S52" s="25">
        <v>0.65</v>
      </c>
      <c r="T52" s="25">
        <v>0.64200000000000002</v>
      </c>
      <c r="U52" s="26">
        <f t="shared" si="9"/>
        <v>0.68779999999999997</v>
      </c>
      <c r="V52" s="25">
        <v>0.79200000000000004</v>
      </c>
      <c r="W52" s="25">
        <v>0.65400000000000003</v>
      </c>
      <c r="X52" s="25">
        <v>0.68200000000000005</v>
      </c>
      <c r="Y52" s="25">
        <v>0.69599999999999995</v>
      </c>
      <c r="Z52" s="25">
        <v>0.61</v>
      </c>
      <c r="AA52" s="26">
        <f t="shared" si="10"/>
        <v>0.68679999999999997</v>
      </c>
      <c r="AB52" s="25">
        <v>0.63300000000000001</v>
      </c>
      <c r="AC52" s="25">
        <v>0.626</v>
      </c>
      <c r="AD52" s="25">
        <v>0.64100000000000001</v>
      </c>
      <c r="AE52" s="25">
        <v>0.67800000000000005</v>
      </c>
      <c r="AF52" s="25">
        <v>0.57299999999999995</v>
      </c>
      <c r="AG52" s="26">
        <f t="shared" si="11"/>
        <v>0.63019999999999998</v>
      </c>
      <c r="AH52" s="25">
        <f t="shared" si="12"/>
        <v>-5.6599999999999984E-2</v>
      </c>
      <c r="AI52" s="25">
        <f t="shared" si="13"/>
        <v>-4.0000000000006697E-4</v>
      </c>
    </row>
    <row r="53" spans="1:35" x14ac:dyDescent="0.25">
      <c r="A53" s="24" t="s">
        <v>123</v>
      </c>
      <c r="B53" s="25" t="s">
        <v>128</v>
      </c>
      <c r="C53" s="25">
        <v>0.3</v>
      </c>
      <c r="D53" s="25">
        <v>0.55800000000000005</v>
      </c>
      <c r="E53" s="25">
        <v>0.54700000000000004</v>
      </c>
      <c r="F53" s="25">
        <v>0.48</v>
      </c>
      <c r="G53" s="25">
        <v>0.498</v>
      </c>
      <c r="H53" s="25">
        <v>0.56499999999999995</v>
      </c>
      <c r="I53" s="26">
        <f t="shared" si="7"/>
        <v>0.52960000000000007</v>
      </c>
      <c r="J53" s="25">
        <v>0.60599999999999998</v>
      </c>
      <c r="K53" s="25">
        <v>0.55800000000000005</v>
      </c>
      <c r="L53" s="25">
        <v>0.56599999999999995</v>
      </c>
      <c r="M53" s="25">
        <v>0.57299999999999995</v>
      </c>
      <c r="N53" s="25">
        <v>0.55000000000000004</v>
      </c>
      <c r="O53" s="26">
        <f t="shared" si="8"/>
        <v>0.5706</v>
      </c>
      <c r="P53" s="25">
        <v>0.59899999999999998</v>
      </c>
      <c r="Q53" s="25">
        <v>0.55100000000000005</v>
      </c>
      <c r="R53" s="25">
        <v>0.55100000000000005</v>
      </c>
      <c r="S53" s="25">
        <v>0.51700000000000002</v>
      </c>
      <c r="T53" s="25">
        <v>0.49399999999999999</v>
      </c>
      <c r="U53" s="26">
        <f t="shared" si="9"/>
        <v>0.54239999999999999</v>
      </c>
      <c r="V53" s="25">
        <v>0.56200000000000006</v>
      </c>
      <c r="W53" s="25">
        <v>0.60299999999999998</v>
      </c>
      <c r="X53" s="25">
        <v>0.53900000000000003</v>
      </c>
      <c r="Y53" s="25">
        <v>0.59099999999999997</v>
      </c>
      <c r="Z53" s="25">
        <v>0.57699999999999996</v>
      </c>
      <c r="AA53" s="26">
        <f t="shared" si="10"/>
        <v>0.57440000000000002</v>
      </c>
      <c r="AB53" s="25">
        <v>0.56200000000000006</v>
      </c>
      <c r="AC53" s="25">
        <v>0.60299999999999998</v>
      </c>
      <c r="AD53" s="25">
        <v>0.53900000000000003</v>
      </c>
      <c r="AE53" s="25">
        <v>0.59099999999999997</v>
      </c>
      <c r="AF53" s="25">
        <v>0.57699999999999996</v>
      </c>
      <c r="AG53" s="26">
        <f t="shared" si="11"/>
        <v>0.57440000000000002</v>
      </c>
      <c r="AH53" s="25">
        <f t="shared" si="12"/>
        <v>0</v>
      </c>
      <c r="AI53" s="25">
        <f t="shared" si="13"/>
        <v>3.8000000000000256E-3</v>
      </c>
    </row>
    <row r="54" spans="1:35" x14ac:dyDescent="0.25">
      <c r="A54" s="24" t="s">
        <v>123</v>
      </c>
      <c r="B54" s="25" t="s">
        <v>128</v>
      </c>
      <c r="C54" s="25">
        <v>0.4</v>
      </c>
      <c r="D54" s="25">
        <v>0.46800000000000003</v>
      </c>
      <c r="E54" s="25">
        <v>0.45</v>
      </c>
      <c r="F54" s="25">
        <v>0.45300000000000001</v>
      </c>
      <c r="G54" s="25">
        <v>0.42299999999999999</v>
      </c>
      <c r="H54" s="25">
        <v>0.49</v>
      </c>
      <c r="I54" s="26">
        <f t="shared" si="7"/>
        <v>0.45679999999999998</v>
      </c>
      <c r="J54" s="25">
        <v>0.498</v>
      </c>
      <c r="K54" s="25">
        <v>0.49</v>
      </c>
      <c r="L54" s="25">
        <v>0.48299999999999998</v>
      </c>
      <c r="M54" s="25">
        <v>0.53200000000000003</v>
      </c>
      <c r="N54" s="25">
        <v>0.495</v>
      </c>
      <c r="O54" s="26">
        <f t="shared" si="8"/>
        <v>0.49960000000000004</v>
      </c>
      <c r="P54" s="25">
        <v>0.502</v>
      </c>
      <c r="Q54" s="25">
        <v>0.42699999999999999</v>
      </c>
      <c r="R54" s="25">
        <v>0.45300000000000001</v>
      </c>
      <c r="S54" s="25">
        <v>0.55500000000000005</v>
      </c>
      <c r="T54" s="25">
        <v>0.48</v>
      </c>
      <c r="U54" s="26">
        <f t="shared" si="9"/>
        <v>0.48340000000000005</v>
      </c>
      <c r="V54" s="25">
        <v>0.46899999999999997</v>
      </c>
      <c r="W54" s="25">
        <v>0.48399999999999999</v>
      </c>
      <c r="X54" s="25">
        <v>0.44900000000000001</v>
      </c>
      <c r="Y54" s="25">
        <v>0.54300000000000004</v>
      </c>
      <c r="Z54" s="25">
        <v>0.50600000000000001</v>
      </c>
      <c r="AA54" s="26">
        <f t="shared" si="10"/>
        <v>0.49019999999999991</v>
      </c>
      <c r="AB54" s="25">
        <v>0.46899999999999997</v>
      </c>
      <c r="AC54" s="25">
        <v>0.48399999999999999</v>
      </c>
      <c r="AD54" s="25">
        <v>0.44900000000000001</v>
      </c>
      <c r="AE54" s="25">
        <v>0.54300000000000004</v>
      </c>
      <c r="AF54" s="25">
        <v>0.50600000000000001</v>
      </c>
      <c r="AG54" s="26">
        <f t="shared" si="11"/>
        <v>0.49019999999999991</v>
      </c>
      <c r="AH54" s="25">
        <f t="shared" si="12"/>
        <v>0</v>
      </c>
      <c r="AI54" s="25">
        <f t="shared" si="13"/>
        <v>-9.4000000000001305E-3</v>
      </c>
    </row>
    <row r="55" spans="1:35" x14ac:dyDescent="0.25">
      <c r="A55" s="24" t="s">
        <v>123</v>
      </c>
      <c r="B55" s="25" t="s">
        <v>128</v>
      </c>
      <c r="C55" s="25">
        <v>0.5</v>
      </c>
      <c r="D55" s="25">
        <v>0.49</v>
      </c>
      <c r="E55" s="25">
        <v>0.50900000000000001</v>
      </c>
      <c r="F55" s="25">
        <v>0.45300000000000001</v>
      </c>
      <c r="G55" s="25">
        <v>0.53200000000000003</v>
      </c>
      <c r="H55" s="25">
        <v>0.56200000000000006</v>
      </c>
      <c r="I55" s="26">
        <f t="shared" si="7"/>
        <v>0.5092000000000001</v>
      </c>
      <c r="J55" s="25">
        <v>0.49099999999999999</v>
      </c>
      <c r="K55" s="25">
        <v>0.50900000000000001</v>
      </c>
      <c r="L55" s="25">
        <v>0.48699999999999999</v>
      </c>
      <c r="M55" s="25">
        <v>0.52500000000000002</v>
      </c>
      <c r="N55" s="25">
        <v>0.501</v>
      </c>
      <c r="O55" s="26">
        <f t="shared" si="8"/>
        <v>0.50259999999999994</v>
      </c>
      <c r="P55" s="25">
        <v>0.49</v>
      </c>
      <c r="Q55" s="25">
        <v>0.49099999999999999</v>
      </c>
      <c r="R55" s="25">
        <v>0.46400000000000002</v>
      </c>
      <c r="S55" s="25">
        <v>0.45</v>
      </c>
      <c r="T55" s="25">
        <v>0.54300000000000004</v>
      </c>
      <c r="U55" s="26">
        <f t="shared" si="9"/>
        <v>0.48760000000000003</v>
      </c>
      <c r="V55" s="25">
        <v>0.51700000000000002</v>
      </c>
      <c r="W55" s="25">
        <v>0.47599999999999998</v>
      </c>
      <c r="X55" s="25">
        <v>0.47499999999999998</v>
      </c>
      <c r="Y55" s="25">
        <v>0.46500000000000002</v>
      </c>
      <c r="Z55" s="25">
        <v>0.48699999999999999</v>
      </c>
      <c r="AA55" s="26">
        <f t="shared" si="10"/>
        <v>0.48399999999999999</v>
      </c>
      <c r="AB55" s="25">
        <v>0.51700000000000002</v>
      </c>
      <c r="AC55" s="25">
        <v>0.47599999999999998</v>
      </c>
      <c r="AD55" s="25">
        <v>0.47499999999999998</v>
      </c>
      <c r="AE55" s="25">
        <v>0.46500000000000002</v>
      </c>
      <c r="AF55" s="25">
        <v>0.48699999999999999</v>
      </c>
      <c r="AG55" s="26">
        <f t="shared" si="11"/>
        <v>0.48399999999999999</v>
      </c>
      <c r="AH55" s="25">
        <f t="shared" si="12"/>
        <v>0</v>
      </c>
      <c r="AI55" s="25">
        <f t="shared" si="13"/>
        <v>-1.859999999999995E-2</v>
      </c>
    </row>
    <row r="56" spans="1:35" x14ac:dyDescent="0.25">
      <c r="A56" s="24" t="s">
        <v>134</v>
      </c>
      <c r="B56" s="25" t="s">
        <v>124</v>
      </c>
      <c r="C56" s="25">
        <v>0</v>
      </c>
      <c r="D56" s="25">
        <v>0.745</v>
      </c>
      <c r="E56" s="25">
        <v>0.755</v>
      </c>
      <c r="F56" s="25">
        <v>0.748</v>
      </c>
      <c r="G56" s="25">
        <v>0.749</v>
      </c>
      <c r="H56" s="25">
        <v>0.75800000000000001</v>
      </c>
      <c r="I56" s="26">
        <f t="shared" si="7"/>
        <v>0.75100000000000011</v>
      </c>
      <c r="J56" s="25">
        <v>0.73899999999999999</v>
      </c>
      <c r="K56" s="25">
        <v>0.745</v>
      </c>
      <c r="L56" s="25">
        <v>0.752</v>
      </c>
      <c r="M56" s="25">
        <v>0.745</v>
      </c>
      <c r="N56" s="25">
        <v>0.752</v>
      </c>
      <c r="O56" s="26">
        <f t="shared" si="8"/>
        <v>0.74659999999999993</v>
      </c>
      <c r="P56" s="25"/>
      <c r="Q56" s="25"/>
      <c r="R56" s="25"/>
      <c r="S56" s="25"/>
      <c r="T56" s="25"/>
      <c r="U56" s="26" t="str">
        <f t="shared" si="9"/>
        <v/>
      </c>
      <c r="V56" s="25"/>
      <c r="W56" s="25"/>
      <c r="X56" s="25"/>
      <c r="Y56" s="25"/>
      <c r="Z56" s="25"/>
      <c r="AA56" s="26" t="str">
        <f t="shared" si="10"/>
        <v/>
      </c>
      <c r="AB56" s="25">
        <v>0.53600000000000003</v>
      </c>
      <c r="AC56" s="25">
        <v>0.51</v>
      </c>
      <c r="AD56" s="25">
        <v>0.48399999999999999</v>
      </c>
      <c r="AE56" s="25">
        <v>0.52600000000000002</v>
      </c>
      <c r="AF56" s="25">
        <v>0.52600000000000002</v>
      </c>
      <c r="AG56" s="26">
        <f t="shared" si="11"/>
        <v>0.51639999999999997</v>
      </c>
      <c r="AH56" s="25" t="str">
        <f t="shared" si="12"/>
        <v/>
      </c>
      <c r="AI56" s="25">
        <f t="shared" si="13"/>
        <v>-0.23019999999999996</v>
      </c>
    </row>
    <row r="57" spans="1:35" x14ac:dyDescent="0.25">
      <c r="A57" s="24" t="s">
        <v>134</v>
      </c>
      <c r="B57" s="25" t="s">
        <v>125</v>
      </c>
      <c r="C57" s="25">
        <v>0.2</v>
      </c>
      <c r="D57" s="25">
        <v>0.73499999999999999</v>
      </c>
      <c r="E57" s="25">
        <v>0.745</v>
      </c>
      <c r="F57" s="25">
        <v>0.74199999999999999</v>
      </c>
      <c r="G57" s="25">
        <v>0.745</v>
      </c>
      <c r="H57" s="25">
        <v>0.72499999999999998</v>
      </c>
      <c r="I57" s="26">
        <f t="shared" si="7"/>
        <v>0.73840000000000006</v>
      </c>
      <c r="J57" s="25">
        <v>0.748</v>
      </c>
      <c r="K57" s="25">
        <v>0.755</v>
      </c>
      <c r="L57" s="25">
        <v>0.755</v>
      </c>
      <c r="M57" s="25">
        <v>0.73199999999999998</v>
      </c>
      <c r="N57" s="25">
        <v>0.71599999999999997</v>
      </c>
      <c r="O57" s="26">
        <f t="shared" si="8"/>
        <v>0.74120000000000008</v>
      </c>
      <c r="P57" s="25"/>
      <c r="Q57" s="25"/>
      <c r="R57" s="25"/>
      <c r="S57" s="25"/>
      <c r="T57" s="25"/>
      <c r="U57" s="26" t="str">
        <f t="shared" si="9"/>
        <v/>
      </c>
      <c r="V57" s="25"/>
      <c r="W57" s="25"/>
      <c r="X57" s="25"/>
      <c r="Y57" s="25"/>
      <c r="Z57" s="25"/>
      <c r="AA57" s="26" t="str">
        <f t="shared" si="10"/>
        <v/>
      </c>
      <c r="AB57" s="25">
        <v>0.51</v>
      </c>
      <c r="AC57" s="25">
        <v>0.503</v>
      </c>
      <c r="AD57" s="25">
        <v>0.47</v>
      </c>
      <c r="AE57" s="25">
        <v>0.46400000000000002</v>
      </c>
      <c r="AF57" s="25">
        <v>0.52300000000000002</v>
      </c>
      <c r="AG57" s="26">
        <f t="shared" si="11"/>
        <v>0.49399999999999994</v>
      </c>
      <c r="AH57" s="25" t="str">
        <f t="shared" si="12"/>
        <v/>
      </c>
      <c r="AI57" s="25">
        <f t="shared" si="13"/>
        <v>-0.24720000000000014</v>
      </c>
    </row>
    <row r="58" spans="1:35" x14ac:dyDescent="0.25">
      <c r="A58" s="24" t="s">
        <v>134</v>
      </c>
      <c r="B58" s="25" t="s">
        <v>125</v>
      </c>
      <c r="C58" s="25">
        <v>0.3</v>
      </c>
      <c r="D58" s="25">
        <v>0.73799999999999999</v>
      </c>
      <c r="E58" s="25">
        <v>0.73499999999999999</v>
      </c>
      <c r="F58" s="25">
        <v>0.69599999999999995</v>
      </c>
      <c r="G58" s="25">
        <v>0.71899999999999997</v>
      </c>
      <c r="H58" s="25">
        <v>0.66700000000000004</v>
      </c>
      <c r="I58" s="26">
        <f t="shared" si="7"/>
        <v>0.71099999999999997</v>
      </c>
      <c r="J58" s="25">
        <v>0.752</v>
      </c>
      <c r="K58" s="25">
        <v>0.73199999999999998</v>
      </c>
      <c r="L58" s="25">
        <v>0.748</v>
      </c>
      <c r="M58" s="25">
        <v>0.72199999999999998</v>
      </c>
      <c r="N58" s="25">
        <v>0.67</v>
      </c>
      <c r="O58" s="26">
        <f t="shared" si="8"/>
        <v>0.7248</v>
      </c>
      <c r="P58" s="25">
        <v>0.66100000000000003</v>
      </c>
      <c r="Q58" s="25">
        <v>0.61499999999999999</v>
      </c>
      <c r="R58" s="25">
        <v>0.66700000000000004</v>
      </c>
      <c r="S58" s="25">
        <v>0.63100000000000001</v>
      </c>
      <c r="T58" s="25">
        <v>0.66900000000000004</v>
      </c>
      <c r="U58" s="26">
        <f t="shared" si="9"/>
        <v>0.64859999999999995</v>
      </c>
      <c r="V58" s="25">
        <v>0.65700000000000003</v>
      </c>
      <c r="W58" s="25">
        <v>0.64700000000000002</v>
      </c>
      <c r="X58" s="25">
        <v>0.66100000000000003</v>
      </c>
      <c r="Y58" s="25">
        <v>0.73</v>
      </c>
      <c r="Z58" s="25">
        <v>0.69399999999999995</v>
      </c>
      <c r="AA58" s="26">
        <f t="shared" si="10"/>
        <v>0.67780000000000007</v>
      </c>
      <c r="AB58" s="25">
        <v>0.64400000000000002</v>
      </c>
      <c r="AC58" s="25">
        <v>0.58199999999999996</v>
      </c>
      <c r="AD58" s="25">
        <v>0.61499999999999999</v>
      </c>
      <c r="AE58" s="25">
        <v>0.61499999999999999</v>
      </c>
      <c r="AF58" s="25">
        <v>0.65300000000000002</v>
      </c>
      <c r="AG58" s="26">
        <f t="shared" si="11"/>
        <v>0.62180000000000002</v>
      </c>
      <c r="AH58" s="25">
        <f t="shared" si="12"/>
        <v>-5.600000000000005E-2</v>
      </c>
      <c r="AI58" s="25">
        <f t="shared" si="13"/>
        <v>-0.10299999999999998</v>
      </c>
    </row>
    <row r="59" spans="1:35" x14ac:dyDescent="0.25">
      <c r="A59" s="24" t="s">
        <v>134</v>
      </c>
      <c r="B59" s="25" t="s">
        <v>125</v>
      </c>
      <c r="C59" s="25">
        <v>0.4</v>
      </c>
      <c r="D59" s="25">
        <v>0.61899999999999999</v>
      </c>
      <c r="E59" s="25">
        <v>0.64400000000000002</v>
      </c>
      <c r="F59" s="25">
        <v>0.60199999999999998</v>
      </c>
      <c r="G59" s="25">
        <v>0.69299999999999995</v>
      </c>
      <c r="H59" s="25">
        <v>0.63100000000000001</v>
      </c>
      <c r="I59" s="26">
        <f t="shared" si="7"/>
        <v>0.63780000000000003</v>
      </c>
      <c r="J59" s="25">
        <v>0.58899999999999997</v>
      </c>
      <c r="K59" s="25">
        <v>0.64400000000000002</v>
      </c>
      <c r="L59" s="25">
        <v>0.64</v>
      </c>
      <c r="M59" s="25">
        <v>0.69299999999999995</v>
      </c>
      <c r="N59" s="25">
        <v>0.63100000000000001</v>
      </c>
      <c r="O59" s="26">
        <f t="shared" si="8"/>
        <v>0.63939999999999997</v>
      </c>
      <c r="P59" s="25">
        <v>0.58499999999999996</v>
      </c>
      <c r="Q59" s="25">
        <v>0.51600000000000001</v>
      </c>
      <c r="R59" s="25">
        <v>0.60699999999999998</v>
      </c>
      <c r="S59" s="25">
        <v>0.57499999999999996</v>
      </c>
      <c r="T59" s="25">
        <v>0.69899999999999995</v>
      </c>
      <c r="U59" s="26">
        <f t="shared" si="9"/>
        <v>0.59639999999999993</v>
      </c>
      <c r="V59" s="25">
        <v>0.52100000000000002</v>
      </c>
      <c r="W59" s="25">
        <v>0.56599999999999995</v>
      </c>
      <c r="X59" s="25">
        <v>0.58099999999999996</v>
      </c>
      <c r="Y59" s="25">
        <v>0.71</v>
      </c>
      <c r="Z59" s="25">
        <v>0.64</v>
      </c>
      <c r="AA59" s="26">
        <f t="shared" si="10"/>
        <v>0.60360000000000003</v>
      </c>
      <c r="AB59" s="25">
        <v>0.52100000000000002</v>
      </c>
      <c r="AC59" s="25">
        <v>0.56200000000000006</v>
      </c>
      <c r="AD59" s="25">
        <v>0.58099999999999996</v>
      </c>
      <c r="AE59" s="25">
        <v>0.71</v>
      </c>
      <c r="AF59" s="25">
        <v>0.64</v>
      </c>
      <c r="AG59" s="26">
        <f t="shared" si="11"/>
        <v>0.6028</v>
      </c>
      <c r="AH59" s="25">
        <f t="shared" si="12"/>
        <v>-8.0000000000002292E-4</v>
      </c>
      <c r="AI59" s="25">
        <f t="shared" si="13"/>
        <v>-3.6599999999999966E-2</v>
      </c>
    </row>
    <row r="60" spans="1:35" x14ac:dyDescent="0.25">
      <c r="A60" s="24" t="s">
        <v>134</v>
      </c>
      <c r="B60" s="25" t="s">
        <v>125</v>
      </c>
      <c r="C60" s="25">
        <v>0.5</v>
      </c>
      <c r="D60" s="25">
        <v>0.48099999999999998</v>
      </c>
      <c r="E60" s="25">
        <v>0.48099999999999998</v>
      </c>
      <c r="F60" s="25">
        <v>0.55900000000000005</v>
      </c>
      <c r="G60" s="25">
        <v>0.38200000000000001</v>
      </c>
      <c r="H60" s="25">
        <v>0.63400000000000001</v>
      </c>
      <c r="I60" s="26">
        <f t="shared" si="7"/>
        <v>0.50739999999999996</v>
      </c>
      <c r="J60" s="25">
        <v>0.34699999999999998</v>
      </c>
      <c r="K60" s="25">
        <v>0.48799999999999999</v>
      </c>
      <c r="L60" s="25">
        <v>0.56200000000000006</v>
      </c>
      <c r="M60" s="25">
        <v>0.48</v>
      </c>
      <c r="N60" s="25">
        <v>0.63</v>
      </c>
      <c r="O60" s="26">
        <f t="shared" si="8"/>
        <v>0.50140000000000007</v>
      </c>
      <c r="P60" s="25">
        <v>0.50700000000000001</v>
      </c>
      <c r="Q60" s="25">
        <v>0.52</v>
      </c>
      <c r="R60" s="25">
        <v>0.55900000000000005</v>
      </c>
      <c r="S60" s="25">
        <v>0.53600000000000003</v>
      </c>
      <c r="T60" s="25">
        <v>0.61799999999999999</v>
      </c>
      <c r="U60" s="26">
        <f t="shared" si="9"/>
        <v>0.54800000000000004</v>
      </c>
      <c r="V60" s="25">
        <v>0.47099999999999997</v>
      </c>
      <c r="W60" s="25">
        <v>0.48099999999999998</v>
      </c>
      <c r="X60" s="25">
        <v>0.57499999999999996</v>
      </c>
      <c r="Y60" s="25">
        <v>0.52200000000000002</v>
      </c>
      <c r="Z60" s="25">
        <v>0.55900000000000005</v>
      </c>
      <c r="AA60" s="26">
        <f t="shared" si="10"/>
        <v>0.52160000000000006</v>
      </c>
      <c r="AB60" s="25">
        <v>0.47099999999999997</v>
      </c>
      <c r="AC60" s="25">
        <v>0.48099999999999998</v>
      </c>
      <c r="AD60" s="25">
        <v>0.57499999999999996</v>
      </c>
      <c r="AE60" s="25">
        <v>0.52200000000000002</v>
      </c>
      <c r="AF60" s="25">
        <v>0.55900000000000005</v>
      </c>
      <c r="AG60" s="26">
        <f t="shared" si="11"/>
        <v>0.52160000000000006</v>
      </c>
      <c r="AH60" s="25">
        <f t="shared" si="12"/>
        <v>0</v>
      </c>
      <c r="AI60" s="25">
        <f t="shared" si="13"/>
        <v>2.0199999999999996E-2</v>
      </c>
    </row>
    <row r="61" spans="1:35" x14ac:dyDescent="0.25">
      <c r="A61" s="24" t="s">
        <v>134</v>
      </c>
      <c r="B61" s="25" t="s">
        <v>126</v>
      </c>
      <c r="C61" s="25">
        <v>0.2</v>
      </c>
      <c r="D61" s="25">
        <v>0.748</v>
      </c>
      <c r="E61" s="25">
        <v>0.73499999999999999</v>
      </c>
      <c r="F61" s="25">
        <v>0.71899999999999997</v>
      </c>
      <c r="G61" s="25">
        <v>0.73199999999999998</v>
      </c>
      <c r="H61" s="25">
        <v>0.73799999999999999</v>
      </c>
      <c r="I61" s="26">
        <f t="shared" si="7"/>
        <v>0.73440000000000005</v>
      </c>
      <c r="J61" s="25">
        <v>0.74199999999999999</v>
      </c>
      <c r="K61" s="25">
        <v>0.73899999999999999</v>
      </c>
      <c r="L61" s="25">
        <v>0.71599999999999997</v>
      </c>
      <c r="M61" s="25">
        <v>0.749</v>
      </c>
      <c r="N61" s="25">
        <v>0.72199999999999998</v>
      </c>
      <c r="O61" s="26">
        <f t="shared" si="8"/>
        <v>0.73360000000000003</v>
      </c>
      <c r="P61" s="25">
        <v>0.75800000000000001</v>
      </c>
      <c r="Q61" s="25">
        <v>0.67300000000000004</v>
      </c>
      <c r="R61" s="25">
        <v>0.65100000000000002</v>
      </c>
      <c r="S61" s="25">
        <v>0.68700000000000006</v>
      </c>
      <c r="T61" s="25">
        <v>0.73499999999999999</v>
      </c>
      <c r="U61" s="26">
        <f t="shared" si="9"/>
        <v>0.70079999999999998</v>
      </c>
      <c r="V61" s="25">
        <v>0.73499999999999999</v>
      </c>
      <c r="W61" s="25">
        <v>0.71599999999999997</v>
      </c>
      <c r="X61" s="25">
        <v>0.628</v>
      </c>
      <c r="Y61" s="25">
        <v>0.70599999999999996</v>
      </c>
      <c r="Z61" s="25">
        <v>0.70899999999999996</v>
      </c>
      <c r="AA61" s="26">
        <f t="shared" si="10"/>
        <v>0.69880000000000009</v>
      </c>
      <c r="AB61" s="25">
        <v>0.73499999999999999</v>
      </c>
      <c r="AC61" s="25">
        <v>0.71599999999999997</v>
      </c>
      <c r="AD61" s="25">
        <v>0.628</v>
      </c>
      <c r="AE61" s="25">
        <v>0.70599999999999996</v>
      </c>
      <c r="AF61" s="25">
        <v>0.70899999999999996</v>
      </c>
      <c r="AG61" s="26">
        <f t="shared" si="11"/>
        <v>0.69880000000000009</v>
      </c>
      <c r="AH61" s="25">
        <f t="shared" si="12"/>
        <v>0</v>
      </c>
      <c r="AI61" s="25">
        <f t="shared" si="13"/>
        <v>-3.4799999999999942E-2</v>
      </c>
    </row>
    <row r="62" spans="1:35" x14ac:dyDescent="0.25">
      <c r="A62" s="24" t="s">
        <v>134</v>
      </c>
      <c r="B62" s="25" t="s">
        <v>126</v>
      </c>
      <c r="C62" s="25">
        <v>0.3</v>
      </c>
      <c r="D62" s="25">
        <v>0.71599999999999997</v>
      </c>
      <c r="E62" s="25">
        <v>0.628</v>
      </c>
      <c r="F62" s="25">
        <v>0.61399999999999999</v>
      </c>
      <c r="G62" s="25">
        <v>0.66700000000000004</v>
      </c>
      <c r="H62" s="25">
        <v>0.59099999999999997</v>
      </c>
      <c r="I62" s="26">
        <f t="shared" si="7"/>
        <v>0.64319999999999999</v>
      </c>
      <c r="J62" s="25">
        <v>0.66300000000000003</v>
      </c>
      <c r="K62" s="25">
        <v>0.60499999999999998</v>
      </c>
      <c r="L62" s="25">
        <v>0.63400000000000001</v>
      </c>
      <c r="M62" s="25">
        <v>0.68</v>
      </c>
      <c r="N62" s="25">
        <v>0.61099999999999999</v>
      </c>
      <c r="O62" s="26">
        <f t="shared" si="8"/>
        <v>0.63860000000000006</v>
      </c>
      <c r="P62" s="25">
        <v>0.59799999999999998</v>
      </c>
      <c r="Q62" s="25">
        <v>0.61499999999999999</v>
      </c>
      <c r="R62" s="25">
        <v>0.624</v>
      </c>
      <c r="S62" s="25">
        <v>0.63500000000000001</v>
      </c>
      <c r="T62" s="25">
        <v>0.65700000000000003</v>
      </c>
      <c r="U62" s="26">
        <f t="shared" si="9"/>
        <v>0.62580000000000013</v>
      </c>
      <c r="V62" s="25">
        <v>0.65700000000000003</v>
      </c>
      <c r="W62" s="25">
        <v>0.55600000000000005</v>
      </c>
      <c r="X62" s="25">
        <v>0.60799999999999998</v>
      </c>
      <c r="Y62" s="25">
        <v>0.61399999999999999</v>
      </c>
      <c r="Z62" s="25">
        <v>0.65</v>
      </c>
      <c r="AA62" s="26">
        <f t="shared" si="10"/>
        <v>0.61699999999999999</v>
      </c>
      <c r="AB62" s="25">
        <v>0.65700000000000003</v>
      </c>
      <c r="AC62" s="25">
        <v>0.55600000000000005</v>
      </c>
      <c r="AD62" s="25">
        <v>0.60799999999999998</v>
      </c>
      <c r="AE62" s="25">
        <v>0.61399999999999999</v>
      </c>
      <c r="AF62" s="25">
        <v>0.65</v>
      </c>
      <c r="AG62" s="26">
        <f t="shared" si="11"/>
        <v>0.61699999999999999</v>
      </c>
      <c r="AH62" s="25">
        <f t="shared" si="12"/>
        <v>0</v>
      </c>
      <c r="AI62" s="25">
        <f t="shared" si="13"/>
        <v>-2.1600000000000064E-2</v>
      </c>
    </row>
    <row r="63" spans="1:35" x14ac:dyDescent="0.25">
      <c r="A63" s="24" t="s">
        <v>134</v>
      </c>
      <c r="B63" s="25" t="s">
        <v>126</v>
      </c>
      <c r="C63" s="25">
        <v>0.4</v>
      </c>
      <c r="D63" s="25">
        <v>0.48099999999999998</v>
      </c>
      <c r="E63" s="25">
        <v>0.51300000000000001</v>
      </c>
      <c r="F63" s="25">
        <v>0.48299999999999998</v>
      </c>
      <c r="G63" s="25">
        <v>0.36199999999999999</v>
      </c>
      <c r="H63" s="25">
        <v>0.503</v>
      </c>
      <c r="I63" s="26">
        <f t="shared" si="7"/>
        <v>0.46840000000000004</v>
      </c>
      <c r="J63" s="25">
        <v>0.43099999999999999</v>
      </c>
      <c r="K63" s="25">
        <v>0.44800000000000001</v>
      </c>
      <c r="L63" s="25">
        <v>0.48</v>
      </c>
      <c r="M63" s="25">
        <v>0.40200000000000002</v>
      </c>
      <c r="N63" s="25">
        <v>0.52900000000000003</v>
      </c>
      <c r="O63" s="26">
        <f t="shared" si="8"/>
        <v>0.45800000000000002</v>
      </c>
      <c r="P63" s="25">
        <v>0.41199999999999998</v>
      </c>
      <c r="Q63" s="25">
        <v>0.42399999999999999</v>
      </c>
      <c r="R63" s="25">
        <v>0.48399999999999999</v>
      </c>
      <c r="S63" s="25">
        <v>0.38200000000000001</v>
      </c>
      <c r="T63" s="25">
        <v>0.48399999999999999</v>
      </c>
      <c r="U63" s="26">
        <f t="shared" si="9"/>
        <v>0.43719999999999998</v>
      </c>
      <c r="V63" s="25">
        <v>0.379</v>
      </c>
      <c r="W63" s="25">
        <v>0.36599999999999999</v>
      </c>
      <c r="X63" s="25">
        <v>0.42799999999999999</v>
      </c>
      <c r="Y63" s="25">
        <v>0.41199999999999998</v>
      </c>
      <c r="Z63" s="25">
        <v>0.434</v>
      </c>
      <c r="AA63" s="26">
        <f t="shared" si="10"/>
        <v>0.40380000000000005</v>
      </c>
      <c r="AB63" s="25">
        <v>0.379</v>
      </c>
      <c r="AC63" s="25">
        <v>0.36599999999999999</v>
      </c>
      <c r="AD63" s="25">
        <v>0.42799999999999999</v>
      </c>
      <c r="AE63" s="25">
        <v>0.41199999999999998</v>
      </c>
      <c r="AF63" s="25">
        <v>0.434</v>
      </c>
      <c r="AG63" s="26">
        <f t="shared" si="11"/>
        <v>0.40380000000000005</v>
      </c>
      <c r="AH63" s="25">
        <f t="shared" si="12"/>
        <v>0</v>
      </c>
      <c r="AI63" s="25">
        <f t="shared" si="13"/>
        <v>-5.419999999999997E-2</v>
      </c>
    </row>
    <row r="64" spans="1:35" x14ac:dyDescent="0.25">
      <c r="A64" s="24" t="s">
        <v>134</v>
      </c>
      <c r="B64" s="25" t="s">
        <v>126</v>
      </c>
      <c r="C64" s="25">
        <v>0.5</v>
      </c>
      <c r="D64" s="25">
        <v>0.313</v>
      </c>
      <c r="E64" s="25">
        <v>0.26500000000000001</v>
      </c>
      <c r="F64" s="25">
        <v>0.29699999999999999</v>
      </c>
      <c r="G64" s="25">
        <v>0.29699999999999999</v>
      </c>
      <c r="H64" s="25">
        <v>0.27400000000000002</v>
      </c>
      <c r="I64" s="26">
        <f t="shared" si="7"/>
        <v>0.28920000000000001</v>
      </c>
      <c r="J64" s="25">
        <v>0.32</v>
      </c>
      <c r="K64" s="25">
        <v>0.307</v>
      </c>
      <c r="L64" s="25">
        <v>0.317</v>
      </c>
      <c r="M64" s="25">
        <v>0.29099999999999998</v>
      </c>
      <c r="N64" s="25">
        <v>0.29699999999999999</v>
      </c>
      <c r="O64" s="26">
        <f t="shared" si="8"/>
        <v>0.30639999999999995</v>
      </c>
      <c r="P64" s="25"/>
      <c r="Q64" s="25"/>
      <c r="R64" s="25"/>
      <c r="S64" s="25"/>
      <c r="T64" s="25"/>
      <c r="U64" s="26" t="str">
        <f t="shared" si="9"/>
        <v/>
      </c>
      <c r="V64" s="25"/>
      <c r="W64" s="25"/>
      <c r="X64" s="25"/>
      <c r="Y64" s="25"/>
      <c r="Z64" s="25"/>
      <c r="AA64" s="26" t="str">
        <f t="shared" si="10"/>
        <v/>
      </c>
      <c r="AB64" s="25">
        <v>0.50600000000000001</v>
      </c>
      <c r="AC64" s="25">
        <v>0.41799999999999998</v>
      </c>
      <c r="AD64" s="25">
        <v>0.44800000000000001</v>
      </c>
      <c r="AE64" s="25">
        <v>0.48399999999999999</v>
      </c>
      <c r="AF64" s="25">
        <v>0.49299999999999999</v>
      </c>
      <c r="AG64" s="26">
        <f t="shared" si="11"/>
        <v>0.46979999999999994</v>
      </c>
      <c r="AH64" s="25" t="str">
        <f t="shared" si="12"/>
        <v/>
      </c>
      <c r="AI64" s="25">
        <f t="shared" si="13"/>
        <v>0.16339999999999999</v>
      </c>
    </row>
    <row r="65" spans="1:35" x14ac:dyDescent="0.25">
      <c r="A65" s="24" t="s">
        <v>134</v>
      </c>
      <c r="B65" s="25" t="s">
        <v>127</v>
      </c>
      <c r="C65" s="25">
        <v>0.2</v>
      </c>
      <c r="D65" s="25">
        <v>0.76200000000000001</v>
      </c>
      <c r="E65" s="25">
        <v>0.72599999999999998</v>
      </c>
      <c r="F65" s="25">
        <v>0.74199999999999999</v>
      </c>
      <c r="G65" s="25">
        <v>0.74199999999999999</v>
      </c>
      <c r="H65" s="25">
        <v>0.74199999999999999</v>
      </c>
      <c r="I65" s="26">
        <f t="shared" si="7"/>
        <v>0.74280000000000002</v>
      </c>
      <c r="J65" s="25">
        <v>0.748</v>
      </c>
      <c r="K65" s="25">
        <v>0.72899999999999998</v>
      </c>
      <c r="L65" s="25">
        <v>0.73499999999999999</v>
      </c>
      <c r="M65" s="25">
        <v>0.748</v>
      </c>
      <c r="N65" s="25">
        <v>0.74199999999999999</v>
      </c>
      <c r="O65" s="26">
        <f t="shared" si="8"/>
        <v>0.74039999999999995</v>
      </c>
      <c r="P65" s="25"/>
      <c r="Q65" s="25"/>
      <c r="R65" s="25"/>
      <c r="S65" s="25"/>
      <c r="T65" s="25"/>
      <c r="U65" s="26" t="str">
        <f t="shared" si="9"/>
        <v/>
      </c>
      <c r="V65" s="25"/>
      <c r="W65" s="25"/>
      <c r="X65" s="25"/>
      <c r="Y65" s="25"/>
      <c r="Z65" s="25"/>
      <c r="AA65" s="26" t="str">
        <f t="shared" si="10"/>
        <v/>
      </c>
      <c r="AB65" s="25">
        <v>0.503</v>
      </c>
      <c r="AC65" s="25">
        <v>0.49099999999999999</v>
      </c>
      <c r="AD65" s="25">
        <v>0.49299999999999999</v>
      </c>
      <c r="AE65" s="25">
        <v>0.48699999999999999</v>
      </c>
      <c r="AF65" s="25">
        <v>0.49399999999999999</v>
      </c>
      <c r="AG65" s="26">
        <f t="shared" si="11"/>
        <v>0.49359999999999998</v>
      </c>
      <c r="AH65" s="25" t="str">
        <f t="shared" si="12"/>
        <v/>
      </c>
      <c r="AI65" s="25">
        <f t="shared" si="13"/>
        <v>-0.24679999999999996</v>
      </c>
    </row>
    <row r="66" spans="1:35" x14ac:dyDescent="0.25">
      <c r="A66" s="24" t="s">
        <v>134</v>
      </c>
      <c r="B66" s="25" t="s">
        <v>127</v>
      </c>
      <c r="C66" s="25">
        <v>0.3</v>
      </c>
      <c r="D66" s="25">
        <v>0.69</v>
      </c>
      <c r="E66" s="25">
        <v>0.69</v>
      </c>
      <c r="F66" s="25">
        <v>0.67300000000000004</v>
      </c>
      <c r="G66" s="25">
        <v>0.755</v>
      </c>
      <c r="H66" s="25">
        <v>0.69299999999999995</v>
      </c>
      <c r="I66" s="26">
        <f t="shared" si="7"/>
        <v>0.70019999999999993</v>
      </c>
      <c r="J66" s="25">
        <v>0.68</v>
      </c>
      <c r="K66" s="25">
        <v>0.71899999999999997</v>
      </c>
      <c r="L66" s="25">
        <v>0.68600000000000005</v>
      </c>
      <c r="M66" s="25">
        <v>0.745</v>
      </c>
      <c r="N66" s="25">
        <v>0.69299999999999995</v>
      </c>
      <c r="O66" s="26">
        <f t="shared" si="8"/>
        <v>0.7046</v>
      </c>
      <c r="P66" s="25">
        <v>0.629</v>
      </c>
      <c r="Q66" s="25"/>
      <c r="R66" s="25">
        <v>0.50800000000000001</v>
      </c>
      <c r="S66" s="25"/>
      <c r="T66" s="25"/>
      <c r="U66" s="26">
        <f t="shared" si="9"/>
        <v>0.56850000000000001</v>
      </c>
      <c r="V66" s="25">
        <v>0.59699999999999998</v>
      </c>
      <c r="W66" s="25"/>
      <c r="X66" s="25">
        <v>0.45900000000000002</v>
      </c>
      <c r="Y66" s="25"/>
      <c r="Z66" s="25"/>
      <c r="AA66" s="26">
        <f t="shared" si="10"/>
        <v>0.52800000000000002</v>
      </c>
      <c r="AB66" s="25">
        <v>0.56899999999999995</v>
      </c>
      <c r="AC66" s="25">
        <v>0.45800000000000002</v>
      </c>
      <c r="AD66" s="25">
        <v>0.49</v>
      </c>
      <c r="AE66" s="25">
        <v>0.5</v>
      </c>
      <c r="AF66" s="25">
        <v>0.49</v>
      </c>
      <c r="AG66" s="26">
        <f t="shared" si="11"/>
        <v>0.50139999999999996</v>
      </c>
      <c r="AH66" s="25">
        <f t="shared" si="12"/>
        <v>-2.6600000000000068E-2</v>
      </c>
      <c r="AI66" s="25">
        <f t="shared" si="13"/>
        <v>-0.20320000000000005</v>
      </c>
    </row>
    <row r="67" spans="1:35" x14ac:dyDescent="0.25">
      <c r="A67" s="24" t="s">
        <v>134</v>
      </c>
      <c r="B67" s="25" t="s">
        <v>127</v>
      </c>
      <c r="C67" s="25">
        <v>0.4</v>
      </c>
      <c r="D67" s="25">
        <v>0.66700000000000004</v>
      </c>
      <c r="E67" s="25">
        <v>0.61499999999999999</v>
      </c>
      <c r="F67" s="25">
        <v>0.67300000000000004</v>
      </c>
      <c r="G67" s="25">
        <v>0.64700000000000002</v>
      </c>
      <c r="H67" s="25">
        <v>0.61799999999999999</v>
      </c>
      <c r="I67" s="26">
        <f t="shared" si="7"/>
        <v>0.64400000000000002</v>
      </c>
      <c r="J67" s="25">
        <v>0.64</v>
      </c>
      <c r="K67" s="25">
        <v>0.61099999999999999</v>
      </c>
      <c r="L67" s="25">
        <v>0.70599999999999996</v>
      </c>
      <c r="M67" s="25">
        <v>0.63700000000000001</v>
      </c>
      <c r="N67" s="25">
        <v>0.64700000000000002</v>
      </c>
      <c r="O67" s="26">
        <f t="shared" si="8"/>
        <v>0.64819999999999989</v>
      </c>
      <c r="P67" s="25">
        <v>0.68</v>
      </c>
      <c r="Q67" s="25">
        <v>0.628</v>
      </c>
      <c r="R67" s="25">
        <v>0.65400000000000003</v>
      </c>
      <c r="S67" s="25">
        <v>0.61399999999999999</v>
      </c>
      <c r="T67" s="25">
        <v>0.64700000000000002</v>
      </c>
      <c r="U67" s="26">
        <f t="shared" si="9"/>
        <v>0.64459999999999995</v>
      </c>
      <c r="V67" s="25">
        <v>0.67300000000000004</v>
      </c>
      <c r="W67" s="25">
        <v>0.59099999999999997</v>
      </c>
      <c r="X67" s="25">
        <v>0.63700000000000001</v>
      </c>
      <c r="Y67" s="25">
        <v>0.64700000000000002</v>
      </c>
      <c r="Z67" s="25">
        <v>0.61799999999999999</v>
      </c>
      <c r="AA67" s="26">
        <f t="shared" si="10"/>
        <v>0.63319999999999999</v>
      </c>
      <c r="AB67" s="25">
        <v>0.67300000000000004</v>
      </c>
      <c r="AC67" s="25">
        <v>0.58499999999999996</v>
      </c>
      <c r="AD67" s="25">
        <v>0.63700000000000001</v>
      </c>
      <c r="AE67" s="25">
        <v>0.64700000000000002</v>
      </c>
      <c r="AF67" s="25">
        <v>0.61799999999999999</v>
      </c>
      <c r="AG67" s="26">
        <f t="shared" si="11"/>
        <v>0.6319999999999999</v>
      </c>
      <c r="AH67" s="25">
        <f t="shared" si="12"/>
        <v>-1.2000000000000899E-3</v>
      </c>
      <c r="AI67" s="25">
        <f t="shared" si="13"/>
        <v>-1.6199999999999992E-2</v>
      </c>
    </row>
    <row r="68" spans="1:35" x14ac:dyDescent="0.25">
      <c r="A68" s="24" t="s">
        <v>134</v>
      </c>
      <c r="B68" s="25" t="s">
        <v>127</v>
      </c>
      <c r="C68" s="25">
        <v>0.5</v>
      </c>
      <c r="D68" s="25">
        <v>0.48699999999999999</v>
      </c>
      <c r="E68" s="25">
        <v>0.48699999999999999</v>
      </c>
      <c r="F68" s="25">
        <v>0.497</v>
      </c>
      <c r="G68" s="25">
        <v>0.5</v>
      </c>
      <c r="H68" s="25">
        <v>0.441</v>
      </c>
      <c r="I68" s="26">
        <f t="shared" si="7"/>
        <v>0.4824</v>
      </c>
      <c r="J68" s="25">
        <v>0.52300000000000002</v>
      </c>
      <c r="K68" s="25">
        <v>0.51700000000000002</v>
      </c>
      <c r="L68" s="25">
        <v>0.60799999999999998</v>
      </c>
      <c r="M68" s="25">
        <v>0.46800000000000003</v>
      </c>
      <c r="N68" s="25">
        <v>0.52300000000000002</v>
      </c>
      <c r="O68" s="26">
        <f t="shared" si="8"/>
        <v>0.52780000000000005</v>
      </c>
      <c r="P68" s="25">
        <v>0.48399999999999999</v>
      </c>
      <c r="Q68" s="25">
        <v>0.503</v>
      </c>
      <c r="R68" s="25">
        <v>0.54300000000000004</v>
      </c>
      <c r="S68" s="25">
        <v>0.56899999999999995</v>
      </c>
      <c r="T68" s="25">
        <v>0.48</v>
      </c>
      <c r="U68" s="26">
        <f t="shared" si="9"/>
        <v>0.51580000000000004</v>
      </c>
      <c r="V68" s="25">
        <v>0.58199999999999996</v>
      </c>
      <c r="W68" s="25">
        <v>0.51</v>
      </c>
      <c r="X68" s="25">
        <v>0.53</v>
      </c>
      <c r="Y68" s="25">
        <v>0.52700000000000002</v>
      </c>
      <c r="Z68" s="25">
        <v>0.48599999999999999</v>
      </c>
      <c r="AA68" s="26">
        <f t="shared" si="10"/>
        <v>0.52699999999999991</v>
      </c>
      <c r="AB68" s="25">
        <v>0.58199999999999996</v>
      </c>
      <c r="AC68" s="25">
        <v>0.51</v>
      </c>
      <c r="AD68" s="25">
        <v>0.53</v>
      </c>
      <c r="AE68" s="25">
        <v>0.52700000000000002</v>
      </c>
      <c r="AF68" s="25">
        <v>0.48599999999999999</v>
      </c>
      <c r="AG68" s="26">
        <f t="shared" si="11"/>
        <v>0.52699999999999991</v>
      </c>
      <c r="AH68" s="25">
        <f t="shared" si="12"/>
        <v>0</v>
      </c>
      <c r="AI68" s="25">
        <f t="shared" si="13"/>
        <v>-8.0000000000013394E-4</v>
      </c>
    </row>
    <row r="69" spans="1:35" x14ac:dyDescent="0.25">
      <c r="A69" s="24" t="s">
        <v>134</v>
      </c>
      <c r="B69" s="25" t="s">
        <v>128</v>
      </c>
      <c r="C69" s="25">
        <v>0.2</v>
      </c>
      <c r="D69" s="25">
        <v>0.72199999999999998</v>
      </c>
      <c r="E69" s="25">
        <v>0.748</v>
      </c>
      <c r="F69" s="25">
        <v>0.745</v>
      </c>
      <c r="G69" s="25">
        <v>0.70899999999999996</v>
      </c>
      <c r="H69" s="25">
        <v>0.72899999999999998</v>
      </c>
      <c r="I69" s="26">
        <f t="shared" ref="I69:I100" si="14">IFERROR(AVERAGE(D69:H69),"")</f>
        <v>0.73060000000000003</v>
      </c>
      <c r="J69" s="25">
        <v>0.72499999999999998</v>
      </c>
      <c r="K69" s="25">
        <v>0.76500000000000001</v>
      </c>
      <c r="L69" s="25">
        <v>0.72499999999999998</v>
      </c>
      <c r="M69" s="25">
        <v>0.73899999999999999</v>
      </c>
      <c r="N69" s="25">
        <v>0.72899999999999998</v>
      </c>
      <c r="O69" s="26">
        <f t="shared" ref="O69:O100" si="15">IFERROR(AVERAGE(J69:N69),"")</f>
        <v>0.73659999999999992</v>
      </c>
      <c r="P69" s="25"/>
      <c r="Q69" s="25"/>
      <c r="R69" s="25"/>
      <c r="S69" s="25"/>
      <c r="T69" s="25"/>
      <c r="U69" s="26" t="str">
        <f t="shared" ref="U69:U100" si="16">IFERROR(AVERAGE(P69:T69),"")</f>
        <v/>
      </c>
      <c r="V69" s="25"/>
      <c r="W69" s="25"/>
      <c r="X69" s="25"/>
      <c r="Y69" s="25"/>
      <c r="Z69" s="25"/>
      <c r="AA69" s="26" t="str">
        <f t="shared" ref="AA69:AA100" si="17">IFERROR(AVERAGE(V69:Z69),"")</f>
        <v/>
      </c>
      <c r="AB69" s="25">
        <v>0.49</v>
      </c>
      <c r="AC69" s="25">
        <v>0.49</v>
      </c>
      <c r="AD69" s="25">
        <v>0.52600000000000002</v>
      </c>
      <c r="AE69" s="25">
        <v>0.47699999999999998</v>
      </c>
      <c r="AF69" s="25">
        <v>0.46100000000000002</v>
      </c>
      <c r="AG69" s="26">
        <f t="shared" ref="AG69:AG100" si="18">IFERROR(AVERAGE(AB69:AF69),"")</f>
        <v>0.48880000000000001</v>
      </c>
      <c r="AH69" s="25" t="str">
        <f t="shared" ref="AH69:AH100" si="19">IFERROR(AG69-AA69,"")</f>
        <v/>
      </c>
      <c r="AI69" s="25">
        <f t="shared" ref="AI69:AI100" si="20">IFERROR(AG69-O69,"")</f>
        <v>-0.24779999999999991</v>
      </c>
    </row>
    <row r="70" spans="1:35" x14ac:dyDescent="0.25">
      <c r="A70" s="24" t="s">
        <v>134</v>
      </c>
      <c r="B70" s="25" t="s">
        <v>128</v>
      </c>
      <c r="C70" s="25">
        <v>0.3</v>
      </c>
      <c r="D70" s="25">
        <v>0.72499999999999998</v>
      </c>
      <c r="E70" s="25">
        <v>0.70899999999999996</v>
      </c>
      <c r="F70" s="25">
        <v>0.72499999999999998</v>
      </c>
      <c r="G70" s="25">
        <v>0.68600000000000005</v>
      </c>
      <c r="H70" s="25">
        <v>0.748</v>
      </c>
      <c r="I70" s="26">
        <f t="shared" si="14"/>
        <v>0.71860000000000002</v>
      </c>
      <c r="J70" s="25">
        <v>0.73499999999999999</v>
      </c>
      <c r="K70" s="25">
        <v>0.71199999999999997</v>
      </c>
      <c r="L70" s="25">
        <v>0.73499999999999999</v>
      </c>
      <c r="M70" s="25">
        <v>0.74199999999999999</v>
      </c>
      <c r="N70" s="25">
        <v>0.748</v>
      </c>
      <c r="O70" s="26">
        <f t="shared" si="15"/>
        <v>0.73439999999999994</v>
      </c>
      <c r="P70" s="25">
        <v>0.70499999999999996</v>
      </c>
      <c r="Q70" s="25">
        <v>0.54900000000000004</v>
      </c>
      <c r="R70" s="25"/>
      <c r="S70" s="25">
        <v>0.82</v>
      </c>
      <c r="T70" s="25">
        <v>0.68</v>
      </c>
      <c r="U70" s="26">
        <f t="shared" si="16"/>
        <v>0.6885</v>
      </c>
      <c r="V70" s="25">
        <v>0.59</v>
      </c>
      <c r="W70" s="25">
        <v>0.64800000000000002</v>
      </c>
      <c r="X70" s="25"/>
      <c r="Y70" s="25">
        <v>0.80300000000000005</v>
      </c>
      <c r="Z70" s="25">
        <v>0.70499999999999996</v>
      </c>
      <c r="AA70" s="26">
        <f t="shared" si="17"/>
        <v>0.6865</v>
      </c>
      <c r="AB70" s="25">
        <v>0.51600000000000001</v>
      </c>
      <c r="AC70" s="25">
        <v>0.55900000000000005</v>
      </c>
      <c r="AD70" s="25">
        <v>0.503</v>
      </c>
      <c r="AE70" s="25">
        <v>0.55900000000000005</v>
      </c>
      <c r="AF70" s="25">
        <v>0.56200000000000006</v>
      </c>
      <c r="AG70" s="26">
        <f t="shared" si="18"/>
        <v>0.53980000000000017</v>
      </c>
      <c r="AH70" s="25">
        <f t="shared" si="19"/>
        <v>-0.14669999999999983</v>
      </c>
      <c r="AI70" s="25">
        <f t="shared" si="20"/>
        <v>-0.19459999999999977</v>
      </c>
    </row>
    <row r="71" spans="1:35" x14ac:dyDescent="0.25">
      <c r="A71" s="24" t="s">
        <v>134</v>
      </c>
      <c r="B71" s="25" t="s">
        <v>128</v>
      </c>
      <c r="C71" s="25">
        <v>0.4</v>
      </c>
      <c r="D71" s="25">
        <v>0.67700000000000005</v>
      </c>
      <c r="E71" s="25">
        <v>0.624</v>
      </c>
      <c r="F71" s="25">
        <v>0.627</v>
      </c>
      <c r="G71" s="25">
        <v>0.68300000000000005</v>
      </c>
      <c r="H71" s="25">
        <v>0.58799999999999997</v>
      </c>
      <c r="I71" s="26">
        <f t="shared" si="14"/>
        <v>0.63980000000000004</v>
      </c>
      <c r="J71" s="25">
        <v>0.745</v>
      </c>
      <c r="K71" s="25">
        <v>0.65</v>
      </c>
      <c r="L71" s="25">
        <v>0.627</v>
      </c>
      <c r="M71" s="25">
        <v>0.63400000000000001</v>
      </c>
      <c r="N71" s="25">
        <v>0.57799999999999996</v>
      </c>
      <c r="O71" s="26">
        <f t="shared" si="15"/>
        <v>0.64680000000000004</v>
      </c>
      <c r="P71" s="25">
        <v>0.70599999999999996</v>
      </c>
      <c r="Q71" s="25">
        <v>0.61799999999999999</v>
      </c>
      <c r="R71" s="25">
        <v>0.63100000000000001</v>
      </c>
      <c r="S71" s="25">
        <v>0.69399999999999995</v>
      </c>
      <c r="T71" s="25">
        <v>0.49</v>
      </c>
      <c r="U71" s="26">
        <f t="shared" si="16"/>
        <v>0.62780000000000002</v>
      </c>
      <c r="V71" s="25">
        <v>0.66</v>
      </c>
      <c r="W71" s="25">
        <v>0.625</v>
      </c>
      <c r="X71" s="25">
        <v>0.66700000000000004</v>
      </c>
      <c r="Y71" s="25">
        <v>0.67400000000000004</v>
      </c>
      <c r="Z71" s="25">
        <v>0.55200000000000005</v>
      </c>
      <c r="AA71" s="26">
        <f t="shared" si="17"/>
        <v>0.63560000000000005</v>
      </c>
      <c r="AB71" s="25">
        <v>0.66</v>
      </c>
      <c r="AC71" s="25">
        <v>0.625</v>
      </c>
      <c r="AD71" s="25">
        <v>0.66700000000000004</v>
      </c>
      <c r="AE71" s="25">
        <v>0.65400000000000003</v>
      </c>
      <c r="AF71" s="25">
        <v>0.55200000000000005</v>
      </c>
      <c r="AG71" s="26">
        <f t="shared" si="18"/>
        <v>0.63160000000000005</v>
      </c>
      <c r="AH71" s="25">
        <f t="shared" si="19"/>
        <v>-4.0000000000000036E-3</v>
      </c>
      <c r="AI71" s="25">
        <f t="shared" si="20"/>
        <v>-1.5199999999999991E-2</v>
      </c>
    </row>
    <row r="72" spans="1:35" x14ac:dyDescent="0.25">
      <c r="A72" s="24" t="s">
        <v>134</v>
      </c>
      <c r="B72" s="25" t="s">
        <v>128</v>
      </c>
      <c r="C72" s="25">
        <v>0.5</v>
      </c>
      <c r="D72" s="25">
        <v>0.54300000000000004</v>
      </c>
      <c r="E72" s="25">
        <v>0.57099999999999995</v>
      </c>
      <c r="F72" s="25">
        <v>0.41399999999999998</v>
      </c>
      <c r="G72" s="25">
        <v>0.441</v>
      </c>
      <c r="H72" s="25">
        <v>0.45700000000000002</v>
      </c>
      <c r="I72" s="26">
        <f t="shared" si="14"/>
        <v>0.48519999999999996</v>
      </c>
      <c r="J72" s="25">
        <v>0.50600000000000001</v>
      </c>
      <c r="K72" s="25">
        <v>0.56799999999999995</v>
      </c>
      <c r="L72" s="25">
        <v>0.47699999999999998</v>
      </c>
      <c r="M72" s="25">
        <v>0.45100000000000001</v>
      </c>
      <c r="N72" s="25">
        <v>0.47399999999999998</v>
      </c>
      <c r="O72" s="26">
        <f t="shared" si="15"/>
        <v>0.49519999999999997</v>
      </c>
      <c r="P72" s="25">
        <v>0.45100000000000001</v>
      </c>
      <c r="Q72" s="25">
        <v>0.59499999999999997</v>
      </c>
      <c r="R72" s="25">
        <v>0.48399999999999999</v>
      </c>
      <c r="S72" s="25">
        <v>0.39500000000000002</v>
      </c>
      <c r="T72" s="25">
        <v>0.497</v>
      </c>
      <c r="U72" s="26">
        <f t="shared" si="16"/>
        <v>0.48440000000000005</v>
      </c>
      <c r="V72" s="25">
        <v>0.51300000000000001</v>
      </c>
      <c r="W72" s="25">
        <v>0.60799999999999998</v>
      </c>
      <c r="X72" s="25">
        <v>0.45400000000000001</v>
      </c>
      <c r="Y72" s="25">
        <v>0.438</v>
      </c>
      <c r="Z72" s="25">
        <v>0.44500000000000001</v>
      </c>
      <c r="AA72" s="26">
        <f t="shared" si="17"/>
        <v>0.49159999999999993</v>
      </c>
      <c r="AB72" s="25">
        <v>0.51300000000000001</v>
      </c>
      <c r="AC72" s="25">
        <v>0.60799999999999998</v>
      </c>
      <c r="AD72" s="25">
        <v>0.45400000000000001</v>
      </c>
      <c r="AE72" s="25">
        <v>0.438</v>
      </c>
      <c r="AF72" s="25">
        <v>0.44500000000000001</v>
      </c>
      <c r="AG72" s="26">
        <f t="shared" si="18"/>
        <v>0.49159999999999993</v>
      </c>
      <c r="AH72" s="25">
        <f t="shared" si="19"/>
        <v>0</v>
      </c>
      <c r="AI72" s="25">
        <f t="shared" si="20"/>
        <v>-3.6000000000000476E-3</v>
      </c>
    </row>
    <row r="73" spans="1:35" x14ac:dyDescent="0.25">
      <c r="A73" s="24" t="s">
        <v>135</v>
      </c>
      <c r="B73" s="25" t="s">
        <v>124</v>
      </c>
      <c r="C73" s="25">
        <v>0</v>
      </c>
      <c r="D73" s="25">
        <v>0.79400000000000004</v>
      </c>
      <c r="E73" s="25">
        <v>0.81799999999999995</v>
      </c>
      <c r="F73" s="25">
        <v>0.77500000000000002</v>
      </c>
      <c r="G73" s="25">
        <v>0.82799999999999996</v>
      </c>
      <c r="H73" s="25">
        <v>0.83799999999999997</v>
      </c>
      <c r="I73" s="26">
        <f t="shared" si="14"/>
        <v>0.81059999999999999</v>
      </c>
      <c r="J73" s="25">
        <v>0.81799999999999995</v>
      </c>
      <c r="K73" s="25">
        <v>0.82199999999999995</v>
      </c>
      <c r="L73" s="25">
        <v>0.79500000000000004</v>
      </c>
      <c r="M73" s="25">
        <v>0.79800000000000004</v>
      </c>
      <c r="N73" s="25">
        <v>0.81799999999999995</v>
      </c>
      <c r="O73" s="26">
        <f t="shared" si="15"/>
        <v>0.81020000000000003</v>
      </c>
      <c r="P73" s="25">
        <v>0.80800000000000005</v>
      </c>
      <c r="Q73" s="25">
        <v>0.79100000000000004</v>
      </c>
      <c r="R73" s="25">
        <v>0.78500000000000003</v>
      </c>
      <c r="S73" s="25">
        <v>0.80400000000000005</v>
      </c>
      <c r="T73" s="25">
        <v>0.79500000000000004</v>
      </c>
      <c r="U73" s="26">
        <f t="shared" si="16"/>
        <v>0.79660000000000009</v>
      </c>
      <c r="V73" s="25">
        <v>0.78500000000000003</v>
      </c>
      <c r="W73" s="25">
        <v>0.79100000000000004</v>
      </c>
      <c r="X73" s="25">
        <v>0.79200000000000004</v>
      </c>
      <c r="Y73" s="25">
        <v>0.79500000000000004</v>
      </c>
      <c r="Z73" s="25">
        <v>0.79100000000000004</v>
      </c>
      <c r="AA73" s="26">
        <f t="shared" si="17"/>
        <v>0.79080000000000006</v>
      </c>
      <c r="AB73" s="25">
        <v>0.78500000000000003</v>
      </c>
      <c r="AC73" s="25">
        <v>0.79100000000000004</v>
      </c>
      <c r="AD73" s="25">
        <v>0.79200000000000004</v>
      </c>
      <c r="AE73" s="25">
        <v>0.79500000000000004</v>
      </c>
      <c r="AF73" s="25">
        <v>0.79100000000000004</v>
      </c>
      <c r="AG73" s="26">
        <f t="shared" si="18"/>
        <v>0.79080000000000006</v>
      </c>
      <c r="AH73" s="25">
        <f t="shared" si="19"/>
        <v>0</v>
      </c>
      <c r="AI73" s="25">
        <f t="shared" si="20"/>
        <v>-1.9399999999999973E-2</v>
      </c>
    </row>
    <row r="74" spans="1:35" x14ac:dyDescent="0.25">
      <c r="A74" s="24" t="s">
        <v>135</v>
      </c>
      <c r="B74" s="25" t="s">
        <v>125</v>
      </c>
      <c r="C74" s="25">
        <v>0.2</v>
      </c>
      <c r="D74" s="25">
        <v>0.71699999999999997</v>
      </c>
      <c r="E74" s="25">
        <v>0.72399999999999998</v>
      </c>
      <c r="F74" s="25">
        <v>0.76100000000000001</v>
      </c>
      <c r="G74" s="25">
        <v>0.72699999999999998</v>
      </c>
      <c r="H74" s="25">
        <v>0.80500000000000005</v>
      </c>
      <c r="I74" s="26">
        <f t="shared" si="14"/>
        <v>0.74680000000000002</v>
      </c>
      <c r="J74" s="25">
        <v>0.72699999999999998</v>
      </c>
      <c r="K74" s="25">
        <v>0.77100000000000002</v>
      </c>
      <c r="L74" s="25">
        <v>0.74099999999999999</v>
      </c>
      <c r="M74" s="25">
        <v>0.76400000000000001</v>
      </c>
      <c r="N74" s="25">
        <v>0.79400000000000004</v>
      </c>
      <c r="O74" s="26">
        <f t="shared" si="15"/>
        <v>0.75940000000000007</v>
      </c>
      <c r="P74" s="25">
        <v>0.80100000000000005</v>
      </c>
      <c r="Q74" s="25">
        <v>0.76400000000000001</v>
      </c>
      <c r="R74" s="25">
        <v>0.78500000000000003</v>
      </c>
      <c r="S74" s="25">
        <v>0.80800000000000005</v>
      </c>
      <c r="T74" s="25">
        <v>0.79500000000000004</v>
      </c>
      <c r="U74" s="26">
        <f t="shared" si="16"/>
        <v>0.79060000000000008</v>
      </c>
      <c r="V74" s="25">
        <v>0.80800000000000005</v>
      </c>
      <c r="W74" s="25">
        <v>0.77800000000000002</v>
      </c>
      <c r="X74" s="25">
        <v>0.79800000000000004</v>
      </c>
      <c r="Y74" s="25">
        <v>0.82499999999999996</v>
      </c>
      <c r="Z74" s="25">
        <v>0.79100000000000004</v>
      </c>
      <c r="AA74" s="26">
        <f t="shared" si="17"/>
        <v>0.80000000000000016</v>
      </c>
      <c r="AB74" s="25">
        <v>0.80800000000000005</v>
      </c>
      <c r="AC74" s="25">
        <v>0.77800000000000002</v>
      </c>
      <c r="AD74" s="25">
        <v>0.79800000000000004</v>
      </c>
      <c r="AE74" s="25">
        <v>0.82499999999999996</v>
      </c>
      <c r="AF74" s="25">
        <v>0.79100000000000004</v>
      </c>
      <c r="AG74" s="26">
        <f t="shared" si="18"/>
        <v>0.80000000000000016</v>
      </c>
      <c r="AH74" s="25">
        <f t="shared" si="19"/>
        <v>0</v>
      </c>
      <c r="AI74" s="25">
        <f t="shared" si="20"/>
        <v>4.060000000000008E-2</v>
      </c>
    </row>
    <row r="75" spans="1:35" x14ac:dyDescent="0.25">
      <c r="A75" s="24" t="s">
        <v>135</v>
      </c>
      <c r="B75" s="25" t="s">
        <v>125</v>
      </c>
      <c r="C75" s="25">
        <v>0.3</v>
      </c>
      <c r="D75" s="25">
        <v>0.74099999999999999</v>
      </c>
      <c r="E75" s="25">
        <v>0.68700000000000006</v>
      </c>
      <c r="F75" s="25">
        <v>0.71099999999999997</v>
      </c>
      <c r="G75" s="25">
        <v>0.69</v>
      </c>
      <c r="H75" s="25">
        <v>0.68</v>
      </c>
      <c r="I75" s="26">
        <f t="shared" si="14"/>
        <v>0.70179999999999998</v>
      </c>
      <c r="J75" s="25">
        <v>0.72</v>
      </c>
      <c r="K75" s="25">
        <v>0.70399999999999996</v>
      </c>
      <c r="L75" s="25">
        <v>0.78800000000000003</v>
      </c>
      <c r="M75" s="25">
        <v>0.72399999999999998</v>
      </c>
      <c r="N75" s="25">
        <v>0.72699999999999998</v>
      </c>
      <c r="O75" s="26">
        <f t="shared" si="15"/>
        <v>0.73259999999999992</v>
      </c>
      <c r="P75" s="25">
        <v>0.76100000000000001</v>
      </c>
      <c r="Q75" s="25">
        <v>0.69699999999999995</v>
      </c>
      <c r="R75" s="25">
        <v>0.76100000000000001</v>
      </c>
      <c r="S75" s="25">
        <v>0.747</v>
      </c>
      <c r="T75" s="25">
        <v>0.76800000000000002</v>
      </c>
      <c r="U75" s="26">
        <f t="shared" si="16"/>
        <v>0.74680000000000002</v>
      </c>
      <c r="V75" s="25">
        <v>0.76400000000000001</v>
      </c>
      <c r="W75" s="25">
        <v>0.68400000000000005</v>
      </c>
      <c r="X75" s="25">
        <v>0.77100000000000002</v>
      </c>
      <c r="Y75" s="25">
        <v>0.751</v>
      </c>
      <c r="Z75" s="25">
        <v>0.754</v>
      </c>
      <c r="AA75" s="26">
        <f t="shared" si="17"/>
        <v>0.74479999999999991</v>
      </c>
      <c r="AB75" s="25">
        <v>0.76400000000000001</v>
      </c>
      <c r="AC75" s="25">
        <v>0.68400000000000005</v>
      </c>
      <c r="AD75" s="25">
        <v>0.77100000000000002</v>
      </c>
      <c r="AE75" s="25">
        <v>0.751</v>
      </c>
      <c r="AF75" s="25">
        <v>0.754</v>
      </c>
      <c r="AG75" s="26">
        <f t="shared" si="18"/>
        <v>0.74479999999999991</v>
      </c>
      <c r="AH75" s="25">
        <f t="shared" si="19"/>
        <v>0</v>
      </c>
      <c r="AI75" s="25">
        <f t="shared" si="20"/>
        <v>1.2199999999999989E-2</v>
      </c>
    </row>
    <row r="76" spans="1:35" x14ac:dyDescent="0.25">
      <c r="A76" s="24" t="s">
        <v>135</v>
      </c>
      <c r="B76" s="25" t="s">
        <v>125</v>
      </c>
      <c r="C76" s="25">
        <v>0.4</v>
      </c>
      <c r="D76" s="25">
        <v>0.60599999999999998</v>
      </c>
      <c r="E76" s="25">
        <v>0.61299999999999999</v>
      </c>
      <c r="F76" s="25">
        <v>0.60299999999999998</v>
      </c>
      <c r="G76" s="25">
        <v>0.61299999999999999</v>
      </c>
      <c r="H76" s="25">
        <v>0.65300000000000002</v>
      </c>
      <c r="I76" s="26">
        <f t="shared" si="14"/>
        <v>0.61759999999999993</v>
      </c>
      <c r="J76" s="25">
        <v>0.55600000000000005</v>
      </c>
      <c r="K76" s="25">
        <v>0.626</v>
      </c>
      <c r="L76" s="25">
        <v>0.58699999999999997</v>
      </c>
      <c r="M76" s="25">
        <v>0.63300000000000001</v>
      </c>
      <c r="N76" s="25">
        <v>0.67300000000000004</v>
      </c>
      <c r="O76" s="26">
        <f t="shared" si="15"/>
        <v>0.61499999999999999</v>
      </c>
      <c r="P76" s="25">
        <v>0.52500000000000002</v>
      </c>
      <c r="Q76" s="25">
        <v>0.59599999999999997</v>
      </c>
      <c r="R76" s="25">
        <v>0.58199999999999996</v>
      </c>
      <c r="S76" s="25">
        <v>0.63200000000000001</v>
      </c>
      <c r="T76" s="25">
        <v>0.66100000000000003</v>
      </c>
      <c r="U76" s="26">
        <f t="shared" si="16"/>
        <v>0.59919999999999995</v>
      </c>
      <c r="V76" s="25">
        <v>0.58199999999999996</v>
      </c>
      <c r="W76" s="25">
        <v>0.65400000000000003</v>
      </c>
      <c r="X76" s="25">
        <v>0.59599999999999997</v>
      </c>
      <c r="Y76" s="25">
        <v>0.64600000000000002</v>
      </c>
      <c r="Z76" s="25">
        <v>0.66400000000000003</v>
      </c>
      <c r="AA76" s="26">
        <f t="shared" si="17"/>
        <v>0.62839999999999996</v>
      </c>
      <c r="AB76" s="25">
        <v>0.58199999999999996</v>
      </c>
      <c r="AC76" s="25">
        <v>0.65400000000000003</v>
      </c>
      <c r="AD76" s="25">
        <v>0.59599999999999997</v>
      </c>
      <c r="AE76" s="25">
        <v>0.64600000000000002</v>
      </c>
      <c r="AF76" s="25">
        <v>0.66400000000000003</v>
      </c>
      <c r="AG76" s="26">
        <f t="shared" si="18"/>
        <v>0.62839999999999996</v>
      </c>
      <c r="AH76" s="25">
        <f t="shared" si="19"/>
        <v>0</v>
      </c>
      <c r="AI76" s="25">
        <f t="shared" si="20"/>
        <v>1.3399999999999967E-2</v>
      </c>
    </row>
    <row r="77" spans="1:35" x14ac:dyDescent="0.25">
      <c r="A77" s="24" t="s">
        <v>135</v>
      </c>
      <c r="B77" s="25" t="s">
        <v>125</v>
      </c>
      <c r="C77" s="25">
        <v>0.5</v>
      </c>
      <c r="D77" s="25">
        <v>0.441</v>
      </c>
      <c r="E77" s="25">
        <v>0.434</v>
      </c>
      <c r="F77" s="25">
        <v>0.55500000000000005</v>
      </c>
      <c r="G77" s="25">
        <v>0.47799999999999998</v>
      </c>
      <c r="H77" s="25">
        <v>0.52200000000000002</v>
      </c>
      <c r="I77" s="26">
        <f t="shared" si="14"/>
        <v>0.48600000000000004</v>
      </c>
      <c r="J77" s="25">
        <v>0.52200000000000002</v>
      </c>
      <c r="K77" s="25">
        <v>0.48399999999999999</v>
      </c>
      <c r="L77" s="25">
        <v>0.49199999999999999</v>
      </c>
      <c r="M77" s="25">
        <v>0.59599999999999997</v>
      </c>
      <c r="N77" s="25">
        <v>0.42099999999999999</v>
      </c>
      <c r="O77" s="26">
        <f t="shared" si="15"/>
        <v>0.50299999999999989</v>
      </c>
      <c r="P77" s="25">
        <v>0.52900000000000003</v>
      </c>
      <c r="Q77" s="25">
        <v>0.47099999999999997</v>
      </c>
      <c r="R77" s="25">
        <v>0.51500000000000001</v>
      </c>
      <c r="S77" s="25">
        <v>0.57199999999999995</v>
      </c>
      <c r="T77" s="25">
        <v>0.50800000000000001</v>
      </c>
      <c r="U77" s="26">
        <f t="shared" si="16"/>
        <v>0.51900000000000002</v>
      </c>
      <c r="V77" s="25">
        <v>0.52600000000000002</v>
      </c>
      <c r="W77" s="25">
        <v>0.47499999999999998</v>
      </c>
      <c r="X77" s="25">
        <v>0.48399999999999999</v>
      </c>
      <c r="Y77" s="25">
        <v>0.59599999999999997</v>
      </c>
      <c r="Z77" s="25">
        <v>0.496</v>
      </c>
      <c r="AA77" s="26">
        <f t="shared" si="17"/>
        <v>0.51539999999999997</v>
      </c>
      <c r="AB77" s="25">
        <v>0.52600000000000002</v>
      </c>
      <c r="AC77" s="25">
        <v>0.47499999999999998</v>
      </c>
      <c r="AD77" s="25">
        <v>0.48399999999999999</v>
      </c>
      <c r="AE77" s="25">
        <v>0.59599999999999997</v>
      </c>
      <c r="AF77" s="25">
        <v>0.496</v>
      </c>
      <c r="AG77" s="26">
        <f t="shared" si="18"/>
        <v>0.51539999999999997</v>
      </c>
      <c r="AH77" s="25">
        <f t="shared" si="19"/>
        <v>0</v>
      </c>
      <c r="AI77" s="25">
        <f t="shared" si="20"/>
        <v>1.2400000000000078E-2</v>
      </c>
    </row>
    <row r="78" spans="1:35" x14ac:dyDescent="0.25">
      <c r="A78" s="24" t="s">
        <v>135</v>
      </c>
      <c r="B78" s="25" t="s">
        <v>126</v>
      </c>
      <c r="C78" s="25">
        <v>0.2</v>
      </c>
      <c r="D78" s="25">
        <v>0.75700000000000001</v>
      </c>
      <c r="E78" s="25">
        <v>0.747</v>
      </c>
      <c r="F78" s="25">
        <v>0.76100000000000001</v>
      </c>
      <c r="G78" s="25">
        <v>0.747</v>
      </c>
      <c r="H78" s="25">
        <v>0.78100000000000003</v>
      </c>
      <c r="I78" s="26">
        <f t="shared" si="14"/>
        <v>0.75860000000000005</v>
      </c>
      <c r="J78" s="25">
        <v>0.754</v>
      </c>
      <c r="K78" s="25">
        <v>0.754</v>
      </c>
      <c r="L78" s="25">
        <v>0.76100000000000001</v>
      </c>
      <c r="M78" s="25">
        <v>0.76400000000000001</v>
      </c>
      <c r="N78" s="25">
        <v>0.75700000000000001</v>
      </c>
      <c r="O78" s="26">
        <f t="shared" si="15"/>
        <v>0.75800000000000012</v>
      </c>
      <c r="P78" s="25">
        <v>0.76100000000000001</v>
      </c>
      <c r="Q78" s="25">
        <v>0.79100000000000004</v>
      </c>
      <c r="R78" s="25">
        <v>0.77100000000000002</v>
      </c>
      <c r="S78" s="25">
        <v>0.72699999999999998</v>
      </c>
      <c r="T78" s="25">
        <v>0.79500000000000004</v>
      </c>
      <c r="U78" s="26">
        <f t="shared" si="16"/>
        <v>0.76899999999999991</v>
      </c>
      <c r="V78" s="25">
        <v>0.76100000000000001</v>
      </c>
      <c r="W78" s="25">
        <v>0.79100000000000004</v>
      </c>
      <c r="X78" s="25">
        <v>0.79800000000000004</v>
      </c>
      <c r="Y78" s="25">
        <v>0.73699999999999999</v>
      </c>
      <c r="Z78" s="25">
        <v>0.79100000000000004</v>
      </c>
      <c r="AA78" s="26">
        <f t="shared" si="17"/>
        <v>0.77560000000000007</v>
      </c>
      <c r="AB78" s="25">
        <v>0.76100000000000001</v>
      </c>
      <c r="AC78" s="25">
        <v>0.79100000000000004</v>
      </c>
      <c r="AD78" s="25">
        <v>0.79800000000000004</v>
      </c>
      <c r="AE78" s="25">
        <v>0.73699999999999999</v>
      </c>
      <c r="AF78" s="25">
        <v>0.79100000000000004</v>
      </c>
      <c r="AG78" s="26">
        <f t="shared" si="18"/>
        <v>0.77560000000000007</v>
      </c>
      <c r="AH78" s="25">
        <f t="shared" si="19"/>
        <v>0</v>
      </c>
      <c r="AI78" s="25">
        <f t="shared" si="20"/>
        <v>1.7599999999999949E-2</v>
      </c>
    </row>
    <row r="79" spans="1:35" x14ac:dyDescent="0.25">
      <c r="A79" s="24" t="s">
        <v>135</v>
      </c>
      <c r="B79" s="25" t="s">
        <v>126</v>
      </c>
      <c r="C79" s="25">
        <v>0.3</v>
      </c>
      <c r="D79" s="25">
        <v>0.71699999999999997</v>
      </c>
      <c r="E79" s="25">
        <v>0.73699999999999999</v>
      </c>
      <c r="F79" s="25">
        <v>0.71799999999999997</v>
      </c>
      <c r="G79" s="25">
        <v>0.74</v>
      </c>
      <c r="H79" s="25">
        <v>0.78100000000000003</v>
      </c>
      <c r="I79" s="26">
        <f t="shared" si="14"/>
        <v>0.73860000000000003</v>
      </c>
      <c r="J79" s="25">
        <v>0.73699999999999999</v>
      </c>
      <c r="K79" s="25">
        <v>0.71699999999999997</v>
      </c>
      <c r="L79" s="25">
        <v>0.79100000000000004</v>
      </c>
      <c r="M79" s="25">
        <v>0.71699999999999997</v>
      </c>
      <c r="N79" s="25">
        <v>0.72699999999999998</v>
      </c>
      <c r="O79" s="26">
        <f t="shared" si="15"/>
        <v>0.73780000000000001</v>
      </c>
      <c r="P79" s="25"/>
      <c r="Q79" s="25"/>
      <c r="R79" s="25"/>
      <c r="S79" s="25"/>
      <c r="T79" s="25"/>
      <c r="U79" s="26" t="str">
        <f t="shared" si="16"/>
        <v/>
      </c>
      <c r="V79" s="25"/>
      <c r="W79" s="25"/>
      <c r="X79" s="25"/>
      <c r="Y79" s="25"/>
      <c r="Z79" s="25"/>
      <c r="AA79" s="26" t="str">
        <f t="shared" si="17"/>
        <v/>
      </c>
      <c r="AB79" s="25">
        <v>0.747</v>
      </c>
      <c r="AC79" s="25">
        <v>0.74099999999999999</v>
      </c>
      <c r="AD79" s="25">
        <v>0.71099999999999997</v>
      </c>
      <c r="AE79" s="25">
        <v>0.754</v>
      </c>
      <c r="AF79" s="25">
        <v>0.747</v>
      </c>
      <c r="AG79" s="26">
        <f t="shared" si="18"/>
        <v>0.74</v>
      </c>
      <c r="AH79" s="25" t="str">
        <f t="shared" si="19"/>
        <v/>
      </c>
      <c r="AI79" s="25">
        <f t="shared" si="20"/>
        <v>2.1999999999999797E-3</v>
      </c>
    </row>
    <row r="80" spans="1:35" x14ac:dyDescent="0.25">
      <c r="A80" s="24" t="s">
        <v>135</v>
      </c>
      <c r="B80" s="25" t="s">
        <v>126</v>
      </c>
      <c r="C80" s="25">
        <v>0.4</v>
      </c>
      <c r="D80" s="25">
        <v>0.68</v>
      </c>
      <c r="E80" s="25">
        <v>0.67300000000000004</v>
      </c>
      <c r="F80" s="25">
        <v>0.66400000000000003</v>
      </c>
      <c r="G80" s="25">
        <v>0.70399999999999996</v>
      </c>
      <c r="H80" s="25">
        <v>0.69399999999999995</v>
      </c>
      <c r="I80" s="26">
        <f t="shared" si="14"/>
        <v>0.68300000000000005</v>
      </c>
      <c r="J80" s="25">
        <v>0.67700000000000005</v>
      </c>
      <c r="K80" s="25">
        <v>0.67400000000000004</v>
      </c>
      <c r="L80" s="25">
        <v>0.7</v>
      </c>
      <c r="M80" s="25">
        <v>0.70699999999999996</v>
      </c>
      <c r="N80" s="25">
        <v>0.72</v>
      </c>
      <c r="O80" s="26">
        <f t="shared" si="15"/>
        <v>0.6956</v>
      </c>
      <c r="P80" s="25"/>
      <c r="Q80" s="25"/>
      <c r="R80" s="25"/>
      <c r="S80" s="25"/>
      <c r="T80" s="25"/>
      <c r="U80" s="26" t="str">
        <f t="shared" si="16"/>
        <v/>
      </c>
      <c r="V80" s="25"/>
      <c r="W80" s="25"/>
      <c r="X80" s="25"/>
      <c r="Y80" s="25"/>
      <c r="Z80" s="25"/>
      <c r="AA80" s="26" t="str">
        <f t="shared" si="17"/>
        <v/>
      </c>
      <c r="AB80" s="25">
        <v>0.74099999999999999</v>
      </c>
      <c r="AC80" s="25">
        <v>0.74099999999999999</v>
      </c>
      <c r="AD80" s="25">
        <v>0.73099999999999998</v>
      </c>
      <c r="AE80" s="25">
        <v>0.747</v>
      </c>
      <c r="AF80" s="25">
        <v>0.747</v>
      </c>
      <c r="AG80" s="26">
        <f t="shared" si="18"/>
        <v>0.74139999999999995</v>
      </c>
      <c r="AH80" s="25" t="str">
        <f t="shared" si="19"/>
        <v/>
      </c>
      <c r="AI80" s="25">
        <f t="shared" si="20"/>
        <v>4.5799999999999952E-2</v>
      </c>
    </row>
    <row r="81" spans="1:35" x14ac:dyDescent="0.25">
      <c r="A81" s="24" t="s">
        <v>135</v>
      </c>
      <c r="B81" s="25" t="s">
        <v>126</v>
      </c>
      <c r="C81" s="25">
        <v>0.5</v>
      </c>
      <c r="D81" s="25">
        <v>0.58199999999999996</v>
      </c>
      <c r="E81" s="25">
        <v>0.59599999999999997</v>
      </c>
      <c r="F81" s="25">
        <v>0.67</v>
      </c>
      <c r="G81" s="25">
        <v>0.65900000000000003</v>
      </c>
      <c r="H81" s="25">
        <v>0.64300000000000002</v>
      </c>
      <c r="I81" s="26">
        <f t="shared" si="14"/>
        <v>0.62999999999999989</v>
      </c>
      <c r="J81" s="25">
        <v>0.63</v>
      </c>
      <c r="K81" s="25">
        <v>0.61599999999999999</v>
      </c>
      <c r="L81" s="25">
        <v>0.60599999999999998</v>
      </c>
      <c r="M81" s="25">
        <v>0.63600000000000001</v>
      </c>
      <c r="N81" s="25">
        <v>0.61899999999999999</v>
      </c>
      <c r="O81" s="26">
        <f t="shared" si="15"/>
        <v>0.62140000000000006</v>
      </c>
      <c r="P81" s="25"/>
      <c r="Q81" s="25"/>
      <c r="R81" s="25"/>
      <c r="S81" s="25"/>
      <c r="T81" s="25"/>
      <c r="U81" s="26" t="str">
        <f t="shared" si="16"/>
        <v/>
      </c>
      <c r="V81" s="25"/>
      <c r="W81" s="25"/>
      <c r="X81" s="25"/>
      <c r="Y81" s="25"/>
      <c r="Z81" s="25"/>
      <c r="AA81" s="26" t="str">
        <f t="shared" si="17"/>
        <v/>
      </c>
      <c r="AB81" s="25">
        <v>0.75800000000000001</v>
      </c>
      <c r="AC81" s="25">
        <v>0.72399999999999998</v>
      </c>
      <c r="AD81" s="25">
        <v>0.751</v>
      </c>
      <c r="AE81" s="25">
        <v>0.72399999999999998</v>
      </c>
      <c r="AF81" s="25">
        <v>0.73399999999999999</v>
      </c>
      <c r="AG81" s="26">
        <f t="shared" si="18"/>
        <v>0.73819999999999997</v>
      </c>
      <c r="AH81" s="25" t="str">
        <f t="shared" si="19"/>
        <v/>
      </c>
      <c r="AI81" s="25">
        <f t="shared" si="20"/>
        <v>0.1167999999999999</v>
      </c>
    </row>
    <row r="82" spans="1:35" x14ac:dyDescent="0.25">
      <c r="A82" s="24" t="s">
        <v>135</v>
      </c>
      <c r="B82" s="25" t="s">
        <v>127</v>
      </c>
      <c r="C82" s="25">
        <v>0.2</v>
      </c>
      <c r="D82" s="25">
        <v>0.79400000000000004</v>
      </c>
      <c r="E82" s="25">
        <v>0.73399999999999999</v>
      </c>
      <c r="F82" s="25">
        <v>0.74099999999999999</v>
      </c>
      <c r="G82" s="25">
        <v>0.78400000000000003</v>
      </c>
      <c r="H82" s="25">
        <v>0.79100000000000004</v>
      </c>
      <c r="I82" s="26">
        <f t="shared" si="14"/>
        <v>0.76879999999999993</v>
      </c>
      <c r="J82" s="25">
        <v>0.81100000000000005</v>
      </c>
      <c r="K82" s="25">
        <v>0.78800000000000003</v>
      </c>
      <c r="L82" s="25">
        <v>0.80500000000000005</v>
      </c>
      <c r="M82" s="25">
        <v>0.80500000000000005</v>
      </c>
      <c r="N82" s="25">
        <v>0.83499999999999996</v>
      </c>
      <c r="O82" s="26">
        <f t="shared" si="15"/>
        <v>0.80880000000000007</v>
      </c>
      <c r="P82" s="25">
        <v>0.79400000000000004</v>
      </c>
      <c r="Q82" s="25">
        <v>0.79100000000000004</v>
      </c>
      <c r="R82" s="25">
        <v>0.78500000000000003</v>
      </c>
      <c r="S82" s="25">
        <v>0.79800000000000004</v>
      </c>
      <c r="T82" s="25">
        <v>0.79500000000000004</v>
      </c>
      <c r="U82" s="26">
        <f t="shared" si="16"/>
        <v>0.79259999999999997</v>
      </c>
      <c r="V82" s="25">
        <v>0.79500000000000004</v>
      </c>
      <c r="W82" s="25">
        <v>0.79100000000000004</v>
      </c>
      <c r="X82" s="25">
        <v>0.79200000000000004</v>
      </c>
      <c r="Y82" s="25">
        <v>0.79100000000000004</v>
      </c>
      <c r="Z82" s="25">
        <v>0.79100000000000004</v>
      </c>
      <c r="AA82" s="26">
        <f t="shared" si="17"/>
        <v>0.79200000000000004</v>
      </c>
      <c r="AB82" s="25">
        <v>0.79500000000000004</v>
      </c>
      <c r="AC82" s="25">
        <v>0.79100000000000004</v>
      </c>
      <c r="AD82" s="25">
        <v>0.79200000000000004</v>
      </c>
      <c r="AE82" s="25">
        <v>0.79100000000000004</v>
      </c>
      <c r="AF82" s="25">
        <v>0.79100000000000004</v>
      </c>
      <c r="AG82" s="26">
        <f t="shared" si="18"/>
        <v>0.79200000000000004</v>
      </c>
      <c r="AH82" s="25">
        <f t="shared" si="19"/>
        <v>0</v>
      </c>
      <c r="AI82" s="25">
        <f t="shared" si="20"/>
        <v>-1.6800000000000037E-2</v>
      </c>
    </row>
    <row r="83" spans="1:35" x14ac:dyDescent="0.25">
      <c r="A83" s="24" t="s">
        <v>135</v>
      </c>
      <c r="B83" s="25" t="s">
        <v>127</v>
      </c>
      <c r="C83" s="25">
        <v>0.3</v>
      </c>
      <c r="D83" s="25">
        <v>0.73699999999999999</v>
      </c>
      <c r="E83" s="25">
        <v>0.73799999999999999</v>
      </c>
      <c r="F83" s="25">
        <v>0.70399999999999996</v>
      </c>
      <c r="G83" s="25">
        <v>0.77400000000000002</v>
      </c>
      <c r="H83" s="25">
        <v>0.74399999999999999</v>
      </c>
      <c r="I83" s="26">
        <f t="shared" si="14"/>
        <v>0.73940000000000006</v>
      </c>
      <c r="J83" s="25">
        <v>0.78400000000000003</v>
      </c>
      <c r="K83" s="25">
        <v>0.755</v>
      </c>
      <c r="L83" s="25">
        <v>0.76100000000000001</v>
      </c>
      <c r="M83" s="25">
        <v>0.80500000000000005</v>
      </c>
      <c r="N83" s="25">
        <v>0.75700000000000001</v>
      </c>
      <c r="O83" s="26">
        <f t="shared" si="15"/>
        <v>0.77240000000000009</v>
      </c>
      <c r="P83" s="25">
        <v>0.80500000000000005</v>
      </c>
      <c r="Q83" s="25">
        <v>0.79100000000000004</v>
      </c>
      <c r="R83" s="25">
        <v>0.78500000000000003</v>
      </c>
      <c r="S83" s="25">
        <v>0.79400000000000004</v>
      </c>
      <c r="T83" s="25">
        <v>0.79500000000000004</v>
      </c>
      <c r="U83" s="26">
        <f t="shared" si="16"/>
        <v>0.79400000000000004</v>
      </c>
      <c r="V83" s="25">
        <v>0.77400000000000002</v>
      </c>
      <c r="W83" s="25">
        <v>0.79100000000000004</v>
      </c>
      <c r="X83" s="25">
        <v>0.79200000000000004</v>
      </c>
      <c r="Y83" s="25">
        <v>0.77400000000000002</v>
      </c>
      <c r="Z83" s="25">
        <v>0.79100000000000004</v>
      </c>
      <c r="AA83" s="26">
        <f t="shared" si="17"/>
        <v>0.78439999999999999</v>
      </c>
      <c r="AB83" s="25">
        <v>0.77400000000000002</v>
      </c>
      <c r="AC83" s="25">
        <v>0.79100000000000004</v>
      </c>
      <c r="AD83" s="25">
        <v>0.79200000000000004</v>
      </c>
      <c r="AE83" s="25">
        <v>0.77400000000000002</v>
      </c>
      <c r="AF83" s="25">
        <v>0.79100000000000004</v>
      </c>
      <c r="AG83" s="26">
        <f t="shared" si="18"/>
        <v>0.78439999999999999</v>
      </c>
      <c r="AH83" s="25">
        <f t="shared" si="19"/>
        <v>0</v>
      </c>
      <c r="AI83" s="25">
        <f t="shared" si="20"/>
        <v>1.19999999999999E-2</v>
      </c>
    </row>
    <row r="84" spans="1:35" x14ac:dyDescent="0.25">
      <c r="A84" s="24" t="s">
        <v>135</v>
      </c>
      <c r="B84" s="25" t="s">
        <v>127</v>
      </c>
      <c r="C84" s="25">
        <v>0.4</v>
      </c>
      <c r="D84" s="25">
        <v>0.70699999999999996</v>
      </c>
      <c r="E84" s="25">
        <v>0.72099999999999997</v>
      </c>
      <c r="F84" s="25">
        <v>0.68400000000000005</v>
      </c>
      <c r="G84" s="25">
        <v>0.69</v>
      </c>
      <c r="H84" s="25">
        <v>0.623</v>
      </c>
      <c r="I84" s="26">
        <f t="shared" si="14"/>
        <v>0.68499999999999994</v>
      </c>
      <c r="J84" s="25">
        <v>0.73399999999999999</v>
      </c>
      <c r="K84" s="25">
        <v>0.66700000000000004</v>
      </c>
      <c r="L84" s="25">
        <v>0.68700000000000006</v>
      </c>
      <c r="M84" s="25">
        <v>0.69</v>
      </c>
      <c r="N84" s="25">
        <v>0.67</v>
      </c>
      <c r="O84" s="26">
        <f t="shared" si="15"/>
        <v>0.68959999999999999</v>
      </c>
      <c r="P84" s="25">
        <v>0.68600000000000005</v>
      </c>
      <c r="Q84" s="25">
        <v>0.745</v>
      </c>
      <c r="R84" s="25">
        <v>0.64300000000000002</v>
      </c>
      <c r="S84" s="25">
        <v>0.63600000000000001</v>
      </c>
      <c r="T84" s="25">
        <v>0.64300000000000002</v>
      </c>
      <c r="U84" s="26">
        <f t="shared" si="16"/>
        <v>0.67059999999999997</v>
      </c>
      <c r="V84" s="25">
        <v>0.66</v>
      </c>
      <c r="W84" s="25">
        <v>0.69799999999999995</v>
      </c>
      <c r="X84" s="25">
        <v>0.623</v>
      </c>
      <c r="Y84" s="25">
        <v>0.66</v>
      </c>
      <c r="Z84" s="25">
        <v>0.59499999999999997</v>
      </c>
      <c r="AA84" s="26">
        <f t="shared" si="17"/>
        <v>0.6472</v>
      </c>
      <c r="AB84" s="25">
        <v>0.66</v>
      </c>
      <c r="AC84" s="25">
        <v>0.69799999999999995</v>
      </c>
      <c r="AD84" s="25">
        <v>0.623</v>
      </c>
      <c r="AE84" s="25">
        <v>0.66</v>
      </c>
      <c r="AF84" s="25">
        <v>0.59499999999999997</v>
      </c>
      <c r="AG84" s="26">
        <f t="shared" si="18"/>
        <v>0.6472</v>
      </c>
      <c r="AH84" s="25">
        <f t="shared" si="19"/>
        <v>0</v>
      </c>
      <c r="AI84" s="25">
        <f t="shared" si="20"/>
        <v>-4.2399999999999993E-2</v>
      </c>
    </row>
    <row r="85" spans="1:35" x14ac:dyDescent="0.25">
      <c r="A85" s="24" t="s">
        <v>135</v>
      </c>
      <c r="B85" s="25" t="s">
        <v>127</v>
      </c>
      <c r="C85" s="25">
        <v>0.5</v>
      </c>
      <c r="D85" s="25">
        <v>0.54900000000000004</v>
      </c>
      <c r="E85" s="25">
        <v>0.51800000000000002</v>
      </c>
      <c r="F85" s="25">
        <v>0.48399999999999999</v>
      </c>
      <c r="G85" s="25">
        <v>0.48199999999999998</v>
      </c>
      <c r="H85" s="25">
        <v>0.48799999999999999</v>
      </c>
      <c r="I85" s="26">
        <f t="shared" si="14"/>
        <v>0.50420000000000009</v>
      </c>
      <c r="J85" s="25">
        <v>0.54600000000000004</v>
      </c>
      <c r="K85" s="25">
        <v>0.44800000000000001</v>
      </c>
      <c r="L85" s="25">
        <v>0.52400000000000002</v>
      </c>
      <c r="M85" s="25">
        <v>0.51800000000000002</v>
      </c>
      <c r="N85" s="25">
        <v>0.495</v>
      </c>
      <c r="O85" s="26">
        <f t="shared" si="15"/>
        <v>0.50619999999999998</v>
      </c>
      <c r="P85" s="25">
        <v>0.52900000000000003</v>
      </c>
      <c r="Q85" s="25">
        <v>0.49199999999999999</v>
      </c>
      <c r="R85" s="25">
        <v>0.46100000000000002</v>
      </c>
      <c r="S85" s="25">
        <v>0.51500000000000001</v>
      </c>
      <c r="T85" s="25">
        <v>0.48199999999999998</v>
      </c>
      <c r="U85" s="26">
        <f t="shared" si="16"/>
        <v>0.49580000000000002</v>
      </c>
      <c r="V85" s="25">
        <v>0.57199999999999995</v>
      </c>
      <c r="W85" s="25">
        <v>0.46400000000000002</v>
      </c>
      <c r="X85" s="25">
        <v>0.505</v>
      </c>
      <c r="Y85" s="25">
        <v>0.434</v>
      </c>
      <c r="Z85" s="25">
        <v>0.51500000000000001</v>
      </c>
      <c r="AA85" s="26">
        <f t="shared" si="17"/>
        <v>0.49799999999999994</v>
      </c>
      <c r="AB85" s="25">
        <v>0.57199999999999995</v>
      </c>
      <c r="AC85" s="25">
        <v>0.46400000000000002</v>
      </c>
      <c r="AD85" s="25">
        <v>0.505</v>
      </c>
      <c r="AE85" s="25">
        <v>0.434</v>
      </c>
      <c r="AF85" s="25">
        <v>0.51500000000000001</v>
      </c>
      <c r="AG85" s="26">
        <f t="shared" si="18"/>
        <v>0.49799999999999994</v>
      </c>
      <c r="AH85" s="25">
        <f t="shared" si="19"/>
        <v>0</v>
      </c>
      <c r="AI85" s="25">
        <f t="shared" si="20"/>
        <v>-8.2000000000000406E-3</v>
      </c>
    </row>
    <row r="86" spans="1:35" x14ac:dyDescent="0.25">
      <c r="A86" s="24" t="s">
        <v>135</v>
      </c>
      <c r="B86" s="25" t="s">
        <v>128</v>
      </c>
      <c r="C86" s="25">
        <v>0.2</v>
      </c>
      <c r="D86" s="25">
        <v>0.73699999999999999</v>
      </c>
      <c r="E86" s="25">
        <v>0.70399999999999996</v>
      </c>
      <c r="F86" s="25">
        <v>0.72799999999999998</v>
      </c>
      <c r="G86" s="25">
        <v>0.73399999999999999</v>
      </c>
      <c r="H86" s="25">
        <v>0.72099999999999997</v>
      </c>
      <c r="I86" s="26">
        <f t="shared" si="14"/>
        <v>0.72479999999999989</v>
      </c>
      <c r="J86" s="25">
        <v>0.73099999999999998</v>
      </c>
      <c r="K86" s="25">
        <v>0.73699999999999999</v>
      </c>
      <c r="L86" s="25">
        <v>0.76100000000000001</v>
      </c>
      <c r="M86" s="25">
        <v>0.754</v>
      </c>
      <c r="N86" s="25">
        <v>0.747</v>
      </c>
      <c r="O86" s="26">
        <f t="shared" si="15"/>
        <v>0.746</v>
      </c>
      <c r="P86" s="25">
        <v>0.77100000000000002</v>
      </c>
      <c r="Q86" s="25">
        <v>0.79100000000000004</v>
      </c>
      <c r="R86" s="25">
        <v>0.78200000000000003</v>
      </c>
      <c r="S86" s="25">
        <v>0.74099999999999999</v>
      </c>
      <c r="T86" s="25">
        <v>0.79500000000000004</v>
      </c>
      <c r="U86" s="26">
        <f t="shared" si="16"/>
        <v>0.77600000000000002</v>
      </c>
      <c r="V86" s="25">
        <v>0.72399999999999998</v>
      </c>
      <c r="W86" s="25">
        <v>0.79100000000000004</v>
      </c>
      <c r="X86" s="25">
        <v>0.77800000000000002</v>
      </c>
      <c r="Y86" s="25">
        <v>0.747</v>
      </c>
      <c r="Z86" s="25">
        <v>0.79100000000000004</v>
      </c>
      <c r="AA86" s="26">
        <f t="shared" si="17"/>
        <v>0.76619999999999999</v>
      </c>
      <c r="AB86" s="25">
        <v>0.72399999999999998</v>
      </c>
      <c r="AC86" s="25">
        <v>0.79100000000000004</v>
      </c>
      <c r="AD86" s="25">
        <v>0.77800000000000002</v>
      </c>
      <c r="AE86" s="25">
        <v>0.747</v>
      </c>
      <c r="AF86" s="25">
        <v>0.79100000000000004</v>
      </c>
      <c r="AG86" s="26">
        <f t="shared" si="18"/>
        <v>0.76619999999999999</v>
      </c>
      <c r="AH86" s="25">
        <f t="shared" si="19"/>
        <v>0</v>
      </c>
      <c r="AI86" s="25">
        <f t="shared" si="20"/>
        <v>2.0199999999999996E-2</v>
      </c>
    </row>
    <row r="87" spans="1:35" x14ac:dyDescent="0.25">
      <c r="A87" s="24" t="s">
        <v>135</v>
      </c>
      <c r="B87" s="25" t="s">
        <v>128</v>
      </c>
      <c r="C87" s="25">
        <v>0.3</v>
      </c>
      <c r="D87" s="25">
        <v>0.63600000000000001</v>
      </c>
      <c r="E87" s="25">
        <v>0.64700000000000002</v>
      </c>
      <c r="F87" s="25">
        <v>0.63300000000000001</v>
      </c>
      <c r="G87" s="25">
        <v>0.68600000000000005</v>
      </c>
      <c r="H87" s="25">
        <v>0.66300000000000003</v>
      </c>
      <c r="I87" s="26">
        <f t="shared" si="14"/>
        <v>0.65299999999999991</v>
      </c>
      <c r="J87" s="25">
        <v>0.73099999999999998</v>
      </c>
      <c r="K87" s="25">
        <v>0.63700000000000001</v>
      </c>
      <c r="L87" s="25">
        <v>0.74099999999999999</v>
      </c>
      <c r="M87" s="25">
        <v>0.68700000000000006</v>
      </c>
      <c r="N87" s="25">
        <v>0.72699999999999998</v>
      </c>
      <c r="O87" s="26">
        <f t="shared" si="15"/>
        <v>0.7046</v>
      </c>
      <c r="P87" s="25">
        <v>0.78400000000000003</v>
      </c>
      <c r="Q87" s="25">
        <v>0.66400000000000003</v>
      </c>
      <c r="R87" s="25">
        <v>0.71399999999999997</v>
      </c>
      <c r="S87" s="25">
        <v>0.68300000000000005</v>
      </c>
      <c r="T87" s="25">
        <v>0.68100000000000005</v>
      </c>
      <c r="U87" s="26">
        <f t="shared" si="16"/>
        <v>0.70519999999999994</v>
      </c>
      <c r="V87" s="25">
        <v>0.76100000000000001</v>
      </c>
      <c r="W87" s="25">
        <v>0.64300000000000002</v>
      </c>
      <c r="X87" s="25">
        <v>0.67700000000000005</v>
      </c>
      <c r="Y87" s="25">
        <v>0.66300000000000003</v>
      </c>
      <c r="Z87" s="25">
        <v>0.68700000000000006</v>
      </c>
      <c r="AA87" s="26">
        <f t="shared" si="17"/>
        <v>0.68620000000000003</v>
      </c>
      <c r="AB87" s="25">
        <v>0.76100000000000001</v>
      </c>
      <c r="AC87" s="25">
        <v>0.64300000000000002</v>
      </c>
      <c r="AD87" s="25">
        <v>0.67700000000000005</v>
      </c>
      <c r="AE87" s="25">
        <v>0.66300000000000003</v>
      </c>
      <c r="AF87" s="25">
        <v>0.68700000000000006</v>
      </c>
      <c r="AG87" s="26">
        <f t="shared" si="18"/>
        <v>0.68620000000000003</v>
      </c>
      <c r="AH87" s="25">
        <f t="shared" si="19"/>
        <v>0</v>
      </c>
      <c r="AI87" s="25">
        <f t="shared" si="20"/>
        <v>-1.8399999999999972E-2</v>
      </c>
    </row>
    <row r="88" spans="1:35" x14ac:dyDescent="0.25">
      <c r="A88" s="24" t="s">
        <v>135</v>
      </c>
      <c r="B88" s="25" t="s">
        <v>128</v>
      </c>
      <c r="C88" s="25">
        <v>0.4</v>
      </c>
      <c r="D88" s="25">
        <v>0.67</v>
      </c>
      <c r="E88" s="25">
        <v>0.58899999999999997</v>
      </c>
      <c r="F88" s="25">
        <v>0.59699999999999998</v>
      </c>
      <c r="G88" s="25">
        <v>0.54500000000000004</v>
      </c>
      <c r="H88" s="25">
        <v>0.623</v>
      </c>
      <c r="I88" s="26">
        <f t="shared" si="14"/>
        <v>0.6048</v>
      </c>
      <c r="J88" s="25">
        <v>0.66600000000000004</v>
      </c>
      <c r="K88" s="25">
        <v>0.56899999999999995</v>
      </c>
      <c r="L88" s="25">
        <v>0.56899999999999995</v>
      </c>
      <c r="M88" s="25">
        <v>0.63</v>
      </c>
      <c r="N88" s="25">
        <v>0.67700000000000005</v>
      </c>
      <c r="O88" s="26">
        <f t="shared" si="15"/>
        <v>0.62219999999999998</v>
      </c>
      <c r="P88" s="25">
        <v>0.59599999999999997</v>
      </c>
      <c r="Q88" s="25">
        <v>0.57899999999999996</v>
      </c>
      <c r="R88" s="25">
        <v>0.65200000000000002</v>
      </c>
      <c r="S88" s="25">
        <v>0.59899999999999998</v>
      </c>
      <c r="T88" s="25">
        <v>0.69</v>
      </c>
      <c r="U88" s="26">
        <f t="shared" si="16"/>
        <v>0.62319999999999998</v>
      </c>
      <c r="V88" s="25">
        <v>0.57899999999999996</v>
      </c>
      <c r="W88" s="25">
        <v>0.626</v>
      </c>
      <c r="X88" s="25">
        <v>0.627</v>
      </c>
      <c r="Y88" s="25">
        <v>0.59899999999999998</v>
      </c>
      <c r="Z88" s="25">
        <v>0.68</v>
      </c>
      <c r="AA88" s="26">
        <f t="shared" si="17"/>
        <v>0.62220000000000009</v>
      </c>
      <c r="AB88" s="25">
        <v>0.57899999999999996</v>
      </c>
      <c r="AC88" s="25">
        <v>0.626</v>
      </c>
      <c r="AD88" s="25">
        <v>0.63700000000000001</v>
      </c>
      <c r="AE88" s="25">
        <v>0.59899999999999998</v>
      </c>
      <c r="AF88" s="25">
        <v>0.68</v>
      </c>
      <c r="AG88" s="26">
        <f t="shared" si="18"/>
        <v>0.62419999999999998</v>
      </c>
      <c r="AH88" s="25">
        <f t="shared" si="19"/>
        <v>1.9999999999998908E-3</v>
      </c>
      <c r="AI88" s="25">
        <f t="shared" si="20"/>
        <v>2.0000000000000018E-3</v>
      </c>
    </row>
    <row r="89" spans="1:35" x14ac:dyDescent="0.25">
      <c r="A89" s="24" t="s">
        <v>135</v>
      </c>
      <c r="B89" s="25" t="s">
        <v>128</v>
      </c>
      <c r="C89" s="25">
        <v>0.5</v>
      </c>
      <c r="D89" s="25">
        <v>0.43099999999999999</v>
      </c>
      <c r="E89" s="25">
        <v>0.50900000000000001</v>
      </c>
      <c r="F89" s="25">
        <v>0.51200000000000001</v>
      </c>
      <c r="G89" s="25">
        <v>0.51800000000000002</v>
      </c>
      <c r="H89" s="25">
        <v>0.56200000000000006</v>
      </c>
      <c r="I89" s="26">
        <f t="shared" si="14"/>
        <v>0.50639999999999996</v>
      </c>
      <c r="J89" s="25">
        <v>0.44800000000000001</v>
      </c>
      <c r="K89" s="25">
        <v>0.438</v>
      </c>
      <c r="L89" s="25">
        <v>0.502</v>
      </c>
      <c r="M89" s="25">
        <v>0.48499999999999999</v>
      </c>
      <c r="N89" s="25">
        <v>0.45800000000000002</v>
      </c>
      <c r="O89" s="26">
        <f t="shared" si="15"/>
        <v>0.4662</v>
      </c>
      <c r="P89" s="25">
        <v>0.57099999999999995</v>
      </c>
      <c r="Q89" s="25">
        <v>0.49199999999999999</v>
      </c>
      <c r="R89" s="25">
        <v>0.505</v>
      </c>
      <c r="S89" s="25">
        <v>0.501</v>
      </c>
      <c r="T89" s="25">
        <v>0.54200000000000004</v>
      </c>
      <c r="U89" s="26">
        <f t="shared" si="16"/>
        <v>0.5222</v>
      </c>
      <c r="V89" s="25">
        <v>0.47099999999999997</v>
      </c>
      <c r="W89" s="25">
        <v>0.47499999999999998</v>
      </c>
      <c r="X89" s="25">
        <v>0.54200000000000004</v>
      </c>
      <c r="Y89" s="25">
        <v>0.54100000000000004</v>
      </c>
      <c r="Z89" s="25">
        <v>0.57199999999999995</v>
      </c>
      <c r="AA89" s="26">
        <f t="shared" si="17"/>
        <v>0.5202</v>
      </c>
      <c r="AB89" s="25">
        <v>0.46100000000000002</v>
      </c>
      <c r="AC89" s="25">
        <v>0.47499999999999998</v>
      </c>
      <c r="AD89" s="25">
        <v>0.54200000000000004</v>
      </c>
      <c r="AE89" s="25">
        <v>0.54100000000000004</v>
      </c>
      <c r="AF89" s="25">
        <v>0.57199999999999995</v>
      </c>
      <c r="AG89" s="26">
        <f t="shared" si="18"/>
        <v>0.51819999999999999</v>
      </c>
      <c r="AH89" s="25">
        <f t="shared" si="19"/>
        <v>-2.0000000000000018E-3</v>
      </c>
      <c r="AI89" s="25">
        <f t="shared" si="20"/>
        <v>5.1999999999999991E-2</v>
      </c>
    </row>
    <row r="90" spans="1:35" x14ac:dyDescent="0.25">
      <c r="A90" s="24" t="s">
        <v>136</v>
      </c>
      <c r="B90" s="25" t="s">
        <v>124</v>
      </c>
      <c r="C90" s="25">
        <v>0</v>
      </c>
      <c r="D90" s="25">
        <v>0.81499999999999995</v>
      </c>
      <c r="E90" s="25">
        <v>0.77500000000000002</v>
      </c>
      <c r="F90" s="25">
        <v>0.75800000000000001</v>
      </c>
      <c r="G90" s="25">
        <v>0.72899999999999998</v>
      </c>
      <c r="H90" s="25">
        <v>0.85499999999999998</v>
      </c>
      <c r="I90" s="26">
        <f t="shared" si="14"/>
        <v>0.78639999999999999</v>
      </c>
      <c r="J90" s="25">
        <v>0.84599999999999997</v>
      </c>
      <c r="K90" s="25">
        <v>0.81799999999999995</v>
      </c>
      <c r="L90" s="25">
        <v>0.83199999999999996</v>
      </c>
      <c r="M90" s="25">
        <v>0.80900000000000005</v>
      </c>
      <c r="N90" s="25">
        <v>0.80400000000000005</v>
      </c>
      <c r="O90" s="26">
        <f t="shared" si="15"/>
        <v>0.82179999999999997</v>
      </c>
      <c r="P90" s="25"/>
      <c r="Q90" s="25"/>
      <c r="R90" s="25"/>
      <c r="S90" s="25"/>
      <c r="T90" s="25"/>
      <c r="U90" s="26" t="str">
        <f t="shared" si="16"/>
        <v/>
      </c>
      <c r="V90" s="25"/>
      <c r="W90" s="25"/>
      <c r="X90" s="25"/>
      <c r="Y90" s="25"/>
      <c r="Z90" s="25"/>
      <c r="AA90" s="26" t="str">
        <f t="shared" si="17"/>
        <v/>
      </c>
      <c r="AB90" s="25">
        <v>0.69199999999999995</v>
      </c>
      <c r="AC90" s="25">
        <v>0.70599999999999996</v>
      </c>
      <c r="AD90" s="25">
        <v>0.69199999999999995</v>
      </c>
      <c r="AE90" s="25">
        <v>0.70399999999999996</v>
      </c>
      <c r="AF90" s="25">
        <v>0.67500000000000004</v>
      </c>
      <c r="AG90" s="26">
        <f t="shared" si="18"/>
        <v>0.69379999999999986</v>
      </c>
      <c r="AH90" s="25" t="str">
        <f t="shared" si="19"/>
        <v/>
      </c>
      <c r="AI90" s="25">
        <f t="shared" si="20"/>
        <v>-0.12800000000000011</v>
      </c>
    </row>
    <row r="91" spans="1:35" x14ac:dyDescent="0.25">
      <c r="A91" s="24" t="s">
        <v>136</v>
      </c>
      <c r="B91" s="25" t="s">
        <v>125</v>
      </c>
      <c r="C91" s="25">
        <v>0.2</v>
      </c>
      <c r="D91" s="25">
        <v>0.83199999999999996</v>
      </c>
      <c r="E91" s="25">
        <v>0.749</v>
      </c>
      <c r="F91" s="25">
        <v>0.78900000000000003</v>
      </c>
      <c r="G91" s="25">
        <v>0.78900000000000003</v>
      </c>
      <c r="H91" s="25">
        <v>0.78600000000000003</v>
      </c>
      <c r="I91" s="26">
        <f t="shared" si="14"/>
        <v>0.78900000000000003</v>
      </c>
      <c r="J91" s="25">
        <v>0.77200000000000002</v>
      </c>
      <c r="K91" s="25">
        <v>0.77500000000000002</v>
      </c>
      <c r="L91" s="25">
        <v>0.82099999999999995</v>
      </c>
      <c r="M91" s="25">
        <v>0.80600000000000005</v>
      </c>
      <c r="N91" s="25">
        <v>0.78600000000000003</v>
      </c>
      <c r="O91" s="26">
        <f t="shared" si="15"/>
        <v>0.79200000000000004</v>
      </c>
      <c r="P91" s="25">
        <v>0.80700000000000005</v>
      </c>
      <c r="Q91" s="25">
        <v>0.82</v>
      </c>
      <c r="R91" s="25">
        <v>0.78700000000000003</v>
      </c>
      <c r="S91" s="25">
        <v>0.85699999999999998</v>
      </c>
      <c r="T91" s="25">
        <v>0.76800000000000002</v>
      </c>
      <c r="U91" s="26">
        <f t="shared" si="16"/>
        <v>0.80779999999999996</v>
      </c>
      <c r="V91" s="25">
        <v>0.77100000000000002</v>
      </c>
      <c r="W91" s="25">
        <v>0.749</v>
      </c>
      <c r="X91" s="25">
        <v>0.73299999999999998</v>
      </c>
      <c r="Y91" s="25">
        <v>0.81399999999999995</v>
      </c>
      <c r="Z91" s="25">
        <v>0.68700000000000006</v>
      </c>
      <c r="AA91" s="26">
        <f t="shared" si="17"/>
        <v>0.75080000000000013</v>
      </c>
      <c r="AB91" s="25">
        <v>0.64500000000000002</v>
      </c>
      <c r="AC91" s="25">
        <v>0.749</v>
      </c>
      <c r="AD91" s="25">
        <v>0.71499999999999997</v>
      </c>
      <c r="AE91" s="25">
        <v>0.65800000000000003</v>
      </c>
      <c r="AF91" s="25">
        <v>0.68100000000000005</v>
      </c>
      <c r="AG91" s="26">
        <f t="shared" si="18"/>
        <v>0.68959999999999999</v>
      </c>
      <c r="AH91" s="25">
        <f t="shared" si="19"/>
        <v>-6.1200000000000143E-2</v>
      </c>
      <c r="AI91" s="25">
        <f t="shared" si="20"/>
        <v>-0.10240000000000005</v>
      </c>
    </row>
    <row r="92" spans="1:35" x14ac:dyDescent="0.25">
      <c r="A92" s="24" t="s">
        <v>136</v>
      </c>
      <c r="B92" s="25" t="s">
        <v>125</v>
      </c>
      <c r="C92" s="25">
        <v>0.3</v>
      </c>
      <c r="D92" s="25">
        <v>0.752</v>
      </c>
      <c r="E92" s="25">
        <v>0.71499999999999997</v>
      </c>
      <c r="F92" s="25">
        <v>0.79800000000000004</v>
      </c>
      <c r="G92" s="25">
        <v>0.70899999999999996</v>
      </c>
      <c r="H92" s="25">
        <v>0.73499999999999999</v>
      </c>
      <c r="I92" s="26">
        <f t="shared" si="14"/>
        <v>0.74180000000000001</v>
      </c>
      <c r="J92" s="25">
        <v>0.73199999999999998</v>
      </c>
      <c r="K92" s="25">
        <v>0.73199999999999998</v>
      </c>
      <c r="L92" s="25">
        <v>0.77800000000000002</v>
      </c>
      <c r="M92" s="25">
        <v>0.75800000000000001</v>
      </c>
      <c r="N92" s="25">
        <v>0.75800000000000001</v>
      </c>
      <c r="O92" s="26">
        <f t="shared" si="15"/>
        <v>0.75160000000000005</v>
      </c>
      <c r="P92" s="25">
        <v>0.81200000000000006</v>
      </c>
      <c r="Q92" s="25">
        <v>0.78900000000000003</v>
      </c>
      <c r="R92" s="25">
        <v>0.72099999999999997</v>
      </c>
      <c r="S92" s="25">
        <v>0.78200000000000003</v>
      </c>
      <c r="T92" s="25">
        <v>0.76600000000000001</v>
      </c>
      <c r="U92" s="26">
        <f t="shared" si="16"/>
        <v>0.77400000000000002</v>
      </c>
      <c r="V92" s="25">
        <v>0.76900000000000002</v>
      </c>
      <c r="W92" s="25">
        <v>0.70899999999999996</v>
      </c>
      <c r="X92" s="25">
        <v>0.71199999999999997</v>
      </c>
      <c r="Y92" s="25">
        <v>0.71399999999999997</v>
      </c>
      <c r="Z92" s="25">
        <v>0.71499999999999997</v>
      </c>
      <c r="AA92" s="26">
        <f t="shared" si="17"/>
        <v>0.7238</v>
      </c>
      <c r="AB92" s="25">
        <v>0.76900000000000002</v>
      </c>
      <c r="AC92" s="25">
        <v>0.70899999999999996</v>
      </c>
      <c r="AD92" s="25">
        <v>0.71199999999999997</v>
      </c>
      <c r="AE92" s="25">
        <v>0.69799999999999995</v>
      </c>
      <c r="AF92" s="25">
        <v>0.71499999999999997</v>
      </c>
      <c r="AG92" s="26">
        <f t="shared" si="18"/>
        <v>0.72059999999999991</v>
      </c>
      <c r="AH92" s="25">
        <f t="shared" si="19"/>
        <v>-3.2000000000000917E-3</v>
      </c>
      <c r="AI92" s="25">
        <f t="shared" si="20"/>
        <v>-3.1000000000000139E-2</v>
      </c>
    </row>
    <row r="93" spans="1:35" x14ac:dyDescent="0.25">
      <c r="A93" s="24" t="s">
        <v>136</v>
      </c>
      <c r="B93" s="25" t="s">
        <v>125</v>
      </c>
      <c r="C93" s="25">
        <v>0.4</v>
      </c>
      <c r="D93" s="25">
        <v>0.68700000000000006</v>
      </c>
      <c r="E93" s="25">
        <v>0.627</v>
      </c>
      <c r="F93" s="25">
        <v>0.60099999999999998</v>
      </c>
      <c r="G93" s="25">
        <v>0.63500000000000001</v>
      </c>
      <c r="H93" s="25">
        <v>0.66400000000000003</v>
      </c>
      <c r="I93" s="26">
        <f t="shared" si="14"/>
        <v>0.64280000000000004</v>
      </c>
      <c r="J93" s="25">
        <v>0.64100000000000001</v>
      </c>
      <c r="K93" s="25">
        <v>0.58899999999999997</v>
      </c>
      <c r="L93" s="25">
        <v>0.74399999999999999</v>
      </c>
      <c r="M93" s="25">
        <v>0.64100000000000001</v>
      </c>
      <c r="N93" s="25">
        <v>0.67</v>
      </c>
      <c r="O93" s="26">
        <f t="shared" si="15"/>
        <v>0.65700000000000003</v>
      </c>
      <c r="P93" s="25">
        <v>0.67500000000000004</v>
      </c>
      <c r="Q93" s="25">
        <v>0.64100000000000001</v>
      </c>
      <c r="R93" s="25">
        <v>0.71199999999999997</v>
      </c>
      <c r="S93" s="25">
        <v>0.63900000000000001</v>
      </c>
      <c r="T93" s="25">
        <v>0.68100000000000005</v>
      </c>
      <c r="U93" s="26">
        <f t="shared" si="16"/>
        <v>0.66959999999999997</v>
      </c>
      <c r="V93" s="25">
        <v>0.58499999999999996</v>
      </c>
      <c r="W93" s="25">
        <v>0.54900000000000004</v>
      </c>
      <c r="X93" s="25">
        <v>0.70899999999999996</v>
      </c>
      <c r="Y93" s="25">
        <v>0.68400000000000005</v>
      </c>
      <c r="Z93" s="25">
        <v>0.70399999999999996</v>
      </c>
      <c r="AA93" s="26">
        <f t="shared" si="17"/>
        <v>0.6462</v>
      </c>
      <c r="AB93" s="25">
        <v>0.58499999999999996</v>
      </c>
      <c r="AC93" s="25">
        <v>0.54900000000000004</v>
      </c>
      <c r="AD93" s="25">
        <v>0.70899999999999996</v>
      </c>
      <c r="AE93" s="25">
        <v>0.68400000000000005</v>
      </c>
      <c r="AF93" s="25">
        <v>0.70399999999999996</v>
      </c>
      <c r="AG93" s="26">
        <f t="shared" si="18"/>
        <v>0.6462</v>
      </c>
      <c r="AH93" s="25">
        <f t="shared" si="19"/>
        <v>0</v>
      </c>
      <c r="AI93" s="25">
        <f t="shared" si="20"/>
        <v>-1.0800000000000032E-2</v>
      </c>
    </row>
    <row r="94" spans="1:35" x14ac:dyDescent="0.25">
      <c r="A94" s="24" t="s">
        <v>136</v>
      </c>
      <c r="B94" s="25" t="s">
        <v>125</v>
      </c>
      <c r="C94" s="25">
        <v>0.5</v>
      </c>
      <c r="D94" s="25">
        <v>0.49299999999999999</v>
      </c>
      <c r="E94" s="25">
        <v>0.55600000000000005</v>
      </c>
      <c r="F94" s="25">
        <v>0.501</v>
      </c>
      <c r="G94" s="25">
        <v>0.53600000000000003</v>
      </c>
      <c r="H94" s="25">
        <v>0.52400000000000002</v>
      </c>
      <c r="I94" s="26">
        <f t="shared" si="14"/>
        <v>0.52200000000000002</v>
      </c>
      <c r="J94" s="25">
        <v>0.55600000000000005</v>
      </c>
      <c r="K94" s="25">
        <v>0.56399999999999995</v>
      </c>
      <c r="L94" s="25">
        <v>0.501</v>
      </c>
      <c r="M94" s="25">
        <v>0.55300000000000005</v>
      </c>
      <c r="N94" s="25">
        <v>0.499</v>
      </c>
      <c r="O94" s="26">
        <f t="shared" si="15"/>
        <v>0.53459999999999996</v>
      </c>
      <c r="P94" s="25">
        <v>0.52100000000000002</v>
      </c>
      <c r="Q94" s="25">
        <v>0.57199999999999995</v>
      </c>
      <c r="R94" s="25">
        <v>0.55900000000000005</v>
      </c>
      <c r="S94" s="25">
        <v>0.49299999999999999</v>
      </c>
      <c r="T94" s="25">
        <v>0.46700000000000003</v>
      </c>
      <c r="U94" s="26">
        <f t="shared" si="16"/>
        <v>0.52239999999999998</v>
      </c>
      <c r="V94" s="25">
        <v>0.496</v>
      </c>
      <c r="W94" s="25">
        <v>0.51600000000000001</v>
      </c>
      <c r="X94" s="25">
        <v>0.58699999999999997</v>
      </c>
      <c r="Y94" s="25">
        <v>0.51300000000000001</v>
      </c>
      <c r="Z94" s="25">
        <v>0.48699999999999999</v>
      </c>
      <c r="AA94" s="26">
        <f t="shared" si="17"/>
        <v>0.51980000000000004</v>
      </c>
      <c r="AB94" s="25">
        <v>0.496</v>
      </c>
      <c r="AC94" s="25">
        <v>0.51600000000000001</v>
      </c>
      <c r="AD94" s="25">
        <v>0.58699999999999997</v>
      </c>
      <c r="AE94" s="25">
        <v>0.51300000000000001</v>
      </c>
      <c r="AF94" s="25">
        <v>0.48699999999999999</v>
      </c>
      <c r="AG94" s="26">
        <f t="shared" si="18"/>
        <v>0.51980000000000004</v>
      </c>
      <c r="AH94" s="25">
        <f t="shared" si="19"/>
        <v>0</v>
      </c>
      <c r="AI94" s="25">
        <f t="shared" si="20"/>
        <v>-1.4799999999999924E-2</v>
      </c>
    </row>
    <row r="95" spans="1:35" x14ac:dyDescent="0.25">
      <c r="A95" s="24" t="s">
        <v>136</v>
      </c>
      <c r="B95" s="25" t="s">
        <v>126</v>
      </c>
      <c r="C95" s="25">
        <v>0.2</v>
      </c>
      <c r="D95" s="25">
        <v>0.78600000000000003</v>
      </c>
      <c r="E95" s="25">
        <v>0.78600000000000003</v>
      </c>
      <c r="F95" s="25">
        <v>0.68400000000000005</v>
      </c>
      <c r="G95" s="25">
        <v>0.73799999999999999</v>
      </c>
      <c r="H95" s="25">
        <v>0.81200000000000006</v>
      </c>
      <c r="I95" s="26">
        <f t="shared" si="14"/>
        <v>0.76119999999999999</v>
      </c>
      <c r="J95" s="25">
        <v>0.80300000000000005</v>
      </c>
      <c r="K95" s="25">
        <v>0.80300000000000005</v>
      </c>
      <c r="L95" s="25">
        <v>0.73199999999999998</v>
      </c>
      <c r="M95" s="25">
        <v>0.79500000000000004</v>
      </c>
      <c r="N95" s="25">
        <v>0.77500000000000002</v>
      </c>
      <c r="O95" s="26">
        <f t="shared" si="15"/>
        <v>0.78159999999999996</v>
      </c>
      <c r="P95" s="25"/>
      <c r="Q95" s="25"/>
      <c r="R95" s="25"/>
      <c r="S95" s="25"/>
      <c r="T95" s="25"/>
      <c r="U95" s="26" t="str">
        <f t="shared" si="16"/>
        <v/>
      </c>
      <c r="V95" s="25"/>
      <c r="W95" s="25"/>
      <c r="X95" s="25"/>
      <c r="Y95" s="25"/>
      <c r="Z95" s="25"/>
      <c r="AA95" s="26" t="str">
        <f t="shared" si="17"/>
        <v/>
      </c>
      <c r="AB95" s="25">
        <v>0.67500000000000004</v>
      </c>
      <c r="AC95" s="25">
        <v>0.71199999999999997</v>
      </c>
      <c r="AD95" s="25">
        <v>0.69</v>
      </c>
      <c r="AE95" s="25">
        <v>0.69499999999999995</v>
      </c>
      <c r="AF95" s="25">
        <v>0.68899999999999995</v>
      </c>
      <c r="AG95" s="26">
        <f t="shared" si="18"/>
        <v>0.69219999999999993</v>
      </c>
      <c r="AH95" s="25" t="str">
        <f t="shared" si="19"/>
        <v/>
      </c>
      <c r="AI95" s="25">
        <f t="shared" si="20"/>
        <v>-8.9400000000000035E-2</v>
      </c>
    </row>
    <row r="96" spans="1:35" x14ac:dyDescent="0.25">
      <c r="A96" s="24" t="s">
        <v>136</v>
      </c>
      <c r="B96" s="25" t="s">
        <v>126</v>
      </c>
      <c r="C96" s="25">
        <v>0.3</v>
      </c>
      <c r="D96" s="25">
        <v>0.81200000000000006</v>
      </c>
      <c r="E96" s="25">
        <v>0.79200000000000004</v>
      </c>
      <c r="F96" s="25">
        <v>0.73</v>
      </c>
      <c r="G96" s="25">
        <v>0.73499999999999999</v>
      </c>
      <c r="H96" s="25">
        <v>0.79200000000000004</v>
      </c>
      <c r="I96" s="26">
        <f t="shared" si="14"/>
        <v>0.7722</v>
      </c>
      <c r="J96" s="25">
        <v>0.78600000000000003</v>
      </c>
      <c r="K96" s="25">
        <v>0.79800000000000004</v>
      </c>
      <c r="L96" s="25">
        <v>0.78600000000000003</v>
      </c>
      <c r="M96" s="25">
        <v>0.78900000000000003</v>
      </c>
      <c r="N96" s="25">
        <v>0.79500000000000004</v>
      </c>
      <c r="O96" s="26">
        <f t="shared" si="15"/>
        <v>0.79080000000000006</v>
      </c>
      <c r="P96" s="25"/>
      <c r="Q96" s="25"/>
      <c r="R96" s="25"/>
      <c r="S96" s="25"/>
      <c r="T96" s="25"/>
      <c r="U96" s="26" t="str">
        <f t="shared" si="16"/>
        <v/>
      </c>
      <c r="V96" s="25"/>
      <c r="W96" s="25"/>
      <c r="X96" s="25"/>
      <c r="Y96" s="25"/>
      <c r="Z96" s="25"/>
      <c r="AA96" s="26" t="str">
        <f t="shared" si="17"/>
        <v/>
      </c>
      <c r="AB96" s="25">
        <v>0.73199999999999998</v>
      </c>
      <c r="AC96" s="25">
        <v>0.73499999999999999</v>
      </c>
      <c r="AD96" s="25">
        <v>0.69499999999999995</v>
      </c>
      <c r="AE96" s="25">
        <v>0.70099999999999996</v>
      </c>
      <c r="AF96" s="25">
        <v>0.63500000000000001</v>
      </c>
      <c r="AG96" s="26">
        <f t="shared" si="18"/>
        <v>0.6996</v>
      </c>
      <c r="AH96" s="25" t="str">
        <f t="shared" si="19"/>
        <v/>
      </c>
      <c r="AI96" s="25">
        <f t="shared" si="20"/>
        <v>-9.1200000000000059E-2</v>
      </c>
    </row>
    <row r="97" spans="1:35" x14ac:dyDescent="0.25">
      <c r="A97" s="24" t="s">
        <v>136</v>
      </c>
      <c r="B97" s="25" t="s">
        <v>126</v>
      </c>
      <c r="C97" s="25">
        <v>0.4</v>
      </c>
      <c r="D97" s="25">
        <v>0.72399999999999998</v>
      </c>
      <c r="E97" s="25">
        <v>0.755</v>
      </c>
      <c r="F97" s="25">
        <v>0.72299999999999998</v>
      </c>
      <c r="G97" s="25">
        <v>0.78300000000000003</v>
      </c>
      <c r="H97" s="25">
        <v>0.752</v>
      </c>
      <c r="I97" s="26">
        <f t="shared" si="14"/>
        <v>0.74740000000000006</v>
      </c>
      <c r="J97" s="25">
        <v>0.752</v>
      </c>
      <c r="K97" s="25">
        <v>0.80100000000000005</v>
      </c>
      <c r="L97" s="25">
        <v>0.755</v>
      </c>
      <c r="M97" s="25">
        <v>0.78600000000000003</v>
      </c>
      <c r="N97" s="25">
        <v>0.755</v>
      </c>
      <c r="O97" s="26">
        <f t="shared" si="15"/>
        <v>0.76979999999999993</v>
      </c>
      <c r="P97" s="25"/>
      <c r="Q97" s="25"/>
      <c r="R97" s="25"/>
      <c r="S97" s="25"/>
      <c r="T97" s="25"/>
      <c r="U97" s="26" t="str">
        <f t="shared" si="16"/>
        <v/>
      </c>
      <c r="V97" s="25"/>
      <c r="W97" s="25"/>
      <c r="X97" s="25"/>
      <c r="Y97" s="25"/>
      <c r="Z97" s="25"/>
      <c r="AA97" s="26" t="str">
        <f t="shared" si="17"/>
        <v/>
      </c>
      <c r="AB97" s="25">
        <v>0.71</v>
      </c>
      <c r="AC97" s="25">
        <v>0.68400000000000005</v>
      </c>
      <c r="AD97" s="25">
        <v>0.746</v>
      </c>
      <c r="AE97" s="25">
        <v>0.755</v>
      </c>
      <c r="AF97" s="25">
        <v>0.70099999999999996</v>
      </c>
      <c r="AG97" s="26">
        <f t="shared" si="18"/>
        <v>0.71920000000000006</v>
      </c>
      <c r="AH97" s="25" t="str">
        <f t="shared" si="19"/>
        <v/>
      </c>
      <c r="AI97" s="25">
        <f t="shared" si="20"/>
        <v>-5.0599999999999867E-2</v>
      </c>
    </row>
    <row r="98" spans="1:35" x14ac:dyDescent="0.25">
      <c r="A98" s="24" t="s">
        <v>136</v>
      </c>
      <c r="B98" s="25" t="s">
        <v>126</v>
      </c>
      <c r="C98" s="25">
        <v>0.5</v>
      </c>
      <c r="D98" s="25">
        <v>0.72099999999999997</v>
      </c>
      <c r="E98" s="25">
        <v>0.71799999999999997</v>
      </c>
      <c r="F98" s="25">
        <v>0.74399999999999999</v>
      </c>
      <c r="G98" s="25">
        <v>0.72899999999999998</v>
      </c>
      <c r="H98" s="25">
        <v>0.72099999999999997</v>
      </c>
      <c r="I98" s="26">
        <f t="shared" si="14"/>
        <v>0.72660000000000002</v>
      </c>
      <c r="J98" s="25">
        <v>0.755</v>
      </c>
      <c r="K98" s="25">
        <v>0.755</v>
      </c>
      <c r="L98" s="25">
        <v>0.77200000000000002</v>
      </c>
      <c r="M98" s="25">
        <v>0.73499999999999999</v>
      </c>
      <c r="N98" s="25">
        <v>0.76900000000000002</v>
      </c>
      <c r="O98" s="26">
        <f t="shared" si="15"/>
        <v>0.75719999999999998</v>
      </c>
      <c r="P98" s="25"/>
      <c r="Q98" s="25"/>
      <c r="R98" s="25"/>
      <c r="S98" s="25"/>
      <c r="T98" s="25"/>
      <c r="U98" s="26" t="str">
        <f t="shared" si="16"/>
        <v/>
      </c>
      <c r="V98" s="25"/>
      <c r="W98" s="25"/>
      <c r="X98" s="25"/>
      <c r="Y98" s="25"/>
      <c r="Z98" s="25"/>
      <c r="AA98" s="26" t="str">
        <f t="shared" si="17"/>
        <v/>
      </c>
      <c r="AB98" s="25">
        <v>0.70099999999999996</v>
      </c>
      <c r="AC98" s="25">
        <v>0.72899999999999998</v>
      </c>
      <c r="AD98" s="25">
        <v>0.72399999999999998</v>
      </c>
      <c r="AE98" s="25">
        <v>0.70899999999999996</v>
      </c>
      <c r="AF98" s="25">
        <v>0.65</v>
      </c>
      <c r="AG98" s="26">
        <f t="shared" si="18"/>
        <v>0.7026</v>
      </c>
      <c r="AH98" s="25" t="str">
        <f t="shared" si="19"/>
        <v/>
      </c>
      <c r="AI98" s="25">
        <f t="shared" si="20"/>
        <v>-5.4599999999999982E-2</v>
      </c>
    </row>
    <row r="99" spans="1:35" x14ac:dyDescent="0.25">
      <c r="A99" s="24" t="s">
        <v>136</v>
      </c>
      <c r="B99" s="25" t="s">
        <v>127</v>
      </c>
      <c r="C99" s="25">
        <v>0.2</v>
      </c>
      <c r="D99" s="25">
        <v>0.82399999999999995</v>
      </c>
      <c r="E99" s="25">
        <v>0.81799999999999995</v>
      </c>
      <c r="F99" s="25">
        <v>0.77800000000000002</v>
      </c>
      <c r="G99" s="25">
        <v>0.83199999999999996</v>
      </c>
      <c r="H99" s="25">
        <v>0.81200000000000006</v>
      </c>
      <c r="I99" s="26">
        <f t="shared" si="14"/>
        <v>0.81279999999999997</v>
      </c>
      <c r="J99" s="25">
        <v>0.79800000000000004</v>
      </c>
      <c r="K99" s="25">
        <v>0.78900000000000003</v>
      </c>
      <c r="L99" s="25">
        <v>0.78400000000000003</v>
      </c>
      <c r="M99" s="25">
        <v>0.80300000000000005</v>
      </c>
      <c r="N99" s="25">
        <v>0.83499999999999996</v>
      </c>
      <c r="O99" s="26">
        <f t="shared" si="15"/>
        <v>0.80180000000000007</v>
      </c>
      <c r="P99" s="25"/>
      <c r="Q99" s="25">
        <v>0.746</v>
      </c>
      <c r="R99" s="25">
        <v>0.80700000000000005</v>
      </c>
      <c r="S99" s="25"/>
      <c r="T99" s="25">
        <v>0.88600000000000001</v>
      </c>
      <c r="U99" s="26">
        <f t="shared" si="16"/>
        <v>0.81300000000000006</v>
      </c>
      <c r="V99" s="25"/>
      <c r="W99" s="25">
        <v>0.73199999999999998</v>
      </c>
      <c r="X99" s="25">
        <v>0.73599999999999999</v>
      </c>
      <c r="Y99" s="25"/>
      <c r="Z99" s="25">
        <v>0.9</v>
      </c>
      <c r="AA99" s="26">
        <f t="shared" si="17"/>
        <v>0.78933333333333333</v>
      </c>
      <c r="AB99" s="25">
        <v>0.65500000000000003</v>
      </c>
      <c r="AC99" s="25">
        <v>0.66400000000000003</v>
      </c>
      <c r="AD99" s="25">
        <v>0.66400000000000003</v>
      </c>
      <c r="AE99" s="25">
        <v>0.66400000000000003</v>
      </c>
      <c r="AF99" s="25">
        <v>0.69199999999999995</v>
      </c>
      <c r="AG99" s="26">
        <f t="shared" si="18"/>
        <v>0.66780000000000006</v>
      </c>
      <c r="AH99" s="25">
        <f t="shared" si="19"/>
        <v>-0.12153333333333327</v>
      </c>
      <c r="AI99" s="25">
        <f t="shared" si="20"/>
        <v>-0.13400000000000001</v>
      </c>
    </row>
    <row r="100" spans="1:35" x14ac:dyDescent="0.25">
      <c r="A100" s="24" t="s">
        <v>136</v>
      </c>
      <c r="B100" s="25" t="s">
        <v>127</v>
      </c>
      <c r="C100" s="25">
        <v>0.3</v>
      </c>
      <c r="D100" s="25">
        <v>0.75800000000000001</v>
      </c>
      <c r="E100" s="25">
        <v>0.752</v>
      </c>
      <c r="F100" s="25">
        <v>0.78600000000000003</v>
      </c>
      <c r="G100" s="25">
        <v>0.76900000000000002</v>
      </c>
      <c r="H100" s="25">
        <v>0.71799999999999997</v>
      </c>
      <c r="I100" s="26">
        <f t="shared" si="14"/>
        <v>0.75660000000000005</v>
      </c>
      <c r="J100" s="25">
        <v>0.78400000000000003</v>
      </c>
      <c r="K100" s="25">
        <v>0.77500000000000002</v>
      </c>
      <c r="L100" s="25">
        <v>0.75800000000000001</v>
      </c>
      <c r="M100" s="25">
        <v>0.78300000000000003</v>
      </c>
      <c r="N100" s="25">
        <v>0.72599999999999998</v>
      </c>
      <c r="O100" s="26">
        <f t="shared" si="15"/>
        <v>0.76519999999999999</v>
      </c>
      <c r="P100" s="25">
        <v>0.78300000000000003</v>
      </c>
      <c r="Q100" s="25">
        <v>0.79700000000000004</v>
      </c>
      <c r="R100" s="25">
        <v>0.78600000000000003</v>
      </c>
      <c r="S100" s="25">
        <v>0.752</v>
      </c>
      <c r="T100" s="25">
        <v>0.72399999999999998</v>
      </c>
      <c r="U100" s="26">
        <f t="shared" si="16"/>
        <v>0.76840000000000008</v>
      </c>
      <c r="V100" s="25">
        <v>0.76200000000000001</v>
      </c>
      <c r="W100" s="25">
        <v>0.76500000000000001</v>
      </c>
      <c r="X100" s="25">
        <v>0.71799999999999997</v>
      </c>
      <c r="Y100" s="25">
        <v>0.73199999999999998</v>
      </c>
      <c r="Z100" s="25">
        <v>0.72399999999999998</v>
      </c>
      <c r="AA100" s="26">
        <f t="shared" si="17"/>
        <v>0.74020000000000008</v>
      </c>
      <c r="AB100" s="25">
        <v>0.69</v>
      </c>
      <c r="AC100" s="25">
        <v>0.73799999999999999</v>
      </c>
      <c r="AD100" s="25">
        <v>0.71799999999999997</v>
      </c>
      <c r="AE100" s="25">
        <v>0.73199999999999998</v>
      </c>
      <c r="AF100" s="25">
        <v>0.72399999999999998</v>
      </c>
      <c r="AG100" s="26">
        <f t="shared" si="18"/>
        <v>0.72040000000000004</v>
      </c>
      <c r="AH100" s="25">
        <f t="shared" si="19"/>
        <v>-1.980000000000004E-2</v>
      </c>
      <c r="AI100" s="25">
        <f t="shared" si="20"/>
        <v>-4.4799999999999951E-2</v>
      </c>
    </row>
    <row r="101" spans="1:35" x14ac:dyDescent="0.25">
      <c r="A101" s="24" t="s">
        <v>136</v>
      </c>
      <c r="B101" s="25" t="s">
        <v>127</v>
      </c>
      <c r="C101" s="25">
        <v>0.4</v>
      </c>
      <c r="D101" s="25">
        <v>0.747</v>
      </c>
      <c r="E101" s="25">
        <v>0.64700000000000002</v>
      </c>
      <c r="F101" s="25">
        <v>0.64700000000000002</v>
      </c>
      <c r="G101" s="25">
        <v>0.67800000000000005</v>
      </c>
      <c r="H101" s="25">
        <v>0.71</v>
      </c>
      <c r="I101" s="26">
        <f t="shared" ref="I101:I132" si="21">IFERROR(AVERAGE(D101:H101),"")</f>
        <v>0.68580000000000008</v>
      </c>
      <c r="J101" s="25">
        <v>0.72399999999999998</v>
      </c>
      <c r="K101" s="25">
        <v>0.66400000000000003</v>
      </c>
      <c r="L101" s="25">
        <v>0.70699999999999996</v>
      </c>
      <c r="M101" s="25">
        <v>0.60899999999999999</v>
      </c>
      <c r="N101" s="25">
        <v>0.74099999999999999</v>
      </c>
      <c r="O101" s="26">
        <f t="shared" ref="O101:O132" si="22">IFERROR(AVERAGE(J101:N101),"")</f>
        <v>0.68899999999999995</v>
      </c>
      <c r="P101" s="25">
        <v>0.67200000000000004</v>
      </c>
      <c r="Q101" s="25">
        <v>0.621</v>
      </c>
      <c r="R101" s="25">
        <v>0.57799999999999996</v>
      </c>
      <c r="S101" s="25">
        <v>0.68700000000000006</v>
      </c>
      <c r="T101" s="25">
        <v>0.61299999999999999</v>
      </c>
      <c r="U101" s="26">
        <f t="shared" ref="U101:U132" si="23">IFERROR(AVERAGE(P101:T101),"")</f>
        <v>0.63419999999999999</v>
      </c>
      <c r="V101" s="25">
        <v>0.63300000000000001</v>
      </c>
      <c r="W101" s="25">
        <v>0.65</v>
      </c>
      <c r="X101" s="25">
        <v>0.52100000000000002</v>
      </c>
      <c r="Y101" s="25">
        <v>0.56399999999999995</v>
      </c>
      <c r="Z101" s="25">
        <v>0.56699999999999995</v>
      </c>
      <c r="AA101" s="26">
        <f t="shared" ref="AA101:AA132" si="24">IFERROR(AVERAGE(V101:Z101),"")</f>
        <v>0.58699999999999997</v>
      </c>
      <c r="AB101" s="25">
        <v>0.63300000000000001</v>
      </c>
      <c r="AC101" s="25">
        <v>0.65</v>
      </c>
      <c r="AD101" s="25">
        <v>0.52100000000000002</v>
      </c>
      <c r="AE101" s="25">
        <v>0.56399999999999995</v>
      </c>
      <c r="AF101" s="25">
        <v>0.56699999999999995</v>
      </c>
      <c r="AG101" s="26">
        <f t="shared" ref="AG101:AG132" si="25">IFERROR(AVERAGE(AB101:AF101),"")</f>
        <v>0.58699999999999997</v>
      </c>
      <c r="AH101" s="25">
        <f t="shared" ref="AH101:AH132" si="26">IFERROR(AG101-AA101,"")</f>
        <v>0</v>
      </c>
      <c r="AI101" s="25">
        <f t="shared" ref="AI101:AI132" si="27">IFERROR(AG101-O101,"")</f>
        <v>-0.10199999999999998</v>
      </c>
    </row>
    <row r="102" spans="1:35" x14ac:dyDescent="0.25">
      <c r="A102" s="24" t="s">
        <v>136</v>
      </c>
      <c r="B102" s="25" t="s">
        <v>127</v>
      </c>
      <c r="C102" s="25">
        <v>0.5</v>
      </c>
      <c r="D102" s="25">
        <v>0.52700000000000002</v>
      </c>
      <c r="E102" s="25">
        <v>0.499</v>
      </c>
      <c r="F102" s="25">
        <v>0.49299999999999999</v>
      </c>
      <c r="G102" s="25">
        <v>0.51</v>
      </c>
      <c r="H102" s="25">
        <v>0.51300000000000001</v>
      </c>
      <c r="I102" s="26">
        <f t="shared" si="21"/>
        <v>0.50839999999999996</v>
      </c>
      <c r="J102" s="25">
        <v>0.52100000000000002</v>
      </c>
      <c r="K102" s="25">
        <v>0.41899999999999998</v>
      </c>
      <c r="L102" s="25">
        <v>0.51900000000000002</v>
      </c>
      <c r="M102" s="25">
        <v>0.56399999999999995</v>
      </c>
      <c r="N102" s="25">
        <v>0.52400000000000002</v>
      </c>
      <c r="O102" s="26">
        <f t="shared" si="22"/>
        <v>0.50940000000000007</v>
      </c>
      <c r="P102" s="25">
        <v>0.496</v>
      </c>
      <c r="Q102" s="25">
        <v>0.44400000000000001</v>
      </c>
      <c r="R102" s="25">
        <v>0.51500000000000001</v>
      </c>
      <c r="S102" s="25">
        <v>0.51</v>
      </c>
      <c r="T102" s="25">
        <v>0.45900000000000002</v>
      </c>
      <c r="U102" s="26">
        <f t="shared" si="23"/>
        <v>0.48480000000000001</v>
      </c>
      <c r="V102" s="25">
        <v>0.501</v>
      </c>
      <c r="W102" s="25">
        <v>0.47799999999999998</v>
      </c>
      <c r="X102" s="25">
        <v>0.51500000000000001</v>
      </c>
      <c r="Y102" s="25">
        <v>0.504</v>
      </c>
      <c r="Z102" s="25">
        <v>0.45</v>
      </c>
      <c r="AA102" s="26">
        <f t="shared" si="24"/>
        <v>0.48959999999999998</v>
      </c>
      <c r="AB102" s="25">
        <v>0.501</v>
      </c>
      <c r="AC102" s="25">
        <v>0.47799999999999998</v>
      </c>
      <c r="AD102" s="25">
        <v>0.51500000000000001</v>
      </c>
      <c r="AE102" s="25">
        <v>0.504</v>
      </c>
      <c r="AF102" s="25">
        <v>0.45</v>
      </c>
      <c r="AG102" s="26">
        <f t="shared" si="25"/>
        <v>0.48959999999999998</v>
      </c>
      <c r="AH102" s="25">
        <f t="shared" si="26"/>
        <v>0</v>
      </c>
      <c r="AI102" s="25">
        <f t="shared" si="27"/>
        <v>-1.9800000000000095E-2</v>
      </c>
    </row>
    <row r="103" spans="1:35" x14ac:dyDescent="0.25">
      <c r="A103" s="24" t="s">
        <v>136</v>
      </c>
      <c r="B103" s="25" t="s">
        <v>128</v>
      </c>
      <c r="C103" s="25">
        <v>0.2</v>
      </c>
      <c r="D103" s="25">
        <v>0.67800000000000005</v>
      </c>
      <c r="E103" s="25">
        <v>0.71799999999999997</v>
      </c>
      <c r="F103" s="25">
        <v>0.69799999999999995</v>
      </c>
      <c r="G103" s="25">
        <v>0.60699999999999998</v>
      </c>
      <c r="H103" s="25">
        <v>0.74099999999999999</v>
      </c>
      <c r="I103" s="26">
        <f t="shared" si="21"/>
        <v>0.6883999999999999</v>
      </c>
      <c r="J103" s="25">
        <v>0.71199999999999997</v>
      </c>
      <c r="K103" s="25">
        <v>0.74099999999999999</v>
      </c>
      <c r="L103" s="25">
        <v>0.73799999999999999</v>
      </c>
      <c r="M103" s="25">
        <v>0.70099999999999996</v>
      </c>
      <c r="N103" s="25">
        <v>0.72599999999999998</v>
      </c>
      <c r="O103" s="26">
        <f t="shared" si="22"/>
        <v>0.72360000000000002</v>
      </c>
      <c r="P103" s="25"/>
      <c r="Q103" s="25"/>
      <c r="R103" s="25"/>
      <c r="S103" s="25"/>
      <c r="T103" s="25"/>
      <c r="U103" s="26" t="str">
        <f t="shared" si="23"/>
        <v/>
      </c>
      <c r="V103" s="25"/>
      <c r="W103" s="25"/>
      <c r="X103" s="25"/>
      <c r="Y103" s="25"/>
      <c r="Z103" s="25"/>
      <c r="AA103" s="26" t="str">
        <f t="shared" si="24"/>
        <v/>
      </c>
      <c r="AB103" s="25">
        <v>0.67500000000000004</v>
      </c>
      <c r="AC103" s="25">
        <v>0.66600000000000004</v>
      </c>
      <c r="AD103" s="25">
        <v>0.67800000000000005</v>
      </c>
      <c r="AE103" s="25">
        <v>0.64400000000000002</v>
      </c>
      <c r="AF103" s="25">
        <v>0.66900000000000004</v>
      </c>
      <c r="AG103" s="26">
        <f t="shared" si="25"/>
        <v>0.6664000000000001</v>
      </c>
      <c r="AH103" s="25" t="str">
        <f t="shared" si="26"/>
        <v/>
      </c>
      <c r="AI103" s="25">
        <f t="shared" si="27"/>
        <v>-5.7199999999999918E-2</v>
      </c>
    </row>
    <row r="104" spans="1:35" x14ac:dyDescent="0.25">
      <c r="A104" s="24" t="s">
        <v>136</v>
      </c>
      <c r="B104" s="25" t="s">
        <v>128</v>
      </c>
      <c r="C104" s="25">
        <v>0.3</v>
      </c>
      <c r="D104" s="25">
        <v>0.621</v>
      </c>
      <c r="E104" s="25">
        <v>0.67200000000000004</v>
      </c>
      <c r="F104" s="25">
        <v>0.65200000000000002</v>
      </c>
      <c r="G104" s="25">
        <v>0.63800000000000001</v>
      </c>
      <c r="H104" s="25">
        <v>0.60399999999999998</v>
      </c>
      <c r="I104" s="26">
        <f t="shared" si="21"/>
        <v>0.63740000000000008</v>
      </c>
      <c r="J104" s="25">
        <v>0.67300000000000004</v>
      </c>
      <c r="K104" s="25">
        <v>0.70899999999999996</v>
      </c>
      <c r="L104" s="25">
        <v>0.70399999999999996</v>
      </c>
      <c r="M104" s="25">
        <v>0.69799999999999995</v>
      </c>
      <c r="N104" s="25">
        <v>0.67800000000000005</v>
      </c>
      <c r="O104" s="26">
        <f t="shared" si="22"/>
        <v>0.69240000000000002</v>
      </c>
      <c r="P104" s="25"/>
      <c r="Q104" s="25"/>
      <c r="R104" s="25"/>
      <c r="S104" s="25"/>
      <c r="T104" s="25">
        <v>0.70399999999999996</v>
      </c>
      <c r="U104" s="26">
        <f t="shared" si="23"/>
        <v>0.70399999999999996</v>
      </c>
      <c r="V104" s="25"/>
      <c r="W104" s="25"/>
      <c r="X104" s="25"/>
      <c r="Y104" s="25"/>
      <c r="Z104" s="25">
        <v>0.66200000000000003</v>
      </c>
      <c r="AA104" s="26">
        <f t="shared" si="24"/>
        <v>0.66200000000000003</v>
      </c>
      <c r="AB104" s="25">
        <v>0.629</v>
      </c>
      <c r="AC104" s="25">
        <v>0.63800000000000001</v>
      </c>
      <c r="AD104" s="25">
        <v>0.68300000000000005</v>
      </c>
      <c r="AE104" s="25">
        <v>0.67300000000000004</v>
      </c>
      <c r="AF104" s="25">
        <v>0.627</v>
      </c>
      <c r="AG104" s="26">
        <f t="shared" si="25"/>
        <v>0.65</v>
      </c>
      <c r="AH104" s="25">
        <f t="shared" si="26"/>
        <v>-1.2000000000000011E-2</v>
      </c>
      <c r="AI104" s="25">
        <f t="shared" si="27"/>
        <v>-4.2399999999999993E-2</v>
      </c>
    </row>
    <row r="105" spans="1:35" x14ac:dyDescent="0.25">
      <c r="A105" s="24" t="s">
        <v>136</v>
      </c>
      <c r="B105" s="25" t="s">
        <v>128</v>
      </c>
      <c r="C105" s="25">
        <v>0.4</v>
      </c>
      <c r="D105" s="25">
        <v>0.60699999999999998</v>
      </c>
      <c r="E105" s="25">
        <v>0.52400000000000002</v>
      </c>
      <c r="F105" s="25">
        <v>0.61199999999999999</v>
      </c>
      <c r="G105" s="25">
        <v>0.59199999999999997</v>
      </c>
      <c r="H105" s="25">
        <v>0.53300000000000003</v>
      </c>
      <c r="I105" s="26">
        <f t="shared" si="21"/>
        <v>0.5736</v>
      </c>
      <c r="J105" s="25">
        <v>0.59</v>
      </c>
      <c r="K105" s="25">
        <v>0.61799999999999999</v>
      </c>
      <c r="L105" s="25">
        <v>0.627</v>
      </c>
      <c r="M105" s="25">
        <v>0.63500000000000001</v>
      </c>
      <c r="N105" s="25">
        <v>0.65800000000000003</v>
      </c>
      <c r="O105" s="26">
        <f t="shared" si="22"/>
        <v>0.62559999999999993</v>
      </c>
      <c r="P105" s="25">
        <v>0.68400000000000005</v>
      </c>
      <c r="Q105" s="25">
        <v>0.70299999999999996</v>
      </c>
      <c r="R105" s="25">
        <v>0.63300000000000001</v>
      </c>
      <c r="S105" s="25">
        <v>0.67500000000000004</v>
      </c>
      <c r="T105" s="25">
        <v>0.64400000000000002</v>
      </c>
      <c r="U105" s="26">
        <f t="shared" si="23"/>
        <v>0.66780000000000006</v>
      </c>
      <c r="V105" s="25">
        <v>0.64700000000000002</v>
      </c>
      <c r="W105" s="25">
        <v>0.70099999999999996</v>
      </c>
      <c r="X105" s="25">
        <v>0.61899999999999999</v>
      </c>
      <c r="Y105" s="25">
        <v>0.65</v>
      </c>
      <c r="Z105" s="25">
        <v>0.64100000000000001</v>
      </c>
      <c r="AA105" s="26">
        <f t="shared" si="24"/>
        <v>0.65159999999999996</v>
      </c>
      <c r="AB105" s="25">
        <v>0.64700000000000002</v>
      </c>
      <c r="AC105" s="25">
        <v>0.70099999999999996</v>
      </c>
      <c r="AD105" s="25">
        <v>0.63800000000000001</v>
      </c>
      <c r="AE105" s="25">
        <v>0.64100000000000001</v>
      </c>
      <c r="AF105" s="25">
        <v>0.64100000000000001</v>
      </c>
      <c r="AG105" s="26">
        <f t="shared" si="25"/>
        <v>0.65359999999999996</v>
      </c>
      <c r="AH105" s="25">
        <f t="shared" si="26"/>
        <v>2.0000000000000018E-3</v>
      </c>
      <c r="AI105" s="25">
        <f t="shared" si="27"/>
        <v>2.8000000000000025E-2</v>
      </c>
    </row>
    <row r="106" spans="1:35" x14ac:dyDescent="0.25">
      <c r="A106" s="24" t="s">
        <v>136</v>
      </c>
      <c r="B106" s="25" t="s">
        <v>128</v>
      </c>
      <c r="C106" s="25">
        <v>0.5</v>
      </c>
      <c r="D106" s="25">
        <v>0.55000000000000004</v>
      </c>
      <c r="E106" s="25">
        <v>0.53</v>
      </c>
      <c r="F106" s="25">
        <v>0.58099999999999996</v>
      </c>
      <c r="G106" s="25">
        <v>0.41899999999999998</v>
      </c>
      <c r="H106" s="25">
        <v>0.52400000000000002</v>
      </c>
      <c r="I106" s="26">
        <f t="shared" si="21"/>
        <v>0.52080000000000004</v>
      </c>
      <c r="J106" s="25">
        <v>0.54700000000000004</v>
      </c>
      <c r="K106" s="25">
        <v>0.499</v>
      </c>
      <c r="L106" s="25">
        <v>0.60399999999999998</v>
      </c>
      <c r="M106" s="25">
        <v>0.47499999999999998</v>
      </c>
      <c r="N106" s="25">
        <v>0.39300000000000002</v>
      </c>
      <c r="O106" s="26">
        <f t="shared" si="22"/>
        <v>0.50359999999999994</v>
      </c>
      <c r="P106" s="25">
        <v>0.45600000000000002</v>
      </c>
      <c r="Q106" s="25">
        <v>0.49299999999999999</v>
      </c>
      <c r="R106" s="25">
        <v>0.48199999999999998</v>
      </c>
      <c r="S106" s="25">
        <v>0.52100000000000002</v>
      </c>
      <c r="T106" s="25">
        <v>0.49</v>
      </c>
      <c r="U106" s="26">
        <f t="shared" si="23"/>
        <v>0.48840000000000006</v>
      </c>
      <c r="V106" s="25">
        <v>0.53300000000000003</v>
      </c>
      <c r="W106" s="25">
        <v>0.44700000000000001</v>
      </c>
      <c r="X106" s="25">
        <v>0.56100000000000005</v>
      </c>
      <c r="Y106" s="25">
        <v>0.51900000000000002</v>
      </c>
      <c r="Z106" s="25">
        <v>0.55300000000000005</v>
      </c>
      <c r="AA106" s="26">
        <f t="shared" si="24"/>
        <v>0.52259999999999995</v>
      </c>
      <c r="AB106" s="25">
        <v>0.53300000000000003</v>
      </c>
      <c r="AC106" s="25">
        <v>0.44700000000000001</v>
      </c>
      <c r="AD106" s="25">
        <v>0.56100000000000005</v>
      </c>
      <c r="AE106" s="25">
        <v>0.51900000000000002</v>
      </c>
      <c r="AF106" s="25">
        <v>0.55300000000000005</v>
      </c>
      <c r="AG106" s="26">
        <f t="shared" si="25"/>
        <v>0.52259999999999995</v>
      </c>
      <c r="AH106" s="25">
        <f t="shared" si="26"/>
        <v>0</v>
      </c>
      <c r="AI106" s="25">
        <f t="shared" si="27"/>
        <v>1.9000000000000017E-2</v>
      </c>
    </row>
    <row r="107" spans="1:35" x14ac:dyDescent="0.25">
      <c r="A107" s="24" t="s">
        <v>137</v>
      </c>
      <c r="B107" s="25" t="s">
        <v>124</v>
      </c>
      <c r="C107" s="25">
        <v>0</v>
      </c>
      <c r="D107" s="25">
        <v>0.71199999999999997</v>
      </c>
      <c r="E107" s="25">
        <v>0.72599999999999998</v>
      </c>
      <c r="F107" s="25">
        <v>0.72599999999999998</v>
      </c>
      <c r="G107" s="25">
        <v>0.71099999999999997</v>
      </c>
      <c r="H107" s="25">
        <v>0.68799999999999994</v>
      </c>
      <c r="I107" s="26">
        <f t="shared" si="21"/>
        <v>0.7125999999999999</v>
      </c>
      <c r="J107" s="25">
        <v>0.73599999999999999</v>
      </c>
      <c r="K107" s="25">
        <v>0.69199999999999995</v>
      </c>
      <c r="L107" s="25">
        <v>0.72099999999999997</v>
      </c>
      <c r="M107" s="25">
        <v>0.71099999999999997</v>
      </c>
      <c r="N107" s="25">
        <v>0.71599999999999997</v>
      </c>
      <c r="O107" s="26">
        <f t="shared" si="22"/>
        <v>0.71519999999999995</v>
      </c>
      <c r="P107" s="25">
        <v>0.57199999999999995</v>
      </c>
      <c r="Q107" s="25">
        <v>0.625</v>
      </c>
      <c r="R107" s="25">
        <v>0.65400000000000003</v>
      </c>
      <c r="S107" s="25">
        <v>0.63500000000000001</v>
      </c>
      <c r="T107" s="25">
        <v>0.70699999999999996</v>
      </c>
      <c r="U107" s="26">
        <f t="shared" si="23"/>
        <v>0.63859999999999995</v>
      </c>
      <c r="V107" s="25">
        <v>0.56699999999999995</v>
      </c>
      <c r="W107" s="25">
        <v>0.61099999999999999</v>
      </c>
      <c r="X107" s="25">
        <v>0.57699999999999996</v>
      </c>
      <c r="Y107" s="25">
        <v>0.57699999999999996</v>
      </c>
      <c r="Z107" s="25">
        <v>0.621</v>
      </c>
      <c r="AA107" s="26">
        <f t="shared" si="24"/>
        <v>0.59060000000000001</v>
      </c>
      <c r="AB107" s="25">
        <v>0.56699999999999995</v>
      </c>
      <c r="AC107" s="25">
        <v>0.61099999999999999</v>
      </c>
      <c r="AD107" s="25">
        <v>0.57699999999999996</v>
      </c>
      <c r="AE107" s="25">
        <v>0.57699999999999996</v>
      </c>
      <c r="AF107" s="25">
        <v>0.621</v>
      </c>
      <c r="AG107" s="26">
        <f t="shared" si="25"/>
        <v>0.59060000000000001</v>
      </c>
      <c r="AH107" s="25">
        <f t="shared" si="26"/>
        <v>0</v>
      </c>
      <c r="AI107" s="25">
        <f t="shared" si="27"/>
        <v>-0.12459999999999993</v>
      </c>
    </row>
    <row r="108" spans="1:35" x14ac:dyDescent="0.25">
      <c r="A108" s="24" t="s">
        <v>137</v>
      </c>
      <c r="B108" s="25" t="s">
        <v>125</v>
      </c>
      <c r="C108" s="25">
        <v>0.2</v>
      </c>
      <c r="D108" s="25">
        <v>0.61</v>
      </c>
      <c r="E108" s="25">
        <v>0.57699999999999996</v>
      </c>
      <c r="F108" s="25">
        <v>0.58199999999999996</v>
      </c>
      <c r="G108" s="25">
        <v>0.624</v>
      </c>
      <c r="H108" s="25">
        <v>0.60099999999999998</v>
      </c>
      <c r="I108" s="26">
        <f t="shared" si="21"/>
        <v>0.5988</v>
      </c>
      <c r="J108" s="25">
        <v>0.66300000000000003</v>
      </c>
      <c r="K108" s="25">
        <v>0.64900000000000002</v>
      </c>
      <c r="L108" s="25">
        <v>0.64</v>
      </c>
      <c r="M108" s="25">
        <v>0.69199999999999995</v>
      </c>
      <c r="N108" s="25">
        <v>0.64900000000000002</v>
      </c>
      <c r="O108" s="26">
        <f t="shared" si="22"/>
        <v>0.65860000000000007</v>
      </c>
      <c r="P108" s="25">
        <v>0.67700000000000005</v>
      </c>
      <c r="Q108" s="25">
        <v>0.63500000000000001</v>
      </c>
      <c r="R108" s="25">
        <v>0.68700000000000006</v>
      </c>
      <c r="S108" s="25">
        <v>0.67300000000000004</v>
      </c>
      <c r="T108" s="25">
        <v>0.72099999999999997</v>
      </c>
      <c r="U108" s="26">
        <f t="shared" si="23"/>
        <v>0.67860000000000009</v>
      </c>
      <c r="V108" s="25">
        <v>0.64400000000000002</v>
      </c>
      <c r="W108" s="25">
        <v>0.59599999999999997</v>
      </c>
      <c r="X108" s="25">
        <v>0.60899999999999999</v>
      </c>
      <c r="Y108" s="25">
        <v>0.59099999999999997</v>
      </c>
      <c r="Z108" s="25">
        <v>0.71199999999999997</v>
      </c>
      <c r="AA108" s="26">
        <f t="shared" si="24"/>
        <v>0.63040000000000007</v>
      </c>
      <c r="AB108" s="25">
        <v>0.64400000000000002</v>
      </c>
      <c r="AC108" s="25">
        <v>0.59599999999999997</v>
      </c>
      <c r="AD108" s="25">
        <v>0.60899999999999999</v>
      </c>
      <c r="AE108" s="25">
        <v>0.59099999999999997</v>
      </c>
      <c r="AF108" s="25">
        <v>0.71199999999999997</v>
      </c>
      <c r="AG108" s="26">
        <f t="shared" si="25"/>
        <v>0.63040000000000007</v>
      </c>
      <c r="AH108" s="25">
        <f t="shared" si="26"/>
        <v>0</v>
      </c>
      <c r="AI108" s="25">
        <f t="shared" si="27"/>
        <v>-2.8200000000000003E-2</v>
      </c>
    </row>
    <row r="109" spans="1:35" x14ac:dyDescent="0.25">
      <c r="A109" s="24" t="s">
        <v>137</v>
      </c>
      <c r="B109" s="25" t="s">
        <v>125</v>
      </c>
      <c r="C109" s="25">
        <v>0.3</v>
      </c>
      <c r="D109" s="25">
        <v>0.56200000000000006</v>
      </c>
      <c r="E109" s="25">
        <v>0.57799999999999996</v>
      </c>
      <c r="F109" s="25">
        <v>0.55800000000000005</v>
      </c>
      <c r="G109" s="25">
        <v>0.57699999999999996</v>
      </c>
      <c r="H109" s="25">
        <v>0.51</v>
      </c>
      <c r="I109" s="26">
        <f t="shared" si="21"/>
        <v>0.55700000000000005</v>
      </c>
      <c r="J109" s="25">
        <v>0.64900000000000002</v>
      </c>
      <c r="K109" s="25">
        <v>0.63</v>
      </c>
      <c r="L109" s="25">
        <v>0.56699999999999995</v>
      </c>
      <c r="M109" s="25">
        <v>0.57199999999999995</v>
      </c>
      <c r="N109" s="25">
        <v>0.62</v>
      </c>
      <c r="O109" s="26">
        <f t="shared" si="22"/>
        <v>0.60759999999999992</v>
      </c>
      <c r="P109" s="25">
        <v>0.62</v>
      </c>
      <c r="Q109" s="25">
        <v>0.625</v>
      </c>
      <c r="R109" s="25">
        <v>0.64400000000000002</v>
      </c>
      <c r="S109" s="25">
        <v>0.61499999999999999</v>
      </c>
      <c r="T109" s="25">
        <v>0.62</v>
      </c>
      <c r="U109" s="26">
        <f t="shared" si="23"/>
        <v>0.62480000000000013</v>
      </c>
      <c r="V109" s="25">
        <v>0.57699999999999996</v>
      </c>
      <c r="W109" s="25">
        <v>0.58099999999999996</v>
      </c>
      <c r="X109" s="25">
        <v>0.59099999999999997</v>
      </c>
      <c r="Y109" s="25">
        <v>0.56799999999999995</v>
      </c>
      <c r="Z109" s="25">
        <v>0.64900000000000002</v>
      </c>
      <c r="AA109" s="26">
        <f t="shared" si="24"/>
        <v>0.59319999999999995</v>
      </c>
      <c r="AB109" s="25">
        <v>0.57699999999999996</v>
      </c>
      <c r="AC109" s="25">
        <v>0.58099999999999996</v>
      </c>
      <c r="AD109" s="25">
        <v>0.59099999999999997</v>
      </c>
      <c r="AE109" s="25">
        <v>0.56799999999999995</v>
      </c>
      <c r="AF109" s="25">
        <v>0.64900000000000002</v>
      </c>
      <c r="AG109" s="26">
        <f t="shared" si="25"/>
        <v>0.59319999999999995</v>
      </c>
      <c r="AH109" s="25">
        <f t="shared" si="26"/>
        <v>0</v>
      </c>
      <c r="AI109" s="25">
        <f t="shared" si="27"/>
        <v>-1.4399999999999968E-2</v>
      </c>
    </row>
    <row r="110" spans="1:35" x14ac:dyDescent="0.25">
      <c r="A110" s="24" t="s">
        <v>137</v>
      </c>
      <c r="B110" s="25" t="s">
        <v>125</v>
      </c>
      <c r="C110" s="25">
        <v>0.4</v>
      </c>
      <c r="D110" s="25">
        <v>0.55300000000000005</v>
      </c>
      <c r="E110" s="25">
        <v>0.51400000000000001</v>
      </c>
      <c r="F110" s="25">
        <v>0.53400000000000003</v>
      </c>
      <c r="G110" s="25">
        <v>0.56699999999999995</v>
      </c>
      <c r="H110" s="25">
        <v>0.51900000000000002</v>
      </c>
      <c r="I110" s="26">
        <f t="shared" si="21"/>
        <v>0.5374000000000001</v>
      </c>
      <c r="J110" s="25">
        <v>0.505</v>
      </c>
      <c r="K110" s="25">
        <v>0.5</v>
      </c>
      <c r="L110" s="25">
        <v>0.52900000000000003</v>
      </c>
      <c r="M110" s="25">
        <v>0.54800000000000004</v>
      </c>
      <c r="N110" s="25">
        <v>0.62</v>
      </c>
      <c r="O110" s="26">
        <f t="shared" si="22"/>
        <v>0.54039999999999999</v>
      </c>
      <c r="P110" s="25">
        <v>0.54800000000000004</v>
      </c>
      <c r="Q110" s="25">
        <v>0.48099999999999998</v>
      </c>
      <c r="R110" s="25">
        <v>0.6</v>
      </c>
      <c r="S110" s="25">
        <v>0.52900000000000003</v>
      </c>
      <c r="T110" s="25">
        <v>0.55800000000000005</v>
      </c>
      <c r="U110" s="26">
        <f t="shared" si="23"/>
        <v>0.54320000000000002</v>
      </c>
      <c r="V110" s="25">
        <v>0.52900000000000003</v>
      </c>
      <c r="W110" s="25">
        <v>0.5</v>
      </c>
      <c r="X110" s="25">
        <v>0.59599999999999997</v>
      </c>
      <c r="Y110" s="25">
        <v>0.48</v>
      </c>
      <c r="Z110" s="25">
        <v>0.54300000000000004</v>
      </c>
      <c r="AA110" s="26">
        <f t="shared" si="24"/>
        <v>0.52960000000000007</v>
      </c>
      <c r="AB110" s="25">
        <v>0.52900000000000003</v>
      </c>
      <c r="AC110" s="25">
        <v>0.5</v>
      </c>
      <c r="AD110" s="25">
        <v>0.59599999999999997</v>
      </c>
      <c r="AE110" s="25">
        <v>0.48</v>
      </c>
      <c r="AF110" s="25">
        <v>0.54300000000000004</v>
      </c>
      <c r="AG110" s="26">
        <f t="shared" si="25"/>
        <v>0.52960000000000007</v>
      </c>
      <c r="AH110" s="25">
        <f t="shared" si="26"/>
        <v>0</v>
      </c>
      <c r="AI110" s="25">
        <f t="shared" si="27"/>
        <v>-1.0799999999999921E-2</v>
      </c>
    </row>
    <row r="111" spans="1:35" x14ac:dyDescent="0.25">
      <c r="A111" s="24" t="s">
        <v>137</v>
      </c>
      <c r="B111" s="25" t="s">
        <v>125</v>
      </c>
      <c r="C111" s="25">
        <v>0.5</v>
      </c>
      <c r="D111" s="25">
        <v>0.46600000000000003</v>
      </c>
      <c r="E111" s="25">
        <v>0.52</v>
      </c>
      <c r="F111" s="25">
        <v>0.50900000000000001</v>
      </c>
      <c r="G111" s="25">
        <v>0.5</v>
      </c>
      <c r="H111" s="25">
        <v>0.57299999999999995</v>
      </c>
      <c r="I111" s="26">
        <f t="shared" si="21"/>
        <v>0.51360000000000006</v>
      </c>
      <c r="J111" s="25">
        <v>0.44700000000000001</v>
      </c>
      <c r="K111" s="25">
        <v>0.56699999999999995</v>
      </c>
      <c r="L111" s="25">
        <v>0.52400000000000002</v>
      </c>
      <c r="M111" s="25">
        <v>0.51900000000000002</v>
      </c>
      <c r="N111" s="25">
        <v>0.56699999999999995</v>
      </c>
      <c r="O111" s="26">
        <f t="shared" si="22"/>
        <v>0.52479999999999993</v>
      </c>
      <c r="P111" s="25">
        <v>0.55700000000000005</v>
      </c>
      <c r="Q111" s="25">
        <v>0.57599999999999996</v>
      </c>
      <c r="R111" s="25">
        <v>0.54300000000000004</v>
      </c>
      <c r="S111" s="25">
        <v>0.48599999999999999</v>
      </c>
      <c r="T111" s="25">
        <v>0.54700000000000004</v>
      </c>
      <c r="U111" s="26">
        <f t="shared" si="23"/>
        <v>0.54180000000000006</v>
      </c>
      <c r="V111" s="25">
        <v>0.54400000000000004</v>
      </c>
      <c r="W111" s="25">
        <v>0.55700000000000005</v>
      </c>
      <c r="X111" s="25">
        <v>0.53400000000000003</v>
      </c>
      <c r="Y111" s="25">
        <v>0.53400000000000003</v>
      </c>
      <c r="Z111" s="25">
        <v>0.53800000000000003</v>
      </c>
      <c r="AA111" s="26">
        <f t="shared" si="24"/>
        <v>0.54139999999999999</v>
      </c>
      <c r="AB111" s="25">
        <v>0.54400000000000004</v>
      </c>
      <c r="AC111" s="25">
        <v>0.55700000000000005</v>
      </c>
      <c r="AD111" s="25">
        <v>0.53400000000000003</v>
      </c>
      <c r="AE111" s="25">
        <v>0.53400000000000003</v>
      </c>
      <c r="AF111" s="25">
        <v>0.53800000000000003</v>
      </c>
      <c r="AG111" s="26">
        <f t="shared" si="25"/>
        <v>0.54139999999999999</v>
      </c>
      <c r="AH111" s="25">
        <f t="shared" si="26"/>
        <v>0</v>
      </c>
      <c r="AI111" s="25">
        <f t="shared" si="27"/>
        <v>1.6600000000000059E-2</v>
      </c>
    </row>
    <row r="112" spans="1:35" x14ac:dyDescent="0.25">
      <c r="A112" s="24" t="s">
        <v>137</v>
      </c>
      <c r="B112" s="25" t="s">
        <v>126</v>
      </c>
      <c r="C112" s="25">
        <v>0.2</v>
      </c>
      <c r="D112" s="25">
        <v>0.63400000000000001</v>
      </c>
      <c r="E112" s="25">
        <v>0.59199999999999997</v>
      </c>
      <c r="F112" s="25">
        <v>0.60599999999999998</v>
      </c>
      <c r="G112" s="25">
        <v>0.65900000000000003</v>
      </c>
      <c r="H112" s="25">
        <v>0.54400000000000004</v>
      </c>
      <c r="I112" s="26">
        <f t="shared" si="21"/>
        <v>0.60699999999999998</v>
      </c>
      <c r="J112" s="25">
        <v>0.63900000000000001</v>
      </c>
      <c r="K112" s="25">
        <v>0.63</v>
      </c>
      <c r="L112" s="25">
        <v>0.63400000000000001</v>
      </c>
      <c r="M112" s="25">
        <v>0.624</v>
      </c>
      <c r="N112" s="25">
        <v>0.61099999999999999</v>
      </c>
      <c r="O112" s="26">
        <f t="shared" si="22"/>
        <v>0.62759999999999994</v>
      </c>
      <c r="P112" s="25">
        <v>0.66800000000000004</v>
      </c>
      <c r="Q112" s="25">
        <v>0.64400000000000002</v>
      </c>
      <c r="R112" s="25">
        <v>0.67300000000000004</v>
      </c>
      <c r="S112" s="25">
        <v>0.629</v>
      </c>
      <c r="T112" s="25">
        <v>0.59599999999999997</v>
      </c>
      <c r="U112" s="26">
        <f t="shared" si="23"/>
        <v>0.64200000000000002</v>
      </c>
      <c r="V112" s="25">
        <v>0.66300000000000003</v>
      </c>
      <c r="W112" s="25">
        <v>0.65400000000000003</v>
      </c>
      <c r="X112" s="25">
        <v>0.65900000000000003</v>
      </c>
      <c r="Y112" s="25">
        <v>0.61</v>
      </c>
      <c r="Z112" s="25">
        <v>0.59099999999999997</v>
      </c>
      <c r="AA112" s="26">
        <f t="shared" si="24"/>
        <v>0.63540000000000008</v>
      </c>
      <c r="AB112" s="25">
        <v>0.66300000000000003</v>
      </c>
      <c r="AC112" s="25">
        <v>0.65400000000000003</v>
      </c>
      <c r="AD112" s="25">
        <v>0.65900000000000003</v>
      </c>
      <c r="AE112" s="25">
        <v>0.61</v>
      </c>
      <c r="AF112" s="25">
        <v>0.59099999999999997</v>
      </c>
      <c r="AG112" s="26">
        <f t="shared" si="25"/>
        <v>0.63540000000000008</v>
      </c>
      <c r="AH112" s="25">
        <f t="shared" si="26"/>
        <v>0</v>
      </c>
      <c r="AI112" s="25">
        <f t="shared" si="27"/>
        <v>7.8000000000001402E-3</v>
      </c>
    </row>
    <row r="113" spans="1:35" x14ac:dyDescent="0.25">
      <c r="A113" s="24" t="s">
        <v>137</v>
      </c>
      <c r="B113" s="25" t="s">
        <v>126</v>
      </c>
      <c r="C113" s="25">
        <v>0.3</v>
      </c>
      <c r="D113" s="25">
        <v>0.56299999999999994</v>
      </c>
      <c r="E113" s="25">
        <v>0.59099999999999997</v>
      </c>
      <c r="F113" s="25">
        <v>0.60099999999999998</v>
      </c>
      <c r="G113" s="25">
        <v>0.6</v>
      </c>
      <c r="H113" s="25">
        <v>0.55400000000000005</v>
      </c>
      <c r="I113" s="26">
        <f t="shared" si="21"/>
        <v>0.58179999999999998</v>
      </c>
      <c r="J113" s="25">
        <v>0.64400000000000002</v>
      </c>
      <c r="K113" s="25">
        <v>0.64400000000000002</v>
      </c>
      <c r="L113" s="25">
        <v>0.67800000000000005</v>
      </c>
      <c r="M113" s="25">
        <v>0.68700000000000006</v>
      </c>
      <c r="N113" s="25">
        <v>0.57199999999999995</v>
      </c>
      <c r="O113" s="26">
        <f t="shared" si="22"/>
        <v>0.64500000000000013</v>
      </c>
      <c r="P113" s="25"/>
      <c r="Q113" s="25"/>
      <c r="R113" s="25"/>
      <c r="S113" s="25"/>
      <c r="T113" s="25"/>
      <c r="U113" s="26" t="str">
        <f t="shared" si="23"/>
        <v/>
      </c>
      <c r="V113" s="25"/>
      <c r="W113" s="25"/>
      <c r="X113" s="25"/>
      <c r="Y113" s="25"/>
      <c r="Z113" s="25"/>
      <c r="AA113" s="26" t="str">
        <f t="shared" si="24"/>
        <v/>
      </c>
      <c r="AB113" s="25">
        <v>0.63</v>
      </c>
      <c r="AC113" s="25">
        <v>0.61099999999999999</v>
      </c>
      <c r="AD113" s="25">
        <v>0.64400000000000002</v>
      </c>
      <c r="AE113" s="25">
        <v>0.64900000000000002</v>
      </c>
      <c r="AF113" s="25">
        <v>0.60499999999999998</v>
      </c>
      <c r="AG113" s="26">
        <f t="shared" si="25"/>
        <v>0.62780000000000002</v>
      </c>
      <c r="AH113" s="25" t="str">
        <f t="shared" si="26"/>
        <v/>
      </c>
      <c r="AI113" s="25">
        <f t="shared" si="27"/>
        <v>-1.7200000000000104E-2</v>
      </c>
    </row>
    <row r="114" spans="1:35" x14ac:dyDescent="0.25">
      <c r="A114" s="24" t="s">
        <v>137</v>
      </c>
      <c r="B114" s="25" t="s">
        <v>126</v>
      </c>
      <c r="C114" s="25">
        <v>0.4</v>
      </c>
      <c r="D114" s="25">
        <v>0.56200000000000006</v>
      </c>
      <c r="E114" s="25">
        <v>0.60199999999999998</v>
      </c>
      <c r="F114" s="25">
        <v>0.57199999999999995</v>
      </c>
      <c r="G114" s="25">
        <v>0.56200000000000006</v>
      </c>
      <c r="H114" s="25">
        <v>0.55400000000000005</v>
      </c>
      <c r="I114" s="26">
        <f t="shared" si="21"/>
        <v>0.57040000000000002</v>
      </c>
      <c r="J114" s="25">
        <v>0.60099999999999998</v>
      </c>
      <c r="K114" s="25">
        <v>0.55800000000000005</v>
      </c>
      <c r="L114" s="25">
        <v>0.62</v>
      </c>
      <c r="M114" s="25">
        <v>0.58599999999999997</v>
      </c>
      <c r="N114" s="25">
        <v>0.60599999999999998</v>
      </c>
      <c r="O114" s="26">
        <f t="shared" si="22"/>
        <v>0.59419999999999995</v>
      </c>
      <c r="P114" s="25"/>
      <c r="Q114" s="25"/>
      <c r="R114" s="25"/>
      <c r="S114" s="25"/>
      <c r="T114" s="25"/>
      <c r="U114" s="26" t="str">
        <f t="shared" si="23"/>
        <v/>
      </c>
      <c r="V114" s="25"/>
      <c r="W114" s="25"/>
      <c r="X114" s="25"/>
      <c r="Y114" s="25"/>
      <c r="Z114" s="25"/>
      <c r="AA114" s="26" t="str">
        <f t="shared" si="24"/>
        <v/>
      </c>
      <c r="AB114" s="25">
        <v>0.62</v>
      </c>
      <c r="AC114" s="25">
        <v>0.59099999999999997</v>
      </c>
      <c r="AD114" s="25">
        <v>0.67200000000000004</v>
      </c>
      <c r="AE114" s="25">
        <v>0.61099999999999999</v>
      </c>
      <c r="AF114" s="25">
        <v>0.62</v>
      </c>
      <c r="AG114" s="26">
        <f t="shared" si="25"/>
        <v>0.62280000000000002</v>
      </c>
      <c r="AH114" s="25" t="str">
        <f t="shared" si="26"/>
        <v/>
      </c>
      <c r="AI114" s="25">
        <f t="shared" si="27"/>
        <v>2.860000000000007E-2</v>
      </c>
    </row>
    <row r="115" spans="1:35" x14ac:dyDescent="0.25">
      <c r="A115" s="24" t="s">
        <v>137</v>
      </c>
      <c r="B115" s="25" t="s">
        <v>126</v>
      </c>
      <c r="C115" s="25">
        <v>0.5</v>
      </c>
      <c r="D115" s="25">
        <v>0.52900000000000003</v>
      </c>
      <c r="E115" s="25">
        <v>0.53300000000000003</v>
      </c>
      <c r="F115" s="25">
        <v>0.51500000000000001</v>
      </c>
      <c r="G115" s="25">
        <v>0.5</v>
      </c>
      <c r="H115" s="25">
        <v>0.55300000000000005</v>
      </c>
      <c r="I115" s="26">
        <f t="shared" si="21"/>
        <v>0.52600000000000002</v>
      </c>
      <c r="J115" s="25">
        <v>0.57199999999999995</v>
      </c>
      <c r="K115" s="25">
        <v>0.58199999999999996</v>
      </c>
      <c r="L115" s="25">
        <v>0.56699999999999995</v>
      </c>
      <c r="M115" s="25">
        <v>0.59499999999999997</v>
      </c>
      <c r="N115" s="25">
        <v>0.57699999999999996</v>
      </c>
      <c r="O115" s="26">
        <f t="shared" si="22"/>
        <v>0.5786</v>
      </c>
      <c r="P115" s="25"/>
      <c r="Q115" s="25"/>
      <c r="R115" s="25"/>
      <c r="S115" s="25"/>
      <c r="T115" s="25"/>
      <c r="U115" s="26" t="str">
        <f t="shared" si="23"/>
        <v/>
      </c>
      <c r="V115" s="25"/>
      <c r="W115" s="25"/>
      <c r="X115" s="25"/>
      <c r="Y115" s="25"/>
      <c r="Z115" s="25"/>
      <c r="AA115" s="26" t="str">
        <f t="shared" si="24"/>
        <v/>
      </c>
      <c r="AB115" s="25">
        <v>0.59599999999999997</v>
      </c>
      <c r="AC115" s="25">
        <v>0.59099999999999997</v>
      </c>
      <c r="AD115" s="25">
        <v>0.53400000000000003</v>
      </c>
      <c r="AE115" s="25">
        <v>0.67200000000000004</v>
      </c>
      <c r="AF115" s="25">
        <v>0.61499999999999999</v>
      </c>
      <c r="AG115" s="26">
        <f t="shared" si="25"/>
        <v>0.60160000000000002</v>
      </c>
      <c r="AH115" s="25" t="str">
        <f t="shared" si="26"/>
        <v/>
      </c>
      <c r="AI115" s="25">
        <f t="shared" si="27"/>
        <v>2.300000000000002E-2</v>
      </c>
    </row>
    <row r="116" spans="1:35" x14ac:dyDescent="0.25">
      <c r="A116" s="24" t="s">
        <v>137</v>
      </c>
      <c r="B116" s="25" t="s">
        <v>127</v>
      </c>
      <c r="C116" s="25">
        <v>0.2</v>
      </c>
      <c r="D116" s="25">
        <v>0.625</v>
      </c>
      <c r="E116" s="25">
        <v>0.62</v>
      </c>
      <c r="F116" s="25">
        <v>0.66400000000000003</v>
      </c>
      <c r="G116" s="25">
        <v>0.69699999999999995</v>
      </c>
      <c r="H116" s="25">
        <v>0.61</v>
      </c>
      <c r="I116" s="26">
        <f t="shared" si="21"/>
        <v>0.64319999999999999</v>
      </c>
      <c r="J116" s="25">
        <v>0.70699999999999996</v>
      </c>
      <c r="K116" s="25">
        <v>0.68799999999999994</v>
      </c>
      <c r="L116" s="25">
        <v>0.78400000000000003</v>
      </c>
      <c r="M116" s="25">
        <v>0.71099999999999997</v>
      </c>
      <c r="N116" s="25">
        <v>0.70699999999999996</v>
      </c>
      <c r="O116" s="26">
        <f t="shared" si="22"/>
        <v>0.71940000000000004</v>
      </c>
      <c r="P116" s="25">
        <v>0.58599999999999997</v>
      </c>
      <c r="Q116" s="25">
        <v>0.66300000000000003</v>
      </c>
      <c r="R116" s="25">
        <v>0.73099999999999998</v>
      </c>
      <c r="S116" s="25">
        <v>0.625</v>
      </c>
      <c r="T116" s="25">
        <v>0.64900000000000002</v>
      </c>
      <c r="U116" s="26">
        <f t="shared" si="23"/>
        <v>0.65080000000000005</v>
      </c>
      <c r="V116" s="25">
        <v>0.60099999999999998</v>
      </c>
      <c r="W116" s="25">
        <v>0.61</v>
      </c>
      <c r="X116" s="25">
        <v>0.67700000000000005</v>
      </c>
      <c r="Y116" s="25">
        <v>0.53300000000000003</v>
      </c>
      <c r="Z116" s="25">
        <v>0.629</v>
      </c>
      <c r="AA116" s="26">
        <f t="shared" si="24"/>
        <v>0.61</v>
      </c>
      <c r="AB116" s="25">
        <v>0.60099999999999998</v>
      </c>
      <c r="AC116" s="25">
        <v>0.61</v>
      </c>
      <c r="AD116" s="25">
        <v>0.67700000000000005</v>
      </c>
      <c r="AE116" s="25">
        <v>0.53300000000000003</v>
      </c>
      <c r="AF116" s="25">
        <v>0.629</v>
      </c>
      <c r="AG116" s="26">
        <f t="shared" si="25"/>
        <v>0.61</v>
      </c>
      <c r="AH116" s="25">
        <f t="shared" si="26"/>
        <v>0</v>
      </c>
      <c r="AI116" s="25">
        <f t="shared" si="27"/>
        <v>-0.10940000000000005</v>
      </c>
    </row>
    <row r="117" spans="1:35" x14ac:dyDescent="0.25">
      <c r="A117" s="24" t="s">
        <v>137</v>
      </c>
      <c r="B117" s="25" t="s">
        <v>127</v>
      </c>
      <c r="C117" s="25">
        <v>0.3</v>
      </c>
      <c r="D117" s="25">
        <v>0.60599999999999998</v>
      </c>
      <c r="E117" s="25">
        <v>0.58099999999999996</v>
      </c>
      <c r="F117" s="25">
        <v>0.68300000000000005</v>
      </c>
      <c r="G117" s="25">
        <v>0.68700000000000006</v>
      </c>
      <c r="H117" s="25">
        <v>0.66400000000000003</v>
      </c>
      <c r="I117" s="26">
        <f t="shared" si="21"/>
        <v>0.64419999999999999</v>
      </c>
      <c r="J117" s="25">
        <v>0.624</v>
      </c>
      <c r="K117" s="25">
        <v>0.61499999999999999</v>
      </c>
      <c r="L117" s="25">
        <v>0.66400000000000003</v>
      </c>
      <c r="M117" s="25">
        <v>0.64400000000000002</v>
      </c>
      <c r="N117" s="25">
        <v>0.67700000000000005</v>
      </c>
      <c r="O117" s="26">
        <f t="shared" si="22"/>
        <v>0.64480000000000004</v>
      </c>
      <c r="P117" s="25">
        <v>0.59099999999999997</v>
      </c>
      <c r="Q117" s="25">
        <v>0.66400000000000003</v>
      </c>
      <c r="R117" s="25">
        <v>0.65800000000000003</v>
      </c>
      <c r="S117" s="25">
        <v>0.60599999999999998</v>
      </c>
      <c r="T117" s="25">
        <v>0.63500000000000001</v>
      </c>
      <c r="U117" s="26">
        <f t="shared" si="23"/>
        <v>0.63080000000000003</v>
      </c>
      <c r="V117" s="25">
        <v>0.54700000000000004</v>
      </c>
      <c r="W117" s="25">
        <v>0.68300000000000005</v>
      </c>
      <c r="X117" s="25">
        <v>0.65300000000000002</v>
      </c>
      <c r="Y117" s="25">
        <v>0.59099999999999997</v>
      </c>
      <c r="Z117" s="25">
        <v>0.61599999999999999</v>
      </c>
      <c r="AA117" s="26">
        <f t="shared" si="24"/>
        <v>0.6180000000000001</v>
      </c>
      <c r="AB117" s="25">
        <v>0.54700000000000004</v>
      </c>
      <c r="AC117" s="25">
        <v>0.68300000000000005</v>
      </c>
      <c r="AD117" s="25">
        <v>0.65300000000000002</v>
      </c>
      <c r="AE117" s="25">
        <v>0.59099999999999997</v>
      </c>
      <c r="AF117" s="25">
        <v>0.61599999999999999</v>
      </c>
      <c r="AG117" s="26">
        <f t="shared" si="25"/>
        <v>0.6180000000000001</v>
      </c>
      <c r="AH117" s="25">
        <f t="shared" si="26"/>
        <v>0</v>
      </c>
      <c r="AI117" s="25">
        <f t="shared" si="27"/>
        <v>-2.6799999999999935E-2</v>
      </c>
    </row>
    <row r="118" spans="1:35" x14ac:dyDescent="0.25">
      <c r="A118" s="24" t="s">
        <v>137</v>
      </c>
      <c r="B118" s="25" t="s">
        <v>127</v>
      </c>
      <c r="C118" s="25">
        <v>0.4</v>
      </c>
      <c r="D118" s="25">
        <v>0.54800000000000004</v>
      </c>
      <c r="E118" s="25">
        <v>0.54800000000000004</v>
      </c>
      <c r="F118" s="25">
        <v>0.57699999999999996</v>
      </c>
      <c r="G118" s="25">
        <v>0.61099999999999999</v>
      </c>
      <c r="H118" s="25">
        <v>0.60199999999999998</v>
      </c>
      <c r="I118" s="26">
        <f t="shared" si="21"/>
        <v>0.57719999999999994</v>
      </c>
      <c r="J118" s="25">
        <v>0.60599999999999998</v>
      </c>
      <c r="K118" s="25">
        <v>0.625</v>
      </c>
      <c r="L118" s="25">
        <v>0.60099999999999998</v>
      </c>
      <c r="M118" s="25">
        <v>0.64900000000000002</v>
      </c>
      <c r="N118" s="25">
        <v>0.65800000000000003</v>
      </c>
      <c r="O118" s="26">
        <f t="shared" si="22"/>
        <v>0.62779999999999991</v>
      </c>
      <c r="P118" s="25">
        <v>0.629</v>
      </c>
      <c r="Q118" s="25">
        <v>0.63400000000000001</v>
      </c>
      <c r="R118" s="25">
        <v>0.58099999999999996</v>
      </c>
      <c r="S118" s="25">
        <v>0.63900000000000001</v>
      </c>
      <c r="T118" s="25">
        <v>0.62</v>
      </c>
      <c r="U118" s="26">
        <f t="shared" si="23"/>
        <v>0.62059999999999993</v>
      </c>
      <c r="V118" s="25">
        <v>0.54800000000000004</v>
      </c>
      <c r="W118" s="25">
        <v>0.60499999999999998</v>
      </c>
      <c r="X118" s="25">
        <v>0.55200000000000005</v>
      </c>
      <c r="Y118" s="25">
        <v>0.629</v>
      </c>
      <c r="Z118" s="25">
        <v>0.60599999999999998</v>
      </c>
      <c r="AA118" s="26">
        <f t="shared" si="24"/>
        <v>0.58799999999999997</v>
      </c>
      <c r="AB118" s="25">
        <v>0.54800000000000004</v>
      </c>
      <c r="AC118" s="25">
        <v>0.60499999999999998</v>
      </c>
      <c r="AD118" s="25">
        <v>0.55200000000000005</v>
      </c>
      <c r="AE118" s="25">
        <v>0.629</v>
      </c>
      <c r="AF118" s="25">
        <v>0.60599999999999998</v>
      </c>
      <c r="AG118" s="26">
        <f t="shared" si="25"/>
        <v>0.58799999999999997</v>
      </c>
      <c r="AH118" s="25">
        <f t="shared" si="26"/>
        <v>0</v>
      </c>
      <c r="AI118" s="25">
        <f t="shared" si="27"/>
        <v>-3.9799999999999947E-2</v>
      </c>
    </row>
    <row r="119" spans="1:35" x14ac:dyDescent="0.25">
      <c r="A119" s="24" t="s">
        <v>137</v>
      </c>
      <c r="B119" s="25" t="s">
        <v>127</v>
      </c>
      <c r="C119" s="25">
        <v>0.5</v>
      </c>
      <c r="D119" s="25">
        <v>0.505</v>
      </c>
      <c r="E119" s="25">
        <v>0.55300000000000005</v>
      </c>
      <c r="F119" s="25">
        <v>0.50900000000000001</v>
      </c>
      <c r="G119" s="25">
        <v>0.47499999999999998</v>
      </c>
      <c r="H119" s="25">
        <v>0.49</v>
      </c>
      <c r="I119" s="26">
        <f t="shared" si="21"/>
        <v>0.50639999999999996</v>
      </c>
      <c r="J119" s="25">
        <v>0.51</v>
      </c>
      <c r="K119" s="25">
        <v>0.48099999999999998</v>
      </c>
      <c r="L119" s="25">
        <v>0.52300000000000002</v>
      </c>
      <c r="M119" s="25">
        <v>0.48</v>
      </c>
      <c r="N119" s="25">
        <v>0.495</v>
      </c>
      <c r="O119" s="26">
        <f t="shared" si="22"/>
        <v>0.49779999999999996</v>
      </c>
      <c r="P119" s="25">
        <v>0.48199999999999998</v>
      </c>
      <c r="Q119" s="25">
        <v>0.45600000000000002</v>
      </c>
      <c r="R119" s="25">
        <v>0.47599999999999998</v>
      </c>
      <c r="S119" s="25">
        <v>0.433</v>
      </c>
      <c r="T119" s="25">
        <v>0.46600000000000003</v>
      </c>
      <c r="U119" s="26">
        <f t="shared" si="23"/>
        <v>0.46260000000000001</v>
      </c>
      <c r="V119" s="25">
        <v>0.51</v>
      </c>
      <c r="W119" s="25">
        <v>0.47499999999999998</v>
      </c>
      <c r="X119" s="25">
        <v>0.5</v>
      </c>
      <c r="Y119" s="25">
        <v>0.44700000000000001</v>
      </c>
      <c r="Z119" s="25">
        <v>0.57699999999999996</v>
      </c>
      <c r="AA119" s="26">
        <f t="shared" si="24"/>
        <v>0.50180000000000002</v>
      </c>
      <c r="AB119" s="25">
        <v>0.51</v>
      </c>
      <c r="AC119" s="25">
        <v>0.47499999999999998</v>
      </c>
      <c r="AD119" s="25">
        <v>0.5</v>
      </c>
      <c r="AE119" s="25">
        <v>0.44700000000000001</v>
      </c>
      <c r="AF119" s="25">
        <v>0.57699999999999996</v>
      </c>
      <c r="AG119" s="26">
        <f t="shared" si="25"/>
        <v>0.50180000000000002</v>
      </c>
      <c r="AH119" s="25">
        <f t="shared" si="26"/>
        <v>0</v>
      </c>
      <c r="AI119" s="25">
        <f t="shared" si="27"/>
        <v>4.0000000000000591E-3</v>
      </c>
    </row>
    <row r="120" spans="1:35" x14ac:dyDescent="0.25">
      <c r="A120" s="24" t="s">
        <v>137</v>
      </c>
      <c r="B120" s="25" t="s">
        <v>128</v>
      </c>
      <c r="C120" s="25">
        <v>0.2</v>
      </c>
      <c r="D120" s="25">
        <v>0.59099999999999997</v>
      </c>
      <c r="E120" s="25">
        <v>0.60199999999999998</v>
      </c>
      <c r="F120" s="25">
        <v>0.60099999999999998</v>
      </c>
      <c r="G120" s="25">
        <v>0.54300000000000004</v>
      </c>
      <c r="H120" s="25">
        <v>0.64900000000000002</v>
      </c>
      <c r="I120" s="26">
        <f t="shared" si="21"/>
        <v>0.59720000000000006</v>
      </c>
      <c r="J120" s="25">
        <v>0.63</v>
      </c>
      <c r="K120" s="25">
        <v>0.64500000000000002</v>
      </c>
      <c r="L120" s="25">
        <v>0.71599999999999997</v>
      </c>
      <c r="M120" s="25">
        <v>0.67700000000000005</v>
      </c>
      <c r="N120" s="25">
        <v>0.65900000000000003</v>
      </c>
      <c r="O120" s="26">
        <f t="shared" si="22"/>
        <v>0.66539999999999999</v>
      </c>
      <c r="P120" s="25">
        <v>0.59699999999999998</v>
      </c>
      <c r="Q120" s="25">
        <v>0.64900000000000002</v>
      </c>
      <c r="R120" s="25">
        <v>0.63400000000000001</v>
      </c>
      <c r="S120" s="25">
        <v>0.60599999999999998</v>
      </c>
      <c r="T120" s="25">
        <v>0.66300000000000003</v>
      </c>
      <c r="U120" s="26">
        <f t="shared" si="23"/>
        <v>0.62980000000000003</v>
      </c>
      <c r="V120" s="25">
        <v>0.63400000000000001</v>
      </c>
      <c r="W120" s="25">
        <v>0.63</v>
      </c>
      <c r="X120" s="25">
        <v>0.57599999999999996</v>
      </c>
      <c r="Y120" s="25">
        <v>0.63900000000000001</v>
      </c>
      <c r="Z120" s="25">
        <v>0.64900000000000002</v>
      </c>
      <c r="AA120" s="26">
        <f t="shared" si="24"/>
        <v>0.62560000000000004</v>
      </c>
      <c r="AB120" s="25">
        <v>0.63400000000000001</v>
      </c>
      <c r="AC120" s="25">
        <v>0.63</v>
      </c>
      <c r="AD120" s="25">
        <v>0.57599999999999996</v>
      </c>
      <c r="AE120" s="25">
        <v>0.63900000000000001</v>
      </c>
      <c r="AF120" s="25">
        <v>0.64900000000000002</v>
      </c>
      <c r="AG120" s="26">
        <f t="shared" si="25"/>
        <v>0.62560000000000004</v>
      </c>
      <c r="AH120" s="25">
        <f t="shared" si="26"/>
        <v>0</v>
      </c>
      <c r="AI120" s="25">
        <f t="shared" si="27"/>
        <v>-3.9799999999999947E-2</v>
      </c>
    </row>
    <row r="121" spans="1:35" x14ac:dyDescent="0.25">
      <c r="A121" s="24" t="s">
        <v>137</v>
      </c>
      <c r="B121" s="25" t="s">
        <v>128</v>
      </c>
      <c r="C121" s="25">
        <v>0.3</v>
      </c>
      <c r="D121" s="25">
        <v>0.56799999999999995</v>
      </c>
      <c r="E121" s="25">
        <v>0.57199999999999995</v>
      </c>
      <c r="F121" s="25">
        <v>0.5</v>
      </c>
      <c r="G121" s="25">
        <v>0.56299999999999994</v>
      </c>
      <c r="H121" s="25">
        <v>0.51</v>
      </c>
      <c r="I121" s="26">
        <f t="shared" si="21"/>
        <v>0.54259999999999997</v>
      </c>
      <c r="J121" s="25">
        <v>0.63900000000000001</v>
      </c>
      <c r="K121" s="25">
        <v>0.61599999999999999</v>
      </c>
      <c r="L121" s="25">
        <v>0.64900000000000002</v>
      </c>
      <c r="M121" s="25">
        <v>0.67800000000000005</v>
      </c>
      <c r="N121" s="25">
        <v>0.59099999999999997</v>
      </c>
      <c r="O121" s="26">
        <f t="shared" si="22"/>
        <v>0.63460000000000005</v>
      </c>
      <c r="P121" s="25">
        <v>0.64</v>
      </c>
      <c r="Q121" s="25">
        <v>0.59099999999999997</v>
      </c>
      <c r="R121" s="25">
        <v>0.57599999999999996</v>
      </c>
      <c r="S121" s="25">
        <v>0.53300000000000003</v>
      </c>
      <c r="T121" s="25">
        <v>0.55200000000000005</v>
      </c>
      <c r="U121" s="26">
        <f t="shared" si="23"/>
        <v>0.57840000000000003</v>
      </c>
      <c r="V121" s="25">
        <v>0.61599999999999999</v>
      </c>
      <c r="W121" s="25">
        <v>0.57199999999999995</v>
      </c>
      <c r="X121" s="25">
        <v>0.57599999999999996</v>
      </c>
      <c r="Y121" s="25">
        <v>0.52900000000000003</v>
      </c>
      <c r="Z121" s="25">
        <v>0.56200000000000006</v>
      </c>
      <c r="AA121" s="26">
        <f t="shared" si="24"/>
        <v>0.57099999999999995</v>
      </c>
      <c r="AB121" s="25">
        <v>0.6</v>
      </c>
      <c r="AC121" s="25">
        <v>0.57199999999999995</v>
      </c>
      <c r="AD121" s="25">
        <v>0.57599999999999996</v>
      </c>
      <c r="AE121" s="25">
        <v>0.52900000000000003</v>
      </c>
      <c r="AF121" s="25">
        <v>0.56200000000000006</v>
      </c>
      <c r="AG121" s="26">
        <f t="shared" si="25"/>
        <v>0.56779999999999986</v>
      </c>
      <c r="AH121" s="25">
        <f t="shared" si="26"/>
        <v>-3.2000000000000917E-3</v>
      </c>
      <c r="AI121" s="25">
        <f t="shared" si="27"/>
        <v>-6.6800000000000193E-2</v>
      </c>
    </row>
    <row r="122" spans="1:35" x14ac:dyDescent="0.25">
      <c r="A122" s="24" t="s">
        <v>137</v>
      </c>
      <c r="B122" s="25" t="s">
        <v>128</v>
      </c>
      <c r="C122" s="25">
        <v>0.4</v>
      </c>
      <c r="D122" s="25">
        <v>0.499</v>
      </c>
      <c r="E122" s="25">
        <v>0.52400000000000002</v>
      </c>
      <c r="F122" s="25">
        <v>0.57699999999999996</v>
      </c>
      <c r="G122" s="25">
        <v>0.53900000000000003</v>
      </c>
      <c r="H122" s="25">
        <v>0.57299999999999995</v>
      </c>
      <c r="I122" s="26">
        <f t="shared" si="21"/>
        <v>0.54239999999999999</v>
      </c>
      <c r="J122" s="25">
        <v>0.61499999999999999</v>
      </c>
      <c r="K122" s="25">
        <v>0.52300000000000002</v>
      </c>
      <c r="L122" s="25">
        <v>0.59599999999999997</v>
      </c>
      <c r="M122" s="25">
        <v>0.59199999999999997</v>
      </c>
      <c r="N122" s="25">
        <v>0.60599999999999998</v>
      </c>
      <c r="O122" s="26">
        <f t="shared" si="22"/>
        <v>0.58640000000000003</v>
      </c>
      <c r="P122" s="25">
        <v>0.624</v>
      </c>
      <c r="Q122" s="25">
        <v>0.58799999999999997</v>
      </c>
      <c r="R122" s="25">
        <v>0.51400000000000001</v>
      </c>
      <c r="S122" s="25">
        <v>0.54800000000000004</v>
      </c>
      <c r="T122" s="25">
        <v>0.57599999999999996</v>
      </c>
      <c r="U122" s="26">
        <f t="shared" si="23"/>
        <v>0.57000000000000006</v>
      </c>
      <c r="V122" s="25">
        <v>0.629</v>
      </c>
      <c r="W122" s="25">
        <v>0.57599999999999996</v>
      </c>
      <c r="X122" s="25">
        <v>0.51400000000000001</v>
      </c>
      <c r="Y122" s="25">
        <v>0.55800000000000005</v>
      </c>
      <c r="Z122" s="25">
        <v>0.58599999999999997</v>
      </c>
      <c r="AA122" s="26">
        <f t="shared" si="24"/>
        <v>0.5726</v>
      </c>
      <c r="AB122" s="25">
        <v>0.629</v>
      </c>
      <c r="AC122" s="25">
        <v>0.53900000000000003</v>
      </c>
      <c r="AD122" s="25">
        <v>0.51400000000000001</v>
      </c>
      <c r="AE122" s="25">
        <v>0.55800000000000005</v>
      </c>
      <c r="AF122" s="25">
        <v>0.58599999999999997</v>
      </c>
      <c r="AG122" s="26">
        <f t="shared" si="25"/>
        <v>0.56520000000000004</v>
      </c>
      <c r="AH122" s="25">
        <f t="shared" si="26"/>
        <v>-7.3999999999999622E-3</v>
      </c>
      <c r="AI122" s="25">
        <f t="shared" si="27"/>
        <v>-2.1199999999999997E-2</v>
      </c>
    </row>
    <row r="123" spans="1:35" x14ac:dyDescent="0.25">
      <c r="A123" s="24" t="s">
        <v>137</v>
      </c>
      <c r="B123" s="25" t="s">
        <v>128</v>
      </c>
      <c r="C123" s="25">
        <v>0.5</v>
      </c>
      <c r="D123" s="25">
        <v>0.48499999999999999</v>
      </c>
      <c r="E123" s="25">
        <v>0.52900000000000003</v>
      </c>
      <c r="F123" s="25">
        <v>0.51900000000000002</v>
      </c>
      <c r="G123" s="25">
        <v>0.52900000000000003</v>
      </c>
      <c r="H123" s="25">
        <v>0.496</v>
      </c>
      <c r="I123" s="26">
        <f t="shared" si="21"/>
        <v>0.51159999999999994</v>
      </c>
      <c r="J123" s="25">
        <v>0.51900000000000002</v>
      </c>
      <c r="K123" s="25">
        <v>0.55800000000000005</v>
      </c>
      <c r="L123" s="25">
        <v>0.54300000000000004</v>
      </c>
      <c r="M123" s="25">
        <v>0.55800000000000005</v>
      </c>
      <c r="N123" s="25">
        <v>0.499</v>
      </c>
      <c r="O123" s="26">
        <f t="shared" si="22"/>
        <v>0.53539999999999999</v>
      </c>
      <c r="P123" s="25">
        <v>0.54400000000000004</v>
      </c>
      <c r="Q123" s="25">
        <v>0.54800000000000004</v>
      </c>
      <c r="R123" s="25">
        <v>0.44700000000000001</v>
      </c>
      <c r="S123" s="25">
        <v>0.505</v>
      </c>
      <c r="T123" s="25">
        <v>0.433</v>
      </c>
      <c r="U123" s="26">
        <f t="shared" si="23"/>
        <v>0.49539999999999995</v>
      </c>
      <c r="V123" s="25">
        <v>0.52400000000000002</v>
      </c>
      <c r="W123" s="25">
        <v>0.48099999999999998</v>
      </c>
      <c r="X123" s="25">
        <v>0.41899999999999998</v>
      </c>
      <c r="Y123" s="25">
        <v>0.48599999999999999</v>
      </c>
      <c r="Z123" s="25">
        <v>0.42899999999999999</v>
      </c>
      <c r="AA123" s="26">
        <f t="shared" si="24"/>
        <v>0.46779999999999999</v>
      </c>
      <c r="AB123" s="25">
        <v>0.52400000000000002</v>
      </c>
      <c r="AC123" s="25">
        <v>0.48099999999999998</v>
      </c>
      <c r="AD123" s="25">
        <v>0.41899999999999998</v>
      </c>
      <c r="AE123" s="25">
        <v>0.48599999999999999</v>
      </c>
      <c r="AF123" s="25">
        <v>0.42899999999999999</v>
      </c>
      <c r="AG123" s="26">
        <f t="shared" si="25"/>
        <v>0.46779999999999999</v>
      </c>
      <c r="AH123" s="25">
        <f t="shared" si="26"/>
        <v>0</v>
      </c>
      <c r="AI123" s="25">
        <f t="shared" si="27"/>
        <v>-6.7599999999999993E-2</v>
      </c>
    </row>
    <row r="124" spans="1:35" x14ac:dyDescent="0.25">
      <c r="A124" s="24" t="s">
        <v>131</v>
      </c>
      <c r="B124" s="25" t="s">
        <v>124</v>
      </c>
      <c r="C124" s="25">
        <v>0</v>
      </c>
      <c r="D124" s="25">
        <v>0.97599999999999998</v>
      </c>
      <c r="E124" s="25">
        <v>0.97799999999999998</v>
      </c>
      <c r="F124" s="25">
        <v>0.97299999999999998</v>
      </c>
      <c r="G124" s="25">
        <v>0.97699999999999998</v>
      </c>
      <c r="H124" s="25">
        <v>0.97499999999999998</v>
      </c>
      <c r="I124" s="26">
        <f t="shared" si="21"/>
        <v>0.97579999999999989</v>
      </c>
      <c r="J124" s="25">
        <v>0.98</v>
      </c>
      <c r="K124" s="25">
        <v>0.98399999999999999</v>
      </c>
      <c r="L124" s="25">
        <v>0.98</v>
      </c>
      <c r="M124" s="25">
        <v>0.98499999999999999</v>
      </c>
      <c r="N124" s="25">
        <v>0.98299999999999998</v>
      </c>
      <c r="O124" s="26">
        <f t="shared" si="22"/>
        <v>0.98239999999999994</v>
      </c>
      <c r="P124" s="25">
        <v>0.69399999999999995</v>
      </c>
      <c r="Q124" s="25">
        <v>0.73399999999999999</v>
      </c>
      <c r="R124" s="25">
        <v>0.69299999999999995</v>
      </c>
      <c r="S124" s="25">
        <v>0.69799999999999995</v>
      </c>
      <c r="T124" s="25">
        <v>0.69799999999999995</v>
      </c>
      <c r="U124" s="26">
        <f t="shared" si="23"/>
        <v>0.70340000000000003</v>
      </c>
      <c r="V124" s="25">
        <v>0.74299999999999999</v>
      </c>
      <c r="W124" s="25">
        <v>0.77200000000000002</v>
      </c>
      <c r="X124" s="25">
        <v>0.74299999999999999</v>
      </c>
      <c r="Y124" s="25">
        <v>0.74199999999999999</v>
      </c>
      <c r="Z124" s="25">
        <v>0.74199999999999999</v>
      </c>
      <c r="AA124" s="26">
        <f t="shared" si="24"/>
        <v>0.74839999999999995</v>
      </c>
      <c r="AB124" s="25">
        <v>0.74299999999999999</v>
      </c>
      <c r="AC124" s="25">
        <v>0.77200000000000002</v>
      </c>
      <c r="AD124" s="25">
        <v>0.74299999999999999</v>
      </c>
      <c r="AE124" s="25">
        <v>0.74199999999999999</v>
      </c>
      <c r="AF124" s="25">
        <v>0.74199999999999999</v>
      </c>
      <c r="AG124" s="26">
        <f t="shared" si="25"/>
        <v>0.74839999999999995</v>
      </c>
      <c r="AH124" s="25">
        <f t="shared" si="26"/>
        <v>0</v>
      </c>
      <c r="AI124" s="25">
        <f t="shared" si="27"/>
        <v>-0.23399999999999999</v>
      </c>
    </row>
    <row r="125" spans="1:35" x14ac:dyDescent="0.25">
      <c r="A125" s="24" t="s">
        <v>131</v>
      </c>
      <c r="B125" s="25" t="s">
        <v>125</v>
      </c>
      <c r="C125" s="25">
        <v>0.2</v>
      </c>
      <c r="D125" s="25">
        <v>0.96099999999999997</v>
      </c>
      <c r="E125" s="25">
        <v>0.98</v>
      </c>
      <c r="F125" s="25">
        <v>0.97699999999999998</v>
      </c>
      <c r="G125" s="25">
        <v>0.97499999999999998</v>
      </c>
      <c r="H125" s="25">
        <v>0.97299999999999998</v>
      </c>
      <c r="I125" s="26">
        <f t="shared" si="21"/>
        <v>0.97319999999999995</v>
      </c>
      <c r="J125" s="25">
        <v>0.96399999999999997</v>
      </c>
      <c r="K125" s="25">
        <v>0.98</v>
      </c>
      <c r="L125" s="25">
        <v>0.97799999999999998</v>
      </c>
      <c r="M125" s="25">
        <v>0.97399999999999998</v>
      </c>
      <c r="N125" s="25">
        <v>0.97499999999999998</v>
      </c>
      <c r="O125" s="26">
        <f t="shared" si="22"/>
        <v>0.97419999999999995</v>
      </c>
      <c r="P125" s="25">
        <v>0.90100000000000002</v>
      </c>
      <c r="Q125" s="25">
        <v>0.84099999999999997</v>
      </c>
      <c r="R125" s="25">
        <v>0.90700000000000003</v>
      </c>
      <c r="S125" s="25">
        <v>0.88900000000000001</v>
      </c>
      <c r="T125" s="25">
        <v>0.88</v>
      </c>
      <c r="U125" s="26">
        <f t="shared" si="23"/>
        <v>0.88360000000000005</v>
      </c>
      <c r="V125" s="25">
        <v>0.93400000000000005</v>
      </c>
      <c r="W125" s="25">
        <v>0.86799999999999999</v>
      </c>
      <c r="X125" s="25">
        <v>0.93</v>
      </c>
      <c r="Y125" s="25">
        <v>0.93</v>
      </c>
      <c r="Z125" s="25">
        <v>0.90900000000000003</v>
      </c>
      <c r="AA125" s="26">
        <f t="shared" si="24"/>
        <v>0.91420000000000012</v>
      </c>
      <c r="AB125" s="25">
        <v>0.93400000000000005</v>
      </c>
      <c r="AC125" s="25">
        <v>0.86799999999999999</v>
      </c>
      <c r="AD125" s="25">
        <v>0.93</v>
      </c>
      <c r="AE125" s="25">
        <v>0.93</v>
      </c>
      <c r="AF125" s="25">
        <v>0.90900000000000003</v>
      </c>
      <c r="AG125" s="26">
        <f t="shared" si="25"/>
        <v>0.91420000000000012</v>
      </c>
      <c r="AH125" s="25">
        <f t="shared" si="26"/>
        <v>0</v>
      </c>
      <c r="AI125" s="25">
        <f t="shared" si="27"/>
        <v>-5.9999999999999831E-2</v>
      </c>
    </row>
    <row r="126" spans="1:35" x14ac:dyDescent="0.25">
      <c r="A126" s="24" t="s">
        <v>131</v>
      </c>
      <c r="B126" s="25" t="s">
        <v>125</v>
      </c>
      <c r="C126" s="25">
        <v>0.3</v>
      </c>
      <c r="D126" s="25">
        <v>0.96899999999999997</v>
      </c>
      <c r="E126" s="25">
        <v>0.97</v>
      </c>
      <c r="F126" s="25">
        <v>0.97099999999999997</v>
      </c>
      <c r="G126" s="25">
        <v>0.96899999999999997</v>
      </c>
      <c r="H126" s="25">
        <v>0.95599999999999996</v>
      </c>
      <c r="I126" s="26">
        <f t="shared" si="21"/>
        <v>0.96699999999999997</v>
      </c>
      <c r="J126" s="25">
        <v>0.97199999999999998</v>
      </c>
      <c r="K126" s="25">
        <v>0.97399999999999998</v>
      </c>
      <c r="L126" s="25">
        <v>0.97499999999999998</v>
      </c>
      <c r="M126" s="25">
        <v>0.96899999999999997</v>
      </c>
      <c r="N126" s="25">
        <v>0.96699999999999997</v>
      </c>
      <c r="O126" s="26">
        <f t="shared" si="22"/>
        <v>0.97139999999999982</v>
      </c>
      <c r="P126" s="25">
        <v>0.93600000000000005</v>
      </c>
      <c r="Q126" s="25">
        <v>0.92400000000000004</v>
      </c>
      <c r="R126" s="25">
        <v>0.96699999999999997</v>
      </c>
      <c r="S126" s="25">
        <v>0.94799999999999995</v>
      </c>
      <c r="T126" s="25">
        <v>0.94</v>
      </c>
      <c r="U126" s="26">
        <f t="shared" si="23"/>
        <v>0.94299999999999995</v>
      </c>
      <c r="V126" s="25">
        <v>0.95</v>
      </c>
      <c r="W126" s="25">
        <v>0.93200000000000005</v>
      </c>
      <c r="X126" s="25">
        <v>0.96199999999999997</v>
      </c>
      <c r="Y126" s="25">
        <v>0.95599999999999996</v>
      </c>
      <c r="Z126" s="25">
        <v>0.96</v>
      </c>
      <c r="AA126" s="26">
        <f t="shared" si="24"/>
        <v>0.95199999999999996</v>
      </c>
      <c r="AB126" s="25">
        <v>0.95</v>
      </c>
      <c r="AC126" s="25">
        <v>0.93200000000000005</v>
      </c>
      <c r="AD126" s="25">
        <v>0.96199999999999997</v>
      </c>
      <c r="AE126" s="25">
        <v>0.95599999999999996</v>
      </c>
      <c r="AF126" s="25">
        <v>0.96</v>
      </c>
      <c r="AG126" s="26">
        <f t="shared" si="25"/>
        <v>0.95199999999999996</v>
      </c>
      <c r="AH126" s="25">
        <f t="shared" si="26"/>
        <v>0</v>
      </c>
      <c r="AI126" s="25">
        <f t="shared" si="27"/>
        <v>-1.9399999999999862E-2</v>
      </c>
    </row>
    <row r="127" spans="1:35" x14ac:dyDescent="0.25">
      <c r="A127" s="24" t="s">
        <v>131</v>
      </c>
      <c r="B127" s="25" t="s">
        <v>125</v>
      </c>
      <c r="C127" s="25">
        <v>0.4</v>
      </c>
      <c r="D127" s="25">
        <v>0.94</v>
      </c>
      <c r="E127" s="25">
        <v>0.89100000000000001</v>
      </c>
      <c r="F127" s="25">
        <v>0.94299999999999995</v>
      </c>
      <c r="G127" s="25">
        <v>0.94499999999999995</v>
      </c>
      <c r="H127" s="25">
        <v>0.94899999999999995</v>
      </c>
      <c r="I127" s="26">
        <f t="shared" si="21"/>
        <v>0.93359999999999999</v>
      </c>
      <c r="J127" s="25">
        <v>0.95</v>
      </c>
      <c r="K127" s="25">
        <v>0.92600000000000005</v>
      </c>
      <c r="L127" s="25">
        <v>0.95599999999999996</v>
      </c>
      <c r="M127" s="25">
        <v>0.95199999999999996</v>
      </c>
      <c r="N127" s="25">
        <v>0.96899999999999997</v>
      </c>
      <c r="O127" s="26">
        <f t="shared" si="22"/>
        <v>0.9506</v>
      </c>
      <c r="P127" s="25">
        <v>0.89</v>
      </c>
      <c r="Q127" s="25">
        <v>0.81599999999999995</v>
      </c>
      <c r="R127" s="25">
        <v>0.85899999999999999</v>
      </c>
      <c r="S127" s="25">
        <v>0.93400000000000005</v>
      </c>
      <c r="T127" s="25">
        <v>0.91800000000000004</v>
      </c>
      <c r="U127" s="26">
        <f t="shared" si="23"/>
        <v>0.88339999999999996</v>
      </c>
      <c r="V127" s="25">
        <v>0.89600000000000002</v>
      </c>
      <c r="W127" s="25">
        <v>0.879</v>
      </c>
      <c r="X127" s="25">
        <v>0.88100000000000001</v>
      </c>
      <c r="Y127" s="25">
        <v>0.92300000000000004</v>
      </c>
      <c r="Z127" s="25">
        <v>0.876</v>
      </c>
      <c r="AA127" s="26">
        <f t="shared" si="24"/>
        <v>0.89100000000000001</v>
      </c>
      <c r="AB127" s="25">
        <v>0.89600000000000002</v>
      </c>
      <c r="AC127" s="25">
        <v>0.879</v>
      </c>
      <c r="AD127" s="25">
        <v>0.88100000000000001</v>
      </c>
      <c r="AE127" s="25">
        <v>0.92300000000000004</v>
      </c>
      <c r="AF127" s="25">
        <v>0.876</v>
      </c>
      <c r="AG127" s="26">
        <f t="shared" si="25"/>
        <v>0.89100000000000001</v>
      </c>
      <c r="AH127" s="25">
        <f t="shared" si="26"/>
        <v>0</v>
      </c>
      <c r="AI127" s="25">
        <f t="shared" si="27"/>
        <v>-5.9599999999999986E-2</v>
      </c>
    </row>
    <row r="128" spans="1:35" x14ac:dyDescent="0.25">
      <c r="A128" s="24" t="s">
        <v>131</v>
      </c>
      <c r="B128" s="25" t="s">
        <v>125</v>
      </c>
      <c r="C128" s="25">
        <v>0.5</v>
      </c>
      <c r="D128" s="25">
        <v>0.42299999999999999</v>
      </c>
      <c r="E128" s="25">
        <v>0.47399999999999998</v>
      </c>
      <c r="F128" s="25">
        <v>0.42</v>
      </c>
      <c r="G128" s="25">
        <v>0.5</v>
      </c>
      <c r="H128" s="25">
        <v>0.38700000000000001</v>
      </c>
      <c r="I128" s="26">
        <f t="shared" si="21"/>
        <v>0.44079999999999997</v>
      </c>
      <c r="J128" s="25">
        <v>0.42799999999999999</v>
      </c>
      <c r="K128" s="25">
        <v>0.44500000000000001</v>
      </c>
      <c r="L128" s="25">
        <v>0.46</v>
      </c>
      <c r="M128" s="25">
        <v>0.498</v>
      </c>
      <c r="N128" s="25">
        <v>0.38300000000000001</v>
      </c>
      <c r="O128" s="26">
        <f t="shared" si="22"/>
        <v>0.44279999999999997</v>
      </c>
      <c r="P128" s="25">
        <v>0.54100000000000004</v>
      </c>
      <c r="Q128" s="25">
        <v>0.57399999999999995</v>
      </c>
      <c r="R128" s="25">
        <v>0.41599999999999998</v>
      </c>
      <c r="S128" s="25">
        <v>0.47499999999999998</v>
      </c>
      <c r="T128" s="25">
        <v>0.43099999999999999</v>
      </c>
      <c r="U128" s="26">
        <f t="shared" si="23"/>
        <v>0.48739999999999994</v>
      </c>
      <c r="V128" s="25">
        <v>0.56599999999999995</v>
      </c>
      <c r="W128" s="25">
        <v>0.55200000000000005</v>
      </c>
      <c r="X128" s="25">
        <v>0.47099999999999997</v>
      </c>
      <c r="Y128" s="25">
        <v>0.48</v>
      </c>
      <c r="Z128" s="25">
        <v>0.505</v>
      </c>
      <c r="AA128" s="26">
        <f t="shared" si="24"/>
        <v>0.51479999999999992</v>
      </c>
      <c r="AB128" s="25">
        <v>0.56599999999999995</v>
      </c>
      <c r="AC128" s="25">
        <v>0.55200000000000005</v>
      </c>
      <c r="AD128" s="25">
        <v>0.47099999999999997</v>
      </c>
      <c r="AE128" s="25">
        <v>0.48</v>
      </c>
      <c r="AF128" s="25">
        <v>0.505</v>
      </c>
      <c r="AG128" s="26">
        <f t="shared" si="25"/>
        <v>0.51479999999999992</v>
      </c>
      <c r="AH128" s="25">
        <f t="shared" si="26"/>
        <v>0</v>
      </c>
      <c r="AI128" s="25">
        <f t="shared" si="27"/>
        <v>7.1999999999999953E-2</v>
      </c>
    </row>
    <row r="129" spans="1:35" x14ac:dyDescent="0.25">
      <c r="A129" s="24" t="s">
        <v>131</v>
      </c>
      <c r="B129" s="25" t="s">
        <v>126</v>
      </c>
      <c r="C129" s="25">
        <v>0.2</v>
      </c>
      <c r="D129" s="25">
        <v>0.94499999999999995</v>
      </c>
      <c r="E129" s="25">
        <v>0.94799999999999995</v>
      </c>
      <c r="F129" s="25">
        <v>0.91800000000000004</v>
      </c>
      <c r="G129" s="25">
        <v>0.94199999999999995</v>
      </c>
      <c r="H129" s="25">
        <v>0.95299999999999996</v>
      </c>
      <c r="I129" s="26">
        <f t="shared" si="21"/>
        <v>0.94120000000000004</v>
      </c>
      <c r="J129" s="25">
        <v>0.94399999999999995</v>
      </c>
      <c r="K129" s="25">
        <v>0.94599999999999995</v>
      </c>
      <c r="L129" s="25">
        <v>0.95299999999999996</v>
      </c>
      <c r="M129" s="25">
        <v>0.94199999999999995</v>
      </c>
      <c r="N129" s="25">
        <v>0.94599999999999995</v>
      </c>
      <c r="O129" s="26">
        <f t="shared" si="22"/>
        <v>0.94619999999999993</v>
      </c>
      <c r="P129" s="25">
        <v>0.76500000000000001</v>
      </c>
      <c r="Q129" s="25">
        <v>0.80200000000000005</v>
      </c>
      <c r="R129" s="25">
        <v>0.77700000000000002</v>
      </c>
      <c r="S129" s="25">
        <v>0.78200000000000003</v>
      </c>
      <c r="T129" s="25">
        <v>0.76</v>
      </c>
      <c r="U129" s="26">
        <f t="shared" si="23"/>
        <v>0.7772</v>
      </c>
      <c r="V129" s="25">
        <v>0.80500000000000005</v>
      </c>
      <c r="W129" s="25">
        <v>0.84199999999999997</v>
      </c>
      <c r="X129" s="25">
        <v>0.81299999999999994</v>
      </c>
      <c r="Y129" s="25">
        <v>0.82599999999999996</v>
      </c>
      <c r="Z129" s="25">
        <v>0.80200000000000005</v>
      </c>
      <c r="AA129" s="26">
        <f t="shared" si="24"/>
        <v>0.81759999999999999</v>
      </c>
      <c r="AB129" s="25">
        <v>0.80500000000000005</v>
      </c>
      <c r="AC129" s="25">
        <v>0.84199999999999997</v>
      </c>
      <c r="AD129" s="25">
        <v>0.81299999999999994</v>
      </c>
      <c r="AE129" s="25">
        <v>0.82599999999999996</v>
      </c>
      <c r="AF129" s="25">
        <v>0.80200000000000005</v>
      </c>
      <c r="AG129" s="26">
        <f t="shared" si="25"/>
        <v>0.81759999999999999</v>
      </c>
      <c r="AH129" s="25">
        <f t="shared" si="26"/>
        <v>0</v>
      </c>
      <c r="AI129" s="25">
        <f t="shared" si="27"/>
        <v>-0.12859999999999994</v>
      </c>
    </row>
    <row r="130" spans="1:35" x14ac:dyDescent="0.25">
      <c r="A130" s="24" t="s">
        <v>131</v>
      </c>
      <c r="B130" s="25" t="s">
        <v>126</v>
      </c>
      <c r="C130" s="25">
        <v>0.3</v>
      </c>
      <c r="D130" s="25">
        <v>0.94099999999999995</v>
      </c>
      <c r="E130" s="25">
        <v>0.94</v>
      </c>
      <c r="F130" s="25">
        <v>0.94299999999999995</v>
      </c>
      <c r="G130" s="25">
        <v>0.94499999999999995</v>
      </c>
      <c r="H130" s="25">
        <v>0.92900000000000005</v>
      </c>
      <c r="I130" s="26">
        <f t="shared" si="21"/>
        <v>0.93959999999999988</v>
      </c>
      <c r="J130" s="25">
        <v>0.92500000000000004</v>
      </c>
      <c r="K130" s="25">
        <v>0.93600000000000005</v>
      </c>
      <c r="L130" s="25">
        <v>0.92600000000000005</v>
      </c>
      <c r="M130" s="25">
        <v>0.91400000000000003</v>
      </c>
      <c r="N130" s="25">
        <v>0.91800000000000004</v>
      </c>
      <c r="O130" s="26">
        <f t="shared" si="22"/>
        <v>0.92380000000000018</v>
      </c>
      <c r="P130" s="25"/>
      <c r="Q130" s="25"/>
      <c r="R130" s="25"/>
      <c r="S130" s="25"/>
      <c r="T130" s="25"/>
      <c r="U130" s="26" t="str">
        <f t="shared" si="23"/>
        <v/>
      </c>
      <c r="V130" s="25"/>
      <c r="W130" s="25"/>
      <c r="X130" s="25"/>
      <c r="Y130" s="25"/>
      <c r="Z130" s="25"/>
      <c r="AA130" s="26" t="str">
        <f t="shared" si="24"/>
        <v/>
      </c>
      <c r="AB130" s="25">
        <v>0.83699999999999997</v>
      </c>
      <c r="AC130" s="25">
        <v>0.83699999999999997</v>
      </c>
      <c r="AD130" s="25">
        <v>0.83399999999999996</v>
      </c>
      <c r="AE130" s="25">
        <v>0.83299999999999996</v>
      </c>
      <c r="AF130" s="25">
        <v>0.84299999999999997</v>
      </c>
      <c r="AG130" s="26">
        <f t="shared" si="25"/>
        <v>0.83679999999999999</v>
      </c>
      <c r="AH130" s="25" t="str">
        <f t="shared" si="26"/>
        <v/>
      </c>
      <c r="AI130" s="25">
        <f t="shared" si="27"/>
        <v>-8.7000000000000188E-2</v>
      </c>
    </row>
    <row r="131" spans="1:35" x14ac:dyDescent="0.25">
      <c r="A131" s="24" t="s">
        <v>131</v>
      </c>
      <c r="B131" s="25" t="s">
        <v>126</v>
      </c>
      <c r="C131" s="25">
        <v>0.4</v>
      </c>
      <c r="D131" s="25">
        <v>0.89600000000000002</v>
      </c>
      <c r="E131" s="25">
        <v>0.90800000000000003</v>
      </c>
      <c r="F131" s="25">
        <v>0.89400000000000002</v>
      </c>
      <c r="G131" s="25">
        <v>0.91100000000000003</v>
      </c>
      <c r="H131" s="25">
        <v>0.88100000000000001</v>
      </c>
      <c r="I131" s="26">
        <f t="shared" si="21"/>
        <v>0.89800000000000002</v>
      </c>
      <c r="J131" s="25">
        <v>0.85599999999999998</v>
      </c>
      <c r="K131" s="25">
        <v>0.86099999999999999</v>
      </c>
      <c r="L131" s="25">
        <v>0.85</v>
      </c>
      <c r="M131" s="25">
        <v>0.85199999999999998</v>
      </c>
      <c r="N131" s="25">
        <v>0.84199999999999997</v>
      </c>
      <c r="O131" s="26">
        <f t="shared" si="22"/>
        <v>0.85220000000000007</v>
      </c>
      <c r="P131" s="25"/>
      <c r="Q131" s="25"/>
      <c r="R131" s="25"/>
      <c r="S131" s="25"/>
      <c r="T131" s="25"/>
      <c r="U131" s="26" t="str">
        <f t="shared" si="23"/>
        <v/>
      </c>
      <c r="V131" s="25"/>
      <c r="W131" s="25"/>
      <c r="X131" s="25"/>
      <c r="Y131" s="25"/>
      <c r="Z131" s="25"/>
      <c r="AA131" s="26" t="str">
        <f t="shared" si="24"/>
        <v/>
      </c>
      <c r="AB131" s="25">
        <v>0.83699999999999997</v>
      </c>
      <c r="AC131" s="25">
        <v>0.83699999999999997</v>
      </c>
      <c r="AD131" s="25">
        <v>0.83699999999999997</v>
      </c>
      <c r="AE131" s="25">
        <v>0.83499999999999996</v>
      </c>
      <c r="AF131" s="25">
        <v>0.83399999999999996</v>
      </c>
      <c r="AG131" s="26">
        <f t="shared" si="25"/>
        <v>0.83599999999999997</v>
      </c>
      <c r="AH131" s="25" t="str">
        <f t="shared" si="26"/>
        <v/>
      </c>
      <c r="AI131" s="25">
        <f t="shared" si="27"/>
        <v>-1.6200000000000103E-2</v>
      </c>
    </row>
    <row r="132" spans="1:35" x14ac:dyDescent="0.25">
      <c r="A132" s="24" t="s">
        <v>131</v>
      </c>
      <c r="B132" s="25" t="s">
        <v>126</v>
      </c>
      <c r="C132" s="25">
        <v>0.5</v>
      </c>
      <c r="D132" s="25">
        <v>0.71399999999999997</v>
      </c>
      <c r="E132" s="25">
        <v>0.68899999999999995</v>
      </c>
      <c r="F132" s="25">
        <v>0.72699999999999998</v>
      </c>
      <c r="G132" s="25">
        <v>0.68400000000000005</v>
      </c>
      <c r="H132" s="25">
        <v>0.72399999999999998</v>
      </c>
      <c r="I132" s="26">
        <f t="shared" si="21"/>
        <v>0.70760000000000001</v>
      </c>
      <c r="J132" s="25">
        <v>0.69199999999999995</v>
      </c>
      <c r="K132" s="25">
        <v>0.66600000000000004</v>
      </c>
      <c r="L132" s="25">
        <v>0.71399999999999997</v>
      </c>
      <c r="M132" s="25">
        <v>0.68700000000000006</v>
      </c>
      <c r="N132" s="25">
        <v>0.70099999999999996</v>
      </c>
      <c r="O132" s="26">
        <f t="shared" si="22"/>
        <v>0.69200000000000006</v>
      </c>
      <c r="P132" s="25"/>
      <c r="Q132" s="25"/>
      <c r="R132" s="25"/>
      <c r="S132" s="25"/>
      <c r="T132" s="25"/>
      <c r="U132" s="26" t="str">
        <f t="shared" si="23"/>
        <v/>
      </c>
      <c r="V132" s="25"/>
      <c r="W132" s="25"/>
      <c r="X132" s="25"/>
      <c r="Y132" s="25"/>
      <c r="Z132" s="25"/>
      <c r="AA132" s="26" t="str">
        <f t="shared" si="24"/>
        <v/>
      </c>
      <c r="AB132" s="25">
        <v>0.82699999999999996</v>
      </c>
      <c r="AC132" s="25">
        <v>0.83399999999999996</v>
      </c>
      <c r="AD132" s="25">
        <v>0.83099999999999996</v>
      </c>
      <c r="AE132" s="25">
        <v>0.83499999999999996</v>
      </c>
      <c r="AF132" s="25">
        <v>0.83799999999999997</v>
      </c>
      <c r="AG132" s="26">
        <f t="shared" si="25"/>
        <v>0.83299999999999996</v>
      </c>
      <c r="AH132" s="25" t="str">
        <f t="shared" si="26"/>
        <v/>
      </c>
      <c r="AI132" s="25">
        <f t="shared" si="27"/>
        <v>0.1409999999999999</v>
      </c>
    </row>
    <row r="133" spans="1:35" x14ac:dyDescent="0.25">
      <c r="A133" s="24" t="s">
        <v>131</v>
      </c>
      <c r="B133" s="25" t="s">
        <v>127</v>
      </c>
      <c r="C133" s="25">
        <v>0.2</v>
      </c>
      <c r="D133" s="25">
        <v>0.92</v>
      </c>
      <c r="E133" s="25">
        <v>0.95199999999999996</v>
      </c>
      <c r="F133" s="25">
        <v>0.94499999999999995</v>
      </c>
      <c r="G133" s="25">
        <v>0.93300000000000005</v>
      </c>
      <c r="H133" s="25">
        <v>0.94199999999999995</v>
      </c>
      <c r="I133" s="26">
        <f t="shared" ref="I133:I164" si="28">IFERROR(AVERAGE(D133:H133),"")</f>
        <v>0.93840000000000001</v>
      </c>
      <c r="J133" s="25">
        <v>0.93500000000000005</v>
      </c>
      <c r="K133" s="25">
        <v>0.95399999999999996</v>
      </c>
      <c r="L133" s="25">
        <v>0.94499999999999995</v>
      </c>
      <c r="M133" s="25">
        <v>0.93500000000000005</v>
      </c>
      <c r="N133" s="25">
        <v>0.93100000000000005</v>
      </c>
      <c r="O133" s="26">
        <f t="shared" ref="O133:O164" si="29">IFERROR(AVERAGE(J133:N133),"")</f>
        <v>0.94000000000000006</v>
      </c>
      <c r="P133" s="25"/>
      <c r="Q133" s="25"/>
      <c r="R133" s="25"/>
      <c r="S133" s="25"/>
      <c r="T133" s="25"/>
      <c r="U133" s="26" t="str">
        <f t="shared" ref="U133:U164" si="30">IFERROR(AVERAGE(P133:T133),"")</f>
        <v/>
      </c>
      <c r="V133" s="25"/>
      <c r="W133" s="25"/>
      <c r="X133" s="25"/>
      <c r="Y133" s="25"/>
      <c r="Z133" s="25"/>
      <c r="AA133" s="26" t="str">
        <f t="shared" ref="AA133:AA164" si="31">IFERROR(AVERAGE(V133:Z133),"")</f>
        <v/>
      </c>
      <c r="AB133" s="25">
        <v>0.72199999999999998</v>
      </c>
      <c r="AC133" s="25">
        <v>0.71499999999999997</v>
      </c>
      <c r="AD133" s="25">
        <v>0.71599999999999997</v>
      </c>
      <c r="AE133" s="25">
        <v>0.71</v>
      </c>
      <c r="AF133" s="25">
        <v>0.70699999999999996</v>
      </c>
      <c r="AG133" s="26">
        <f t="shared" ref="AG133:AG164" si="32">IFERROR(AVERAGE(AB133:AF133),"")</f>
        <v>0.71399999999999986</v>
      </c>
      <c r="AH133" s="25" t="str">
        <f t="shared" ref="AH133:AH164" si="33">IFERROR(AG133-AA133,"")</f>
        <v/>
      </c>
      <c r="AI133" s="25">
        <f t="shared" ref="AI133:AI164" si="34">IFERROR(AG133-O133,"")</f>
        <v>-0.2260000000000002</v>
      </c>
    </row>
    <row r="134" spans="1:35" x14ac:dyDescent="0.25">
      <c r="A134" s="24" t="s">
        <v>131</v>
      </c>
      <c r="B134" s="25" t="s">
        <v>127</v>
      </c>
      <c r="C134" s="25">
        <v>0.3</v>
      </c>
      <c r="D134" s="25">
        <v>0.88</v>
      </c>
      <c r="E134" s="25">
        <v>0.873</v>
      </c>
      <c r="F134" s="25">
        <v>0.84699999999999998</v>
      </c>
      <c r="G134" s="25">
        <v>0.86399999999999999</v>
      </c>
      <c r="H134" s="25">
        <v>0.86199999999999999</v>
      </c>
      <c r="I134" s="26">
        <f t="shared" si="28"/>
        <v>0.86519999999999997</v>
      </c>
      <c r="J134" s="25">
        <v>0.88300000000000001</v>
      </c>
      <c r="K134" s="25">
        <v>0.873</v>
      </c>
      <c r="L134" s="25">
        <v>0.85</v>
      </c>
      <c r="M134" s="25">
        <v>0.87</v>
      </c>
      <c r="N134" s="25">
        <v>0.87</v>
      </c>
      <c r="O134" s="26">
        <f t="shared" si="29"/>
        <v>0.86919999999999997</v>
      </c>
      <c r="P134" s="25"/>
      <c r="Q134" s="25"/>
      <c r="R134" s="25"/>
      <c r="S134" s="25"/>
      <c r="T134" s="25"/>
      <c r="U134" s="26" t="str">
        <f t="shared" si="30"/>
        <v/>
      </c>
      <c r="V134" s="25"/>
      <c r="W134" s="25"/>
      <c r="X134" s="25"/>
      <c r="Y134" s="25"/>
      <c r="Z134" s="25"/>
      <c r="AA134" s="26" t="str">
        <f t="shared" si="31"/>
        <v/>
      </c>
      <c r="AB134" s="25">
        <v>0.73299999999999998</v>
      </c>
      <c r="AC134" s="25">
        <v>0.72599999999999998</v>
      </c>
      <c r="AD134" s="25">
        <v>0.74099999999999999</v>
      </c>
      <c r="AE134" s="25">
        <v>0.72399999999999998</v>
      </c>
      <c r="AF134" s="25">
        <v>0.72699999999999998</v>
      </c>
      <c r="AG134" s="26">
        <f t="shared" si="32"/>
        <v>0.73020000000000007</v>
      </c>
      <c r="AH134" s="25" t="str">
        <f t="shared" si="33"/>
        <v/>
      </c>
      <c r="AI134" s="25">
        <f t="shared" si="34"/>
        <v>-0.1389999999999999</v>
      </c>
    </row>
    <row r="135" spans="1:35" x14ac:dyDescent="0.25">
      <c r="A135" s="24" t="s">
        <v>131</v>
      </c>
      <c r="B135" s="25" t="s">
        <v>127</v>
      </c>
      <c r="C135" s="25">
        <v>0.4</v>
      </c>
      <c r="D135" s="25">
        <v>0.88300000000000001</v>
      </c>
      <c r="E135" s="25">
        <v>0.86699999999999999</v>
      </c>
      <c r="F135" s="25">
        <v>0.84599999999999997</v>
      </c>
      <c r="G135" s="25">
        <v>0.85699999999999998</v>
      </c>
      <c r="H135" s="25">
        <v>0.83199999999999996</v>
      </c>
      <c r="I135" s="26">
        <f t="shared" si="28"/>
        <v>0.85699999999999998</v>
      </c>
      <c r="J135" s="25">
        <v>0.88100000000000001</v>
      </c>
      <c r="K135" s="25">
        <v>0.875</v>
      </c>
      <c r="L135" s="25">
        <v>0.87</v>
      </c>
      <c r="M135" s="25">
        <v>0.872</v>
      </c>
      <c r="N135" s="25">
        <v>0.85199999999999998</v>
      </c>
      <c r="O135" s="26">
        <f t="shared" si="29"/>
        <v>0.86999999999999988</v>
      </c>
      <c r="P135" s="25">
        <v>0.66800000000000004</v>
      </c>
      <c r="Q135" s="25">
        <v>0.441</v>
      </c>
      <c r="R135" s="25">
        <v>0.60099999999999998</v>
      </c>
      <c r="S135" s="25">
        <v>0.65200000000000002</v>
      </c>
      <c r="T135" s="25">
        <v>0.64500000000000002</v>
      </c>
      <c r="U135" s="26">
        <f t="shared" si="30"/>
        <v>0.60140000000000005</v>
      </c>
      <c r="V135" s="25">
        <v>0.66700000000000004</v>
      </c>
      <c r="W135" s="25">
        <v>0.59799999999999998</v>
      </c>
      <c r="X135" s="25">
        <v>0.63500000000000001</v>
      </c>
      <c r="Y135" s="25">
        <v>0.68100000000000005</v>
      </c>
      <c r="Z135" s="25">
        <v>0.63600000000000001</v>
      </c>
      <c r="AA135" s="26">
        <f t="shared" si="31"/>
        <v>0.64340000000000008</v>
      </c>
      <c r="AB135" s="25">
        <v>0.71</v>
      </c>
      <c r="AC135" s="25">
        <v>0.68200000000000005</v>
      </c>
      <c r="AD135" s="25">
        <v>0.68500000000000005</v>
      </c>
      <c r="AE135" s="25">
        <v>0.79500000000000004</v>
      </c>
      <c r="AF135" s="25">
        <v>0.76600000000000001</v>
      </c>
      <c r="AG135" s="26">
        <f t="shared" si="32"/>
        <v>0.72760000000000002</v>
      </c>
      <c r="AH135" s="25">
        <f t="shared" si="33"/>
        <v>8.4199999999999942E-2</v>
      </c>
      <c r="AI135" s="25">
        <f t="shared" si="34"/>
        <v>-0.14239999999999986</v>
      </c>
    </row>
    <row r="136" spans="1:35" x14ac:dyDescent="0.25">
      <c r="A136" s="24" t="s">
        <v>131</v>
      </c>
      <c r="B136" s="25" t="s">
        <v>127</v>
      </c>
      <c r="C136" s="25">
        <v>0.5</v>
      </c>
      <c r="D136" s="25">
        <v>0.58299999999999996</v>
      </c>
      <c r="E136" s="25">
        <v>0.41</v>
      </c>
      <c r="F136" s="25">
        <v>0.46400000000000002</v>
      </c>
      <c r="G136" s="25">
        <v>0.41299999999999998</v>
      </c>
      <c r="H136" s="25">
        <v>0.59499999999999997</v>
      </c>
      <c r="I136" s="26">
        <f t="shared" si="28"/>
        <v>0.49299999999999999</v>
      </c>
      <c r="J136" s="25">
        <v>0.59799999999999998</v>
      </c>
      <c r="K136" s="25">
        <v>0.442</v>
      </c>
      <c r="L136" s="25">
        <v>0.434</v>
      </c>
      <c r="M136" s="25">
        <v>0.36699999999999999</v>
      </c>
      <c r="N136" s="25">
        <v>0.57999999999999996</v>
      </c>
      <c r="O136" s="26">
        <f t="shared" si="29"/>
        <v>0.48419999999999996</v>
      </c>
      <c r="P136" s="25">
        <v>0.48199999999999998</v>
      </c>
      <c r="Q136" s="25">
        <v>0.53900000000000003</v>
      </c>
      <c r="R136" s="25">
        <v>0.54100000000000004</v>
      </c>
      <c r="S136" s="25">
        <v>0.38200000000000001</v>
      </c>
      <c r="T136" s="25">
        <v>0.496</v>
      </c>
      <c r="U136" s="26">
        <f t="shared" si="30"/>
        <v>0.48799999999999999</v>
      </c>
      <c r="V136" s="25">
        <v>0.52700000000000002</v>
      </c>
      <c r="W136" s="25">
        <v>0.53600000000000003</v>
      </c>
      <c r="X136" s="25">
        <v>0.497</v>
      </c>
      <c r="Y136" s="25">
        <v>0.42499999999999999</v>
      </c>
      <c r="Z136" s="25">
        <v>0.60199999999999998</v>
      </c>
      <c r="AA136" s="26">
        <f t="shared" si="31"/>
        <v>0.51740000000000008</v>
      </c>
      <c r="AB136" s="25">
        <v>0.52700000000000002</v>
      </c>
      <c r="AC136" s="25">
        <v>0.53600000000000003</v>
      </c>
      <c r="AD136" s="25">
        <v>0.497</v>
      </c>
      <c r="AE136" s="25">
        <v>0.42499999999999999</v>
      </c>
      <c r="AF136" s="25">
        <v>0.60199999999999998</v>
      </c>
      <c r="AG136" s="26">
        <f t="shared" si="32"/>
        <v>0.51740000000000008</v>
      </c>
      <c r="AH136" s="25">
        <f t="shared" si="33"/>
        <v>0</v>
      </c>
      <c r="AI136" s="25">
        <f t="shared" si="34"/>
        <v>3.3200000000000118E-2</v>
      </c>
    </row>
    <row r="137" spans="1:35" x14ac:dyDescent="0.25">
      <c r="A137" s="24" t="s">
        <v>131</v>
      </c>
      <c r="B137" s="25" t="s">
        <v>128</v>
      </c>
      <c r="C137" s="25">
        <v>0.2</v>
      </c>
      <c r="D137" s="25">
        <v>0.85099999999999998</v>
      </c>
      <c r="E137" s="25">
        <v>0.89800000000000002</v>
      </c>
      <c r="F137" s="25">
        <v>0.93100000000000005</v>
      </c>
      <c r="G137" s="25">
        <v>0.84799999999999998</v>
      </c>
      <c r="H137" s="25">
        <v>0.89</v>
      </c>
      <c r="I137" s="26">
        <f t="shared" si="28"/>
        <v>0.88360000000000005</v>
      </c>
      <c r="J137" s="25">
        <v>0.91800000000000004</v>
      </c>
      <c r="K137" s="25">
        <v>0.94299999999999995</v>
      </c>
      <c r="L137" s="25">
        <v>0.95299999999999996</v>
      </c>
      <c r="M137" s="25">
        <v>0.92800000000000005</v>
      </c>
      <c r="N137" s="25">
        <v>0.96099999999999997</v>
      </c>
      <c r="O137" s="26">
        <f t="shared" si="29"/>
        <v>0.9406000000000001</v>
      </c>
      <c r="P137" s="25">
        <v>0.84299999999999997</v>
      </c>
      <c r="Q137" s="25">
        <v>0.79700000000000004</v>
      </c>
      <c r="R137" s="25">
        <v>0.84699999999999998</v>
      </c>
      <c r="S137" s="25">
        <v>0.86399999999999999</v>
      </c>
      <c r="T137" s="25">
        <v>0.86199999999999999</v>
      </c>
      <c r="U137" s="26">
        <f t="shared" si="30"/>
        <v>0.84260000000000002</v>
      </c>
      <c r="V137" s="25">
        <v>0.86299999999999999</v>
      </c>
      <c r="W137" s="25">
        <v>0.76700000000000002</v>
      </c>
      <c r="X137" s="25">
        <v>0.878</v>
      </c>
      <c r="Y137" s="25">
        <v>0.85399999999999998</v>
      </c>
      <c r="Z137" s="25">
        <v>0.876</v>
      </c>
      <c r="AA137" s="26">
        <f t="shared" si="31"/>
        <v>0.84760000000000013</v>
      </c>
      <c r="AB137" s="25">
        <v>0.86299999999999999</v>
      </c>
      <c r="AC137" s="25">
        <v>0.76700000000000002</v>
      </c>
      <c r="AD137" s="25">
        <v>0.878</v>
      </c>
      <c r="AE137" s="25">
        <v>0.85399999999999998</v>
      </c>
      <c r="AF137" s="25">
        <v>0.876</v>
      </c>
      <c r="AG137" s="26">
        <f t="shared" si="32"/>
        <v>0.84760000000000013</v>
      </c>
      <c r="AH137" s="25">
        <f t="shared" si="33"/>
        <v>0</v>
      </c>
      <c r="AI137" s="25">
        <f t="shared" si="34"/>
        <v>-9.2999999999999972E-2</v>
      </c>
    </row>
    <row r="138" spans="1:35" x14ac:dyDescent="0.25">
      <c r="A138" s="24" t="s">
        <v>131</v>
      </c>
      <c r="B138" s="25" t="s">
        <v>128</v>
      </c>
      <c r="C138" s="25">
        <v>0.3</v>
      </c>
      <c r="D138" s="25">
        <v>0.90200000000000002</v>
      </c>
      <c r="E138" s="25">
        <v>0.85599999999999998</v>
      </c>
      <c r="F138" s="25">
        <v>0.85</v>
      </c>
      <c r="G138" s="25">
        <v>0.92500000000000004</v>
      </c>
      <c r="H138" s="25">
        <v>0.95199999999999996</v>
      </c>
      <c r="I138" s="26">
        <f t="shared" si="28"/>
        <v>0.89700000000000002</v>
      </c>
      <c r="J138" s="25">
        <v>0.93700000000000006</v>
      </c>
      <c r="K138" s="25">
        <v>0.92200000000000004</v>
      </c>
      <c r="L138" s="25">
        <v>0.93700000000000006</v>
      </c>
      <c r="M138" s="25">
        <v>0.96799999999999997</v>
      </c>
      <c r="N138" s="25">
        <v>0.96899999999999997</v>
      </c>
      <c r="O138" s="26">
        <f t="shared" si="29"/>
        <v>0.94660000000000011</v>
      </c>
      <c r="P138" s="25">
        <v>0.78800000000000003</v>
      </c>
      <c r="Q138" s="25">
        <v>0.69499999999999995</v>
      </c>
      <c r="R138" s="25">
        <v>0.67100000000000004</v>
      </c>
      <c r="S138" s="25">
        <v>0.59699999999999998</v>
      </c>
      <c r="T138" s="25">
        <v>0.69499999999999995</v>
      </c>
      <c r="U138" s="26">
        <f t="shared" si="30"/>
        <v>0.68919999999999992</v>
      </c>
      <c r="V138" s="25">
        <v>0.76900000000000002</v>
      </c>
      <c r="W138" s="25">
        <v>0.71099999999999997</v>
      </c>
      <c r="X138" s="25">
        <v>0.63400000000000001</v>
      </c>
      <c r="Y138" s="25">
        <v>0.64700000000000002</v>
      </c>
      <c r="Z138" s="25">
        <v>0.67200000000000004</v>
      </c>
      <c r="AA138" s="26">
        <f t="shared" si="31"/>
        <v>0.6866000000000001</v>
      </c>
      <c r="AB138" s="25">
        <v>0.76900000000000002</v>
      </c>
      <c r="AC138" s="25">
        <v>0.71099999999999997</v>
      </c>
      <c r="AD138" s="25">
        <v>0.63400000000000001</v>
      </c>
      <c r="AE138" s="25">
        <v>0.64700000000000002</v>
      </c>
      <c r="AF138" s="25">
        <v>0.67200000000000004</v>
      </c>
      <c r="AG138" s="26">
        <f t="shared" si="32"/>
        <v>0.6866000000000001</v>
      </c>
      <c r="AH138" s="25">
        <f t="shared" si="33"/>
        <v>0</v>
      </c>
      <c r="AI138" s="25">
        <f t="shared" si="34"/>
        <v>-0.26</v>
      </c>
    </row>
    <row r="139" spans="1:35" x14ac:dyDescent="0.25">
      <c r="A139" s="24" t="s">
        <v>131</v>
      </c>
      <c r="B139" s="25" t="s">
        <v>128</v>
      </c>
      <c r="C139" s="25">
        <v>0.4</v>
      </c>
      <c r="D139" s="25">
        <v>0.79700000000000004</v>
      </c>
      <c r="E139" s="25">
        <v>0.73799999999999999</v>
      </c>
      <c r="F139" s="25">
        <v>0.81799999999999995</v>
      </c>
      <c r="G139" s="25">
        <v>0.88300000000000001</v>
      </c>
      <c r="H139" s="25">
        <v>0.82299999999999995</v>
      </c>
      <c r="I139" s="26">
        <f t="shared" si="28"/>
        <v>0.81180000000000008</v>
      </c>
      <c r="J139" s="25">
        <v>0.876</v>
      </c>
      <c r="K139" s="25">
        <v>0.81100000000000005</v>
      </c>
      <c r="L139" s="25">
        <v>0.85399999999999998</v>
      </c>
      <c r="M139" s="25">
        <v>0.94599999999999995</v>
      </c>
      <c r="N139" s="25">
        <v>0.90500000000000003</v>
      </c>
      <c r="O139" s="26">
        <f t="shared" si="29"/>
        <v>0.87840000000000007</v>
      </c>
      <c r="P139" s="25">
        <v>0.68400000000000005</v>
      </c>
      <c r="Q139" s="25">
        <v>0.56799999999999995</v>
      </c>
      <c r="R139" s="25">
        <v>0.79100000000000004</v>
      </c>
      <c r="S139" s="25">
        <v>0.76500000000000001</v>
      </c>
      <c r="T139" s="25">
        <v>0.53700000000000003</v>
      </c>
      <c r="U139" s="26">
        <f t="shared" si="30"/>
        <v>0.66900000000000004</v>
      </c>
      <c r="V139" s="25">
        <v>0.68200000000000005</v>
      </c>
      <c r="W139" s="25">
        <v>0.65700000000000003</v>
      </c>
      <c r="X139" s="25">
        <v>0.82099999999999995</v>
      </c>
      <c r="Y139" s="25">
        <v>0.84799999999999998</v>
      </c>
      <c r="Z139" s="25">
        <v>0.59599999999999997</v>
      </c>
      <c r="AA139" s="26">
        <f t="shared" si="31"/>
        <v>0.7208</v>
      </c>
      <c r="AB139" s="25">
        <v>0.68200000000000005</v>
      </c>
      <c r="AC139" s="25">
        <v>0.65700000000000003</v>
      </c>
      <c r="AD139" s="25">
        <v>0.82099999999999995</v>
      </c>
      <c r="AE139" s="25">
        <v>0.84799999999999998</v>
      </c>
      <c r="AF139" s="25">
        <v>0.59599999999999997</v>
      </c>
      <c r="AG139" s="26">
        <f t="shared" si="32"/>
        <v>0.7208</v>
      </c>
      <c r="AH139" s="25">
        <f t="shared" si="33"/>
        <v>0</v>
      </c>
      <c r="AI139" s="25">
        <f t="shared" si="34"/>
        <v>-0.15760000000000007</v>
      </c>
    </row>
    <row r="140" spans="1:35" x14ac:dyDescent="0.25">
      <c r="A140" s="24" t="s">
        <v>131</v>
      </c>
      <c r="B140" s="25" t="s">
        <v>128</v>
      </c>
      <c r="C140" s="25">
        <v>0.5</v>
      </c>
      <c r="D140" s="25">
        <v>0.438</v>
      </c>
      <c r="E140" s="25">
        <v>0.42</v>
      </c>
      <c r="F140" s="25">
        <v>0.52200000000000002</v>
      </c>
      <c r="G140" s="25">
        <v>0.52600000000000002</v>
      </c>
      <c r="H140" s="25">
        <v>0.42099999999999999</v>
      </c>
      <c r="I140" s="26">
        <f t="shared" si="28"/>
        <v>0.46539999999999998</v>
      </c>
      <c r="J140" s="25">
        <v>0.44500000000000001</v>
      </c>
      <c r="K140" s="25">
        <v>0.434</v>
      </c>
      <c r="L140" s="25">
        <v>0.49299999999999999</v>
      </c>
      <c r="M140" s="25">
        <v>0.53400000000000003</v>
      </c>
      <c r="N140" s="25">
        <v>0.42899999999999999</v>
      </c>
      <c r="O140" s="26">
        <f t="shared" si="29"/>
        <v>0.46699999999999997</v>
      </c>
      <c r="P140" s="25">
        <v>0.51200000000000001</v>
      </c>
      <c r="Q140" s="25">
        <v>0.51100000000000001</v>
      </c>
      <c r="R140" s="25">
        <v>0.54300000000000004</v>
      </c>
      <c r="S140" s="25">
        <v>0.47899999999999998</v>
      </c>
      <c r="T140" s="25">
        <v>0.54900000000000004</v>
      </c>
      <c r="U140" s="26">
        <f t="shared" si="30"/>
        <v>0.51880000000000004</v>
      </c>
      <c r="V140" s="25">
        <v>0.48</v>
      </c>
      <c r="W140" s="25">
        <v>0.52500000000000002</v>
      </c>
      <c r="X140" s="25">
        <v>0.47199999999999998</v>
      </c>
      <c r="Y140" s="25">
        <v>0.442</v>
      </c>
      <c r="Z140" s="25">
        <v>0.54900000000000004</v>
      </c>
      <c r="AA140" s="26">
        <f t="shared" si="31"/>
        <v>0.49359999999999998</v>
      </c>
      <c r="AB140" s="25">
        <v>0.48</v>
      </c>
      <c r="AC140" s="25">
        <v>0.52500000000000002</v>
      </c>
      <c r="AD140" s="25">
        <v>0.47199999999999998</v>
      </c>
      <c r="AE140" s="25">
        <v>0.442</v>
      </c>
      <c r="AF140" s="25">
        <v>0.54900000000000004</v>
      </c>
      <c r="AG140" s="26">
        <f t="shared" si="32"/>
        <v>0.49359999999999998</v>
      </c>
      <c r="AH140" s="25">
        <f t="shared" si="33"/>
        <v>0</v>
      </c>
      <c r="AI140" s="25">
        <f t="shared" si="34"/>
        <v>2.6600000000000013E-2</v>
      </c>
    </row>
    <row r="141" spans="1:35" x14ac:dyDescent="0.25">
      <c r="A141" s="24" t="s">
        <v>129</v>
      </c>
      <c r="B141" s="25" t="s">
        <v>124</v>
      </c>
      <c r="C141" s="25">
        <v>0</v>
      </c>
      <c r="D141" s="25">
        <v>0.83199999999999996</v>
      </c>
      <c r="E141" s="25">
        <v>0.81</v>
      </c>
      <c r="F141" s="25">
        <v>0.81899999999999995</v>
      </c>
      <c r="G141" s="25">
        <v>0.81399999999999995</v>
      </c>
      <c r="H141" s="25">
        <v>0.84099999999999997</v>
      </c>
      <c r="I141" s="26">
        <f t="shared" si="28"/>
        <v>0.82319999999999993</v>
      </c>
      <c r="J141" s="25">
        <v>0.83</v>
      </c>
      <c r="K141" s="25">
        <v>0.82499999999999996</v>
      </c>
      <c r="L141" s="25">
        <v>0.82199999999999995</v>
      </c>
      <c r="M141" s="25">
        <v>0.83299999999999996</v>
      </c>
      <c r="N141" s="25">
        <v>0.83499999999999996</v>
      </c>
      <c r="O141" s="26">
        <f t="shared" si="29"/>
        <v>0.82899999999999996</v>
      </c>
      <c r="P141" s="25">
        <v>0.85499999999999998</v>
      </c>
      <c r="Q141" s="25">
        <v>0.83</v>
      </c>
      <c r="R141" s="25">
        <v>0.84099999999999997</v>
      </c>
      <c r="S141" s="25">
        <v>0.83799999999999997</v>
      </c>
      <c r="T141" s="25">
        <v>0.85199999999999998</v>
      </c>
      <c r="U141" s="26">
        <f t="shared" si="30"/>
        <v>0.84320000000000006</v>
      </c>
      <c r="V141" s="25">
        <v>0.81899999999999995</v>
      </c>
      <c r="W141" s="25">
        <v>0.79400000000000004</v>
      </c>
      <c r="X141" s="25">
        <v>0.78600000000000003</v>
      </c>
      <c r="Y141" s="25">
        <v>0.79900000000000004</v>
      </c>
      <c r="Z141" s="25">
        <v>0.80600000000000005</v>
      </c>
      <c r="AA141" s="26">
        <f t="shared" si="31"/>
        <v>0.80079999999999996</v>
      </c>
      <c r="AB141" s="25">
        <v>0.81899999999999995</v>
      </c>
      <c r="AC141" s="25">
        <v>0.79400000000000004</v>
      </c>
      <c r="AD141" s="25">
        <v>0.78600000000000003</v>
      </c>
      <c r="AE141" s="25">
        <v>0.79900000000000004</v>
      </c>
      <c r="AF141" s="25">
        <v>0.80600000000000005</v>
      </c>
      <c r="AG141" s="26">
        <f t="shared" si="32"/>
        <v>0.80079999999999996</v>
      </c>
      <c r="AH141" s="25">
        <f t="shared" si="33"/>
        <v>0</v>
      </c>
      <c r="AI141" s="25">
        <f t="shared" si="34"/>
        <v>-2.8200000000000003E-2</v>
      </c>
    </row>
    <row r="142" spans="1:35" x14ac:dyDescent="0.25">
      <c r="A142" s="24" t="s">
        <v>129</v>
      </c>
      <c r="B142" s="25" t="s">
        <v>125</v>
      </c>
      <c r="C142" s="25">
        <v>0.2</v>
      </c>
      <c r="D142" s="25">
        <v>0.79700000000000004</v>
      </c>
      <c r="E142" s="25">
        <v>0.78600000000000003</v>
      </c>
      <c r="F142" s="25">
        <v>0.76700000000000002</v>
      </c>
      <c r="G142" s="25">
        <v>0.78600000000000003</v>
      </c>
      <c r="H142" s="25">
        <v>0.79</v>
      </c>
      <c r="I142" s="26">
        <f t="shared" si="28"/>
        <v>0.78520000000000001</v>
      </c>
      <c r="J142" s="25">
        <v>0.79100000000000004</v>
      </c>
      <c r="K142" s="25">
        <v>0.751</v>
      </c>
      <c r="L142" s="25">
        <v>0.752</v>
      </c>
      <c r="M142" s="25">
        <v>0.79300000000000004</v>
      </c>
      <c r="N142" s="25">
        <v>0.80400000000000005</v>
      </c>
      <c r="O142" s="26">
        <f t="shared" si="29"/>
        <v>0.7782</v>
      </c>
      <c r="P142" s="25">
        <v>0.85199999999999998</v>
      </c>
      <c r="Q142" s="25">
        <v>0.83</v>
      </c>
      <c r="R142" s="25">
        <v>0.84499999999999997</v>
      </c>
      <c r="S142" s="25">
        <v>0.83799999999999997</v>
      </c>
      <c r="T142" s="25">
        <v>0.83199999999999996</v>
      </c>
      <c r="U142" s="26">
        <f t="shared" si="30"/>
        <v>0.83940000000000003</v>
      </c>
      <c r="V142" s="25">
        <v>0.81599999999999995</v>
      </c>
      <c r="W142" s="25">
        <v>0.79400000000000004</v>
      </c>
      <c r="X142" s="25">
        <v>0.79100000000000004</v>
      </c>
      <c r="Y142" s="25">
        <v>0.79900000000000004</v>
      </c>
      <c r="Z142" s="25">
        <v>0.79</v>
      </c>
      <c r="AA142" s="26">
        <f t="shared" si="31"/>
        <v>0.79799999999999993</v>
      </c>
      <c r="AB142" s="25">
        <v>0.81599999999999995</v>
      </c>
      <c r="AC142" s="25">
        <v>0.79400000000000004</v>
      </c>
      <c r="AD142" s="25">
        <v>0.79100000000000004</v>
      </c>
      <c r="AE142" s="25">
        <v>0.79900000000000004</v>
      </c>
      <c r="AF142" s="25">
        <v>0.79</v>
      </c>
      <c r="AG142" s="26">
        <f t="shared" si="32"/>
        <v>0.79799999999999993</v>
      </c>
      <c r="AH142" s="25">
        <f t="shared" si="33"/>
        <v>0</v>
      </c>
      <c r="AI142" s="25">
        <f t="shared" si="34"/>
        <v>1.9799999999999929E-2</v>
      </c>
    </row>
    <row r="143" spans="1:35" x14ac:dyDescent="0.25">
      <c r="A143" s="24" t="s">
        <v>129</v>
      </c>
      <c r="B143" s="25" t="s">
        <v>125</v>
      </c>
      <c r="C143" s="25">
        <v>0.3</v>
      </c>
      <c r="D143" s="25">
        <v>0.73799999999999999</v>
      </c>
      <c r="E143" s="25">
        <v>0.77500000000000002</v>
      </c>
      <c r="F143" s="25">
        <v>0.70899999999999996</v>
      </c>
      <c r="G143" s="25">
        <v>0.69399999999999995</v>
      </c>
      <c r="H143" s="25">
        <v>0.77800000000000002</v>
      </c>
      <c r="I143" s="26">
        <f t="shared" si="28"/>
        <v>0.73880000000000001</v>
      </c>
      <c r="J143" s="25">
        <v>0.748</v>
      </c>
      <c r="K143" s="25">
        <v>0.751</v>
      </c>
      <c r="L143" s="25">
        <v>0.72299999999999998</v>
      </c>
      <c r="M143" s="25">
        <v>0.70299999999999996</v>
      </c>
      <c r="N143" s="25">
        <v>0.73299999999999998</v>
      </c>
      <c r="O143" s="26">
        <f t="shared" si="29"/>
        <v>0.73160000000000003</v>
      </c>
      <c r="P143" s="25">
        <v>0.751</v>
      </c>
      <c r="Q143" s="25">
        <v>0.81599999999999995</v>
      </c>
      <c r="R143" s="25">
        <v>0.78</v>
      </c>
      <c r="S143" s="25">
        <v>0.74199999999999999</v>
      </c>
      <c r="T143" s="25">
        <v>0.80900000000000005</v>
      </c>
      <c r="U143" s="26">
        <f t="shared" si="30"/>
        <v>0.77960000000000007</v>
      </c>
      <c r="V143" s="25">
        <v>0.71299999999999997</v>
      </c>
      <c r="W143" s="25">
        <v>0.755</v>
      </c>
      <c r="X143" s="25">
        <v>0.75800000000000001</v>
      </c>
      <c r="Y143" s="25">
        <v>0.72899999999999998</v>
      </c>
      <c r="Z143" s="25">
        <v>0.7</v>
      </c>
      <c r="AA143" s="26">
        <f t="shared" si="31"/>
        <v>0.73100000000000009</v>
      </c>
      <c r="AB143" s="25">
        <v>0.71299999999999997</v>
      </c>
      <c r="AC143" s="25">
        <v>0.755</v>
      </c>
      <c r="AD143" s="25">
        <v>0.75800000000000001</v>
      </c>
      <c r="AE143" s="25">
        <v>0.72899999999999998</v>
      </c>
      <c r="AF143" s="25">
        <v>0.7</v>
      </c>
      <c r="AG143" s="26">
        <f t="shared" si="32"/>
        <v>0.73100000000000009</v>
      </c>
      <c r="AH143" s="25">
        <f t="shared" si="33"/>
        <v>0</v>
      </c>
      <c r="AI143" s="25">
        <f t="shared" si="34"/>
        <v>-5.9999999999993392E-4</v>
      </c>
    </row>
    <row r="144" spans="1:35" x14ac:dyDescent="0.25">
      <c r="A144" s="24" t="s">
        <v>129</v>
      </c>
      <c r="B144" s="25" t="s">
        <v>125</v>
      </c>
      <c r="C144" s="25">
        <v>0.4</v>
      </c>
      <c r="D144" s="25">
        <v>0.64100000000000001</v>
      </c>
      <c r="E144" s="25">
        <v>0.65800000000000003</v>
      </c>
      <c r="F144" s="25">
        <v>0.626</v>
      </c>
      <c r="G144" s="25">
        <v>0.64800000000000002</v>
      </c>
      <c r="H144" s="25">
        <v>0.65200000000000002</v>
      </c>
      <c r="I144" s="26">
        <f t="shared" si="28"/>
        <v>0.64500000000000002</v>
      </c>
      <c r="J144" s="25">
        <v>0.65200000000000002</v>
      </c>
      <c r="K144" s="25">
        <v>0.67200000000000004</v>
      </c>
      <c r="L144" s="25">
        <v>0.60899999999999999</v>
      </c>
      <c r="M144" s="25">
        <v>0.622</v>
      </c>
      <c r="N144" s="25">
        <v>0.67</v>
      </c>
      <c r="O144" s="26">
        <f t="shared" si="29"/>
        <v>0.64500000000000002</v>
      </c>
      <c r="P144" s="25">
        <v>0.61399999999999999</v>
      </c>
      <c r="Q144" s="25">
        <v>0.55400000000000005</v>
      </c>
      <c r="R144" s="25">
        <v>0.52500000000000002</v>
      </c>
      <c r="S144" s="25">
        <v>0.53300000000000003</v>
      </c>
      <c r="T144" s="25">
        <v>0.58599999999999997</v>
      </c>
      <c r="U144" s="26">
        <f t="shared" si="30"/>
        <v>0.56240000000000001</v>
      </c>
      <c r="V144" s="25">
        <v>0.64100000000000001</v>
      </c>
      <c r="W144" s="25">
        <v>0.66200000000000003</v>
      </c>
      <c r="X144" s="25">
        <v>0.59599999999999997</v>
      </c>
      <c r="Y144" s="25">
        <v>0.59</v>
      </c>
      <c r="Z144" s="25">
        <v>0.63500000000000001</v>
      </c>
      <c r="AA144" s="26">
        <f t="shared" si="31"/>
        <v>0.62479999999999991</v>
      </c>
      <c r="AB144" s="25">
        <v>0.64100000000000001</v>
      </c>
      <c r="AC144" s="25">
        <v>0.66200000000000003</v>
      </c>
      <c r="AD144" s="25">
        <v>0.59599999999999997</v>
      </c>
      <c r="AE144" s="25">
        <v>0.59</v>
      </c>
      <c r="AF144" s="25">
        <v>0.63500000000000001</v>
      </c>
      <c r="AG144" s="26">
        <f t="shared" si="32"/>
        <v>0.62479999999999991</v>
      </c>
      <c r="AH144" s="25">
        <f t="shared" si="33"/>
        <v>0</v>
      </c>
      <c r="AI144" s="25">
        <f t="shared" si="34"/>
        <v>-2.0200000000000107E-2</v>
      </c>
    </row>
    <row r="145" spans="1:35" x14ac:dyDescent="0.25">
      <c r="A145" s="24" t="s">
        <v>129</v>
      </c>
      <c r="B145" s="25" t="s">
        <v>125</v>
      </c>
      <c r="C145" s="25">
        <v>0.5</v>
      </c>
      <c r="D145" s="25">
        <v>0.50900000000000001</v>
      </c>
      <c r="E145" s="25">
        <v>0.48599999999999999</v>
      </c>
      <c r="F145" s="25">
        <v>0.45900000000000002</v>
      </c>
      <c r="G145" s="25">
        <v>0.51900000000000002</v>
      </c>
      <c r="H145" s="25">
        <v>0.432</v>
      </c>
      <c r="I145" s="26">
        <f t="shared" si="28"/>
        <v>0.48099999999999998</v>
      </c>
      <c r="J145" s="25">
        <v>0.44800000000000001</v>
      </c>
      <c r="K145" s="25">
        <v>0.47799999999999998</v>
      </c>
      <c r="L145" s="25">
        <v>0.54600000000000004</v>
      </c>
      <c r="M145" s="25">
        <v>0.52</v>
      </c>
      <c r="N145" s="25">
        <v>0.46200000000000002</v>
      </c>
      <c r="O145" s="26">
        <f t="shared" si="29"/>
        <v>0.49080000000000001</v>
      </c>
      <c r="P145" s="25">
        <v>0.501</v>
      </c>
      <c r="Q145" s="25">
        <v>0.47699999999999998</v>
      </c>
      <c r="R145" s="25">
        <v>0.48099999999999998</v>
      </c>
      <c r="S145" s="25">
        <v>0.51</v>
      </c>
      <c r="T145" s="25">
        <v>0.45700000000000002</v>
      </c>
      <c r="U145" s="26">
        <f t="shared" si="30"/>
        <v>0.48520000000000002</v>
      </c>
      <c r="V145" s="25">
        <v>0.499</v>
      </c>
      <c r="W145" s="25">
        <v>0.46100000000000002</v>
      </c>
      <c r="X145" s="25">
        <v>0.439</v>
      </c>
      <c r="Y145" s="25">
        <v>0.46700000000000003</v>
      </c>
      <c r="Z145" s="25">
        <v>0.442</v>
      </c>
      <c r="AA145" s="26">
        <f t="shared" si="31"/>
        <v>0.46160000000000007</v>
      </c>
      <c r="AB145" s="25">
        <v>0.499</v>
      </c>
      <c r="AC145" s="25">
        <v>0.46100000000000002</v>
      </c>
      <c r="AD145" s="25">
        <v>0.439</v>
      </c>
      <c r="AE145" s="25">
        <v>0.46700000000000003</v>
      </c>
      <c r="AF145" s="25">
        <v>0.442</v>
      </c>
      <c r="AG145" s="26">
        <f t="shared" si="32"/>
        <v>0.46160000000000007</v>
      </c>
      <c r="AH145" s="25">
        <f t="shared" si="33"/>
        <v>0</v>
      </c>
      <c r="AI145" s="25">
        <f t="shared" si="34"/>
        <v>-2.9199999999999948E-2</v>
      </c>
    </row>
    <row r="146" spans="1:35" x14ac:dyDescent="0.25">
      <c r="A146" s="24" t="s">
        <v>129</v>
      </c>
      <c r="B146" s="25" t="s">
        <v>126</v>
      </c>
      <c r="C146" s="25">
        <v>0.2</v>
      </c>
      <c r="D146" s="25">
        <v>0.77800000000000002</v>
      </c>
      <c r="E146" s="25">
        <v>0.77700000000000002</v>
      </c>
      <c r="F146" s="25">
        <v>0.77800000000000002</v>
      </c>
      <c r="G146" s="25">
        <v>0.76400000000000001</v>
      </c>
      <c r="H146" s="25">
        <v>0.77400000000000002</v>
      </c>
      <c r="I146" s="26">
        <f t="shared" si="28"/>
        <v>0.77420000000000011</v>
      </c>
      <c r="J146" s="25">
        <v>0.754</v>
      </c>
      <c r="K146" s="25">
        <v>0.75900000000000001</v>
      </c>
      <c r="L146" s="25">
        <v>0.75800000000000001</v>
      </c>
      <c r="M146" s="25">
        <v>0.76100000000000001</v>
      </c>
      <c r="N146" s="25">
        <v>0.752</v>
      </c>
      <c r="O146" s="26">
        <f t="shared" si="29"/>
        <v>0.75679999999999992</v>
      </c>
      <c r="P146" s="25">
        <v>0.84299999999999997</v>
      </c>
      <c r="Q146" s="25">
        <v>0.82899999999999996</v>
      </c>
      <c r="R146" s="25">
        <v>0.84099999999999997</v>
      </c>
      <c r="S146" s="25">
        <v>0.83799999999999997</v>
      </c>
      <c r="T146" s="25">
        <v>0.85099999999999998</v>
      </c>
      <c r="U146" s="26">
        <f t="shared" si="30"/>
        <v>0.84040000000000004</v>
      </c>
      <c r="V146" s="25">
        <v>0.80300000000000005</v>
      </c>
      <c r="W146" s="25">
        <v>0.78400000000000003</v>
      </c>
      <c r="X146" s="25">
        <v>0.78600000000000003</v>
      </c>
      <c r="Y146" s="25">
        <v>0.79900000000000004</v>
      </c>
      <c r="Z146" s="25">
        <v>0.8</v>
      </c>
      <c r="AA146" s="26">
        <f t="shared" si="31"/>
        <v>0.79440000000000011</v>
      </c>
      <c r="AB146" s="25">
        <v>0.80300000000000005</v>
      </c>
      <c r="AC146" s="25">
        <v>0.78400000000000003</v>
      </c>
      <c r="AD146" s="25">
        <v>0.78600000000000003</v>
      </c>
      <c r="AE146" s="25">
        <v>0.79900000000000004</v>
      </c>
      <c r="AF146" s="25">
        <v>0.8</v>
      </c>
      <c r="AG146" s="26">
        <f t="shared" si="32"/>
        <v>0.79440000000000011</v>
      </c>
      <c r="AH146" s="25">
        <f t="shared" si="33"/>
        <v>0</v>
      </c>
      <c r="AI146" s="25">
        <f t="shared" si="34"/>
        <v>3.7600000000000189E-2</v>
      </c>
    </row>
    <row r="147" spans="1:35" x14ac:dyDescent="0.25">
      <c r="A147" s="24" t="s">
        <v>129</v>
      </c>
      <c r="B147" s="25" t="s">
        <v>126</v>
      </c>
      <c r="C147" s="25">
        <v>0.3</v>
      </c>
      <c r="D147" s="25">
        <v>0.752</v>
      </c>
      <c r="E147" s="25">
        <v>0.75700000000000001</v>
      </c>
      <c r="F147" s="25">
        <v>0.74099999999999999</v>
      </c>
      <c r="G147" s="25">
        <v>0.71199999999999997</v>
      </c>
      <c r="H147" s="25">
        <v>0.72499999999999998</v>
      </c>
      <c r="I147" s="26">
        <f t="shared" si="28"/>
        <v>0.73739999999999994</v>
      </c>
      <c r="J147" s="25">
        <v>0.73599999999999999</v>
      </c>
      <c r="K147" s="25">
        <v>0.73199999999999998</v>
      </c>
      <c r="L147" s="25">
        <v>0.68799999999999994</v>
      </c>
      <c r="M147" s="25">
        <v>0.69699999999999995</v>
      </c>
      <c r="N147" s="25">
        <v>0.7</v>
      </c>
      <c r="O147" s="26">
        <f t="shared" si="29"/>
        <v>0.71060000000000001</v>
      </c>
      <c r="P147" s="25"/>
      <c r="Q147" s="25"/>
      <c r="R147" s="25"/>
      <c r="S147" s="25"/>
      <c r="T147" s="25"/>
      <c r="U147" s="26" t="str">
        <f t="shared" si="30"/>
        <v/>
      </c>
      <c r="V147" s="25"/>
      <c r="W147" s="25"/>
      <c r="X147" s="25"/>
      <c r="Y147" s="25"/>
      <c r="Z147" s="25"/>
      <c r="AA147" s="26" t="str">
        <f t="shared" si="31"/>
        <v/>
      </c>
      <c r="AB147" s="25">
        <v>0.57999999999999996</v>
      </c>
      <c r="AC147" s="25">
        <v>0.65800000000000003</v>
      </c>
      <c r="AD147" s="25">
        <v>0.58299999999999996</v>
      </c>
      <c r="AE147" s="25">
        <v>0.56999999999999995</v>
      </c>
      <c r="AF147" s="25">
        <v>0.63900000000000001</v>
      </c>
      <c r="AG147" s="26">
        <f t="shared" si="32"/>
        <v>0.60600000000000009</v>
      </c>
      <c r="AH147" s="25" t="str">
        <f t="shared" si="33"/>
        <v/>
      </c>
      <c r="AI147" s="25">
        <f t="shared" si="34"/>
        <v>-0.10459999999999992</v>
      </c>
    </row>
    <row r="148" spans="1:35" x14ac:dyDescent="0.25">
      <c r="A148" s="24" t="s">
        <v>129</v>
      </c>
      <c r="B148" s="25" t="s">
        <v>126</v>
      </c>
      <c r="C148" s="25">
        <v>0.4</v>
      </c>
      <c r="D148" s="25">
        <v>0.70099999999999996</v>
      </c>
      <c r="E148" s="25">
        <v>0.69599999999999995</v>
      </c>
      <c r="F148" s="25">
        <v>0.70899999999999996</v>
      </c>
      <c r="G148" s="25">
        <v>0.67800000000000005</v>
      </c>
      <c r="H148" s="25">
        <v>0.69399999999999995</v>
      </c>
      <c r="I148" s="26">
        <f t="shared" si="28"/>
        <v>0.6956</v>
      </c>
      <c r="J148" s="25">
        <v>0.67500000000000004</v>
      </c>
      <c r="K148" s="25">
        <v>0.65400000000000003</v>
      </c>
      <c r="L148" s="25">
        <v>0.69899999999999995</v>
      </c>
      <c r="M148" s="25">
        <v>0.66700000000000004</v>
      </c>
      <c r="N148" s="25">
        <v>0.69399999999999995</v>
      </c>
      <c r="O148" s="26">
        <f t="shared" si="29"/>
        <v>0.67780000000000007</v>
      </c>
      <c r="P148" s="25"/>
      <c r="Q148" s="25"/>
      <c r="R148" s="25"/>
      <c r="S148" s="25"/>
      <c r="T148" s="25"/>
      <c r="U148" s="26" t="str">
        <f t="shared" si="30"/>
        <v/>
      </c>
      <c r="V148" s="25"/>
      <c r="W148" s="25"/>
      <c r="X148" s="25"/>
      <c r="Y148" s="25"/>
      <c r="Z148" s="25"/>
      <c r="AA148" s="26" t="str">
        <f t="shared" si="31"/>
        <v/>
      </c>
      <c r="AB148" s="25">
        <v>0.63300000000000001</v>
      </c>
      <c r="AC148" s="25">
        <v>0.53500000000000003</v>
      </c>
      <c r="AD148" s="25">
        <v>0.63500000000000001</v>
      </c>
      <c r="AE148" s="25">
        <v>0.66500000000000004</v>
      </c>
      <c r="AF148" s="25">
        <v>0.67400000000000004</v>
      </c>
      <c r="AG148" s="26">
        <f t="shared" si="32"/>
        <v>0.62839999999999996</v>
      </c>
      <c r="AH148" s="25" t="str">
        <f t="shared" si="33"/>
        <v/>
      </c>
      <c r="AI148" s="25">
        <f t="shared" si="34"/>
        <v>-4.940000000000011E-2</v>
      </c>
    </row>
    <row r="149" spans="1:35" x14ac:dyDescent="0.25">
      <c r="A149" s="24" t="s">
        <v>129</v>
      </c>
      <c r="B149" s="25" t="s">
        <v>126</v>
      </c>
      <c r="C149" s="25">
        <v>0.5</v>
      </c>
      <c r="D149" s="25">
        <v>0.68600000000000005</v>
      </c>
      <c r="E149" s="25">
        <v>0.65200000000000002</v>
      </c>
      <c r="F149" s="25">
        <v>0.66700000000000004</v>
      </c>
      <c r="G149" s="25">
        <v>0.66100000000000003</v>
      </c>
      <c r="H149" s="25">
        <v>0.63900000000000001</v>
      </c>
      <c r="I149" s="26">
        <f t="shared" si="28"/>
        <v>0.66099999999999992</v>
      </c>
      <c r="J149" s="25">
        <v>0.63300000000000001</v>
      </c>
      <c r="K149" s="25">
        <v>0.623</v>
      </c>
      <c r="L149" s="25">
        <v>0.629</v>
      </c>
      <c r="M149" s="25">
        <v>0.623</v>
      </c>
      <c r="N149" s="25">
        <v>0.628</v>
      </c>
      <c r="O149" s="26">
        <f t="shared" si="29"/>
        <v>0.62719999999999998</v>
      </c>
      <c r="P149" s="25"/>
      <c r="Q149" s="25"/>
      <c r="R149" s="25"/>
      <c r="S149" s="25"/>
      <c r="T149" s="25"/>
      <c r="U149" s="26" t="str">
        <f t="shared" si="30"/>
        <v/>
      </c>
      <c r="V149" s="25"/>
      <c r="W149" s="25"/>
      <c r="X149" s="25"/>
      <c r="Y149" s="25"/>
      <c r="Z149" s="25"/>
      <c r="AA149" s="26" t="str">
        <f t="shared" si="31"/>
        <v/>
      </c>
      <c r="AB149" s="25">
        <v>0.67700000000000005</v>
      </c>
      <c r="AC149" s="25">
        <v>0.65800000000000003</v>
      </c>
      <c r="AD149" s="25">
        <v>0.64800000000000002</v>
      </c>
      <c r="AE149" s="25">
        <v>0.69399999999999995</v>
      </c>
      <c r="AF149" s="25">
        <v>0.66500000000000004</v>
      </c>
      <c r="AG149" s="26">
        <f t="shared" si="32"/>
        <v>0.66839999999999999</v>
      </c>
      <c r="AH149" s="25" t="str">
        <f t="shared" si="33"/>
        <v/>
      </c>
      <c r="AI149" s="25">
        <f t="shared" si="34"/>
        <v>4.1200000000000014E-2</v>
      </c>
    </row>
    <row r="150" spans="1:35" x14ac:dyDescent="0.25">
      <c r="A150" s="24" t="s">
        <v>129</v>
      </c>
      <c r="B150" s="25" t="s">
        <v>127</v>
      </c>
      <c r="C150" s="25">
        <v>0.2</v>
      </c>
      <c r="D150" s="25">
        <v>0.79400000000000004</v>
      </c>
      <c r="E150" s="25">
        <v>0.78600000000000003</v>
      </c>
      <c r="F150" s="25">
        <v>0.78600000000000003</v>
      </c>
      <c r="G150" s="25">
        <v>0.78700000000000003</v>
      </c>
      <c r="H150" s="25">
        <v>0.78600000000000003</v>
      </c>
      <c r="I150" s="26">
        <f t="shared" si="28"/>
        <v>0.78780000000000006</v>
      </c>
      <c r="J150" s="25">
        <v>0.78800000000000003</v>
      </c>
      <c r="K150" s="25">
        <v>0.82</v>
      </c>
      <c r="L150" s="25">
        <v>0.82</v>
      </c>
      <c r="M150" s="25">
        <v>0.79300000000000004</v>
      </c>
      <c r="N150" s="25">
        <v>0.80100000000000005</v>
      </c>
      <c r="O150" s="26">
        <f t="shared" si="29"/>
        <v>0.8044</v>
      </c>
      <c r="P150" s="25">
        <v>0.84099999999999997</v>
      </c>
      <c r="Q150" s="25">
        <v>0.83899999999999997</v>
      </c>
      <c r="R150" s="25">
        <v>0.83799999999999997</v>
      </c>
      <c r="S150" s="25">
        <v>0.83799999999999997</v>
      </c>
      <c r="T150" s="25">
        <v>0.83299999999999996</v>
      </c>
      <c r="U150" s="26">
        <f t="shared" si="30"/>
        <v>0.83779999999999999</v>
      </c>
      <c r="V150" s="25">
        <v>0.81</v>
      </c>
      <c r="W150" s="25">
        <v>0.80400000000000005</v>
      </c>
      <c r="X150" s="25">
        <v>0.79400000000000004</v>
      </c>
      <c r="Y150" s="25">
        <v>0.79900000000000004</v>
      </c>
      <c r="Z150" s="25">
        <v>0.79300000000000004</v>
      </c>
      <c r="AA150" s="26">
        <f t="shared" si="31"/>
        <v>0.8</v>
      </c>
      <c r="AB150" s="25">
        <v>0.81</v>
      </c>
      <c r="AC150" s="25">
        <v>0.80700000000000005</v>
      </c>
      <c r="AD150" s="25">
        <v>0.79400000000000004</v>
      </c>
      <c r="AE150" s="25">
        <v>0.79900000000000004</v>
      </c>
      <c r="AF150" s="25">
        <v>0.79300000000000004</v>
      </c>
      <c r="AG150" s="26">
        <f t="shared" si="32"/>
        <v>0.80059999999999998</v>
      </c>
      <c r="AH150" s="25">
        <f t="shared" si="33"/>
        <v>5.9999999999993392E-4</v>
      </c>
      <c r="AI150" s="25">
        <f t="shared" si="34"/>
        <v>-3.8000000000000256E-3</v>
      </c>
    </row>
    <row r="151" spans="1:35" x14ac:dyDescent="0.25">
      <c r="A151" s="24" t="s">
        <v>129</v>
      </c>
      <c r="B151" s="25" t="s">
        <v>127</v>
      </c>
      <c r="C151" s="25">
        <v>0.3</v>
      </c>
      <c r="D151" s="25">
        <v>0.752</v>
      </c>
      <c r="E151" s="25">
        <v>0.73499999999999999</v>
      </c>
      <c r="F151" s="25">
        <v>0.72</v>
      </c>
      <c r="G151" s="25">
        <v>0.71599999999999997</v>
      </c>
      <c r="H151" s="25">
        <v>0.72199999999999998</v>
      </c>
      <c r="I151" s="26">
        <f t="shared" si="28"/>
        <v>0.72899999999999998</v>
      </c>
      <c r="J151" s="25">
        <v>0.752</v>
      </c>
      <c r="K151" s="25">
        <v>0.751</v>
      </c>
      <c r="L151" s="25">
        <v>0.76800000000000002</v>
      </c>
      <c r="M151" s="25">
        <v>0.77100000000000002</v>
      </c>
      <c r="N151" s="25">
        <v>0.75700000000000001</v>
      </c>
      <c r="O151" s="26">
        <f t="shared" si="29"/>
        <v>0.75980000000000003</v>
      </c>
      <c r="P151" s="25">
        <v>0.84299999999999997</v>
      </c>
      <c r="Q151" s="25">
        <v>0.83599999999999997</v>
      </c>
      <c r="R151" s="25">
        <v>0.81299999999999994</v>
      </c>
      <c r="S151" s="25">
        <v>0.82499999999999996</v>
      </c>
      <c r="T151" s="25">
        <v>0.83199999999999996</v>
      </c>
      <c r="U151" s="26">
        <f t="shared" si="30"/>
        <v>0.82979999999999998</v>
      </c>
      <c r="V151" s="25">
        <v>0.81200000000000006</v>
      </c>
      <c r="W151" s="25">
        <v>0.8</v>
      </c>
      <c r="X151" s="25">
        <v>0.77700000000000002</v>
      </c>
      <c r="Y151" s="25">
        <v>0.77700000000000002</v>
      </c>
      <c r="Z151" s="25">
        <v>0.79</v>
      </c>
      <c r="AA151" s="26">
        <f t="shared" si="31"/>
        <v>0.79120000000000013</v>
      </c>
      <c r="AB151" s="25">
        <v>0.81200000000000006</v>
      </c>
      <c r="AC151" s="25">
        <v>0.8</v>
      </c>
      <c r="AD151" s="25">
        <v>0.77700000000000002</v>
      </c>
      <c r="AE151" s="25">
        <v>0.77700000000000002</v>
      </c>
      <c r="AF151" s="25">
        <v>0.79</v>
      </c>
      <c r="AG151" s="26">
        <f t="shared" si="32"/>
        <v>0.79120000000000013</v>
      </c>
      <c r="AH151" s="25">
        <f t="shared" si="33"/>
        <v>0</v>
      </c>
      <c r="AI151" s="25">
        <f t="shared" si="34"/>
        <v>3.1400000000000095E-2</v>
      </c>
    </row>
    <row r="152" spans="1:35" x14ac:dyDescent="0.25">
      <c r="A152" s="24" t="s">
        <v>129</v>
      </c>
      <c r="B152" s="25" t="s">
        <v>127</v>
      </c>
      <c r="C152" s="25">
        <v>0.4</v>
      </c>
      <c r="D152" s="25">
        <v>0.65900000000000003</v>
      </c>
      <c r="E152" s="25">
        <v>0.67400000000000004</v>
      </c>
      <c r="F152" s="25">
        <v>0.66400000000000003</v>
      </c>
      <c r="G152" s="25">
        <v>0.65700000000000003</v>
      </c>
      <c r="H152" s="25">
        <v>0.66500000000000004</v>
      </c>
      <c r="I152" s="26">
        <f t="shared" si="28"/>
        <v>0.66380000000000006</v>
      </c>
      <c r="J152" s="25">
        <v>0.67700000000000005</v>
      </c>
      <c r="K152" s="25">
        <v>0.70899999999999996</v>
      </c>
      <c r="L152" s="25">
        <v>0.66800000000000004</v>
      </c>
      <c r="M152" s="25">
        <v>0.67</v>
      </c>
      <c r="N152" s="25">
        <v>0.70099999999999996</v>
      </c>
      <c r="O152" s="26">
        <f t="shared" si="29"/>
        <v>0.68500000000000005</v>
      </c>
      <c r="P152" s="25">
        <v>0.66700000000000004</v>
      </c>
      <c r="Q152" s="25">
        <v>0.67100000000000004</v>
      </c>
      <c r="R152" s="25">
        <v>0.66100000000000003</v>
      </c>
      <c r="S152" s="25">
        <v>0.60699999999999998</v>
      </c>
      <c r="T152" s="25">
        <v>0.68300000000000005</v>
      </c>
      <c r="U152" s="26">
        <f t="shared" si="30"/>
        <v>0.65779999999999994</v>
      </c>
      <c r="V152" s="25">
        <v>0.623</v>
      </c>
      <c r="W152" s="25">
        <v>0.61899999999999999</v>
      </c>
      <c r="X152" s="25">
        <v>0.57999999999999996</v>
      </c>
      <c r="Y152" s="25">
        <v>0.58599999999999997</v>
      </c>
      <c r="Z152" s="25">
        <v>0.69699999999999995</v>
      </c>
      <c r="AA152" s="26">
        <f t="shared" si="31"/>
        <v>0.621</v>
      </c>
      <c r="AB152" s="25">
        <v>0.623</v>
      </c>
      <c r="AC152" s="25">
        <v>0.61899999999999999</v>
      </c>
      <c r="AD152" s="25">
        <v>0.57999999999999996</v>
      </c>
      <c r="AE152" s="25">
        <v>0.58599999999999997</v>
      </c>
      <c r="AF152" s="25">
        <v>0.69699999999999995</v>
      </c>
      <c r="AG152" s="26">
        <f t="shared" si="32"/>
        <v>0.621</v>
      </c>
      <c r="AH152" s="25">
        <f t="shared" si="33"/>
        <v>0</v>
      </c>
      <c r="AI152" s="25">
        <f t="shared" si="34"/>
        <v>-6.4000000000000057E-2</v>
      </c>
    </row>
    <row r="153" spans="1:35" x14ac:dyDescent="0.25">
      <c r="A153" s="24" t="s">
        <v>129</v>
      </c>
      <c r="B153" s="25" t="s">
        <v>127</v>
      </c>
      <c r="C153" s="25">
        <v>0.5</v>
      </c>
      <c r="D153" s="25">
        <v>0.497</v>
      </c>
      <c r="E153" s="25">
        <v>0.48699999999999999</v>
      </c>
      <c r="F153" s="25">
        <v>0.49299999999999999</v>
      </c>
      <c r="G153" s="25">
        <v>0.48599999999999999</v>
      </c>
      <c r="H153" s="25">
        <v>0.504</v>
      </c>
      <c r="I153" s="26">
        <f t="shared" si="28"/>
        <v>0.49339999999999995</v>
      </c>
      <c r="J153" s="25">
        <v>0.52600000000000002</v>
      </c>
      <c r="K153" s="25">
        <v>0.503</v>
      </c>
      <c r="L153" s="25">
        <v>0.47</v>
      </c>
      <c r="M153" s="25">
        <v>0.497</v>
      </c>
      <c r="N153" s="25">
        <v>0.53200000000000003</v>
      </c>
      <c r="O153" s="26">
        <f t="shared" si="29"/>
        <v>0.50560000000000005</v>
      </c>
      <c r="P153" s="25">
        <v>0.51700000000000002</v>
      </c>
      <c r="Q153" s="25">
        <v>0.46800000000000003</v>
      </c>
      <c r="R153" s="25">
        <v>0.49099999999999999</v>
      </c>
      <c r="S153" s="25">
        <v>0.49099999999999999</v>
      </c>
      <c r="T153" s="25">
        <v>0.499</v>
      </c>
      <c r="U153" s="26">
        <f t="shared" si="30"/>
        <v>0.49320000000000003</v>
      </c>
      <c r="V153" s="25">
        <v>0.48599999999999999</v>
      </c>
      <c r="W153" s="25">
        <v>0.47399999999999998</v>
      </c>
      <c r="X153" s="25">
        <v>0.51700000000000002</v>
      </c>
      <c r="Y153" s="25">
        <v>0.47699999999999998</v>
      </c>
      <c r="Z153" s="25">
        <v>0.503</v>
      </c>
      <c r="AA153" s="26">
        <f t="shared" si="31"/>
        <v>0.49139999999999995</v>
      </c>
      <c r="AB153" s="25">
        <v>0.48599999999999999</v>
      </c>
      <c r="AC153" s="25">
        <v>0.47399999999999998</v>
      </c>
      <c r="AD153" s="25">
        <v>0.51700000000000002</v>
      </c>
      <c r="AE153" s="25">
        <v>0.47699999999999998</v>
      </c>
      <c r="AF153" s="25">
        <v>0.503</v>
      </c>
      <c r="AG153" s="26">
        <f t="shared" si="32"/>
        <v>0.49139999999999995</v>
      </c>
      <c r="AH153" s="25">
        <f t="shared" si="33"/>
        <v>0</v>
      </c>
      <c r="AI153" s="25">
        <f t="shared" si="34"/>
        <v>-1.4200000000000101E-2</v>
      </c>
    </row>
    <row r="154" spans="1:35" x14ac:dyDescent="0.25">
      <c r="A154" s="24" t="s">
        <v>129</v>
      </c>
      <c r="B154" s="25" t="s">
        <v>128</v>
      </c>
      <c r="C154" s="25">
        <v>0.2</v>
      </c>
      <c r="D154" s="25">
        <v>0.77100000000000002</v>
      </c>
      <c r="E154" s="25">
        <v>0.75800000000000001</v>
      </c>
      <c r="F154" s="25">
        <v>0.77500000000000002</v>
      </c>
      <c r="G154" s="25">
        <v>0.73599999999999999</v>
      </c>
      <c r="H154" s="25">
        <v>0.76500000000000001</v>
      </c>
      <c r="I154" s="26">
        <f t="shared" si="28"/>
        <v>0.76100000000000001</v>
      </c>
      <c r="J154" s="25">
        <v>0.78300000000000003</v>
      </c>
      <c r="K154" s="25">
        <v>0.75700000000000001</v>
      </c>
      <c r="L154" s="25">
        <v>0.77400000000000002</v>
      </c>
      <c r="M154" s="25">
        <v>0.78</v>
      </c>
      <c r="N154" s="25">
        <v>0.80300000000000005</v>
      </c>
      <c r="O154" s="26">
        <f t="shared" si="29"/>
        <v>0.77940000000000009</v>
      </c>
      <c r="P154" s="25"/>
      <c r="Q154" s="25">
        <v>0.85499999999999998</v>
      </c>
      <c r="R154" s="25">
        <v>0.80100000000000005</v>
      </c>
      <c r="S154" s="25">
        <v>0.85099999999999998</v>
      </c>
      <c r="T154" s="25">
        <v>0.87</v>
      </c>
      <c r="U154" s="26">
        <f t="shared" si="30"/>
        <v>0.84425000000000006</v>
      </c>
      <c r="V154" s="25"/>
      <c r="W154" s="25">
        <v>0.85499999999999998</v>
      </c>
      <c r="X154" s="25">
        <v>0.79</v>
      </c>
      <c r="Y154" s="25">
        <v>0.80800000000000005</v>
      </c>
      <c r="Z154" s="25">
        <v>0.78300000000000003</v>
      </c>
      <c r="AA154" s="26">
        <f t="shared" si="31"/>
        <v>0.80900000000000005</v>
      </c>
      <c r="AB154" s="25">
        <v>0.83799999999999997</v>
      </c>
      <c r="AC154" s="25">
        <v>0.84199999999999997</v>
      </c>
      <c r="AD154" s="25">
        <v>0.80600000000000005</v>
      </c>
      <c r="AE154" s="25">
        <v>0.81200000000000006</v>
      </c>
      <c r="AF154" s="25">
        <v>0.82</v>
      </c>
      <c r="AG154" s="26">
        <f t="shared" si="32"/>
        <v>0.82360000000000011</v>
      </c>
      <c r="AH154" s="25">
        <f t="shared" si="33"/>
        <v>1.4600000000000057E-2</v>
      </c>
      <c r="AI154" s="25">
        <f t="shared" si="34"/>
        <v>4.4200000000000017E-2</v>
      </c>
    </row>
    <row r="155" spans="1:35" x14ac:dyDescent="0.25">
      <c r="A155" s="24" t="s">
        <v>129</v>
      </c>
      <c r="B155" s="25" t="s">
        <v>128</v>
      </c>
      <c r="C155" s="25">
        <v>0.3</v>
      </c>
      <c r="D155" s="25">
        <v>0.71899999999999997</v>
      </c>
      <c r="E155" s="25">
        <v>0.73299999999999998</v>
      </c>
      <c r="F155" s="25">
        <v>0.68799999999999994</v>
      </c>
      <c r="G155" s="25">
        <v>0.69099999999999995</v>
      </c>
      <c r="H155" s="25">
        <v>0.72299999999999998</v>
      </c>
      <c r="I155" s="26">
        <f t="shared" si="28"/>
        <v>0.71079999999999988</v>
      </c>
      <c r="J155" s="25">
        <v>0.70299999999999996</v>
      </c>
      <c r="K155" s="25">
        <v>0.73899999999999999</v>
      </c>
      <c r="L155" s="25">
        <v>0.71599999999999997</v>
      </c>
      <c r="M155" s="25">
        <v>0.74099999999999999</v>
      </c>
      <c r="N155" s="25">
        <v>0.72299999999999998</v>
      </c>
      <c r="O155" s="26">
        <f t="shared" si="29"/>
        <v>0.72439999999999993</v>
      </c>
      <c r="P155" s="25">
        <v>0.72099999999999997</v>
      </c>
      <c r="Q155" s="25">
        <v>0.69599999999999995</v>
      </c>
      <c r="R155" s="25">
        <v>0.69099999999999995</v>
      </c>
      <c r="S155" s="25">
        <v>0.73199999999999998</v>
      </c>
      <c r="T155" s="25">
        <v>0.68799999999999994</v>
      </c>
      <c r="U155" s="26">
        <f t="shared" si="30"/>
        <v>0.70559999999999989</v>
      </c>
      <c r="V155" s="25">
        <v>0.69</v>
      </c>
      <c r="W155" s="25">
        <v>0.72299999999999998</v>
      </c>
      <c r="X155" s="25">
        <v>0.56799999999999995</v>
      </c>
      <c r="Y155" s="25">
        <v>0.58899999999999997</v>
      </c>
      <c r="Z155" s="25">
        <v>0.63500000000000001</v>
      </c>
      <c r="AA155" s="26">
        <f t="shared" si="31"/>
        <v>0.64100000000000001</v>
      </c>
      <c r="AB155" s="25">
        <v>0.63900000000000001</v>
      </c>
      <c r="AC155" s="25">
        <v>0.66700000000000004</v>
      </c>
      <c r="AD155" s="25">
        <v>0.58599999999999997</v>
      </c>
      <c r="AE155" s="25">
        <v>0.63800000000000001</v>
      </c>
      <c r="AF155" s="25">
        <v>0.58099999999999996</v>
      </c>
      <c r="AG155" s="26">
        <f t="shared" si="32"/>
        <v>0.62219999999999998</v>
      </c>
      <c r="AH155" s="25">
        <f t="shared" si="33"/>
        <v>-1.8800000000000039E-2</v>
      </c>
      <c r="AI155" s="25">
        <f t="shared" si="34"/>
        <v>-0.10219999999999996</v>
      </c>
    </row>
    <row r="156" spans="1:35" x14ac:dyDescent="0.25">
      <c r="A156" s="24" t="s">
        <v>129</v>
      </c>
      <c r="B156" s="25" t="s">
        <v>128</v>
      </c>
      <c r="C156" s="25">
        <v>0.4</v>
      </c>
      <c r="D156" s="25">
        <v>0.61399999999999999</v>
      </c>
      <c r="E156" s="25">
        <v>0.65700000000000003</v>
      </c>
      <c r="F156" s="25">
        <v>0.63500000000000001</v>
      </c>
      <c r="G156" s="25">
        <v>0.63</v>
      </c>
      <c r="H156" s="25">
        <v>0.66100000000000003</v>
      </c>
      <c r="I156" s="26">
        <f t="shared" si="28"/>
        <v>0.63939999999999997</v>
      </c>
      <c r="J156" s="25">
        <v>0.68600000000000005</v>
      </c>
      <c r="K156" s="25">
        <v>0.63500000000000001</v>
      </c>
      <c r="L156" s="25">
        <v>0.66100000000000003</v>
      </c>
      <c r="M156" s="25">
        <v>0.66400000000000003</v>
      </c>
      <c r="N156" s="25">
        <v>0.67800000000000005</v>
      </c>
      <c r="O156" s="26">
        <f t="shared" si="29"/>
        <v>0.66480000000000006</v>
      </c>
      <c r="P156" s="25">
        <v>0.57099999999999995</v>
      </c>
      <c r="Q156" s="25">
        <v>0.67200000000000004</v>
      </c>
      <c r="R156" s="25">
        <v>0.56899999999999995</v>
      </c>
      <c r="S156" s="25">
        <v>0.61</v>
      </c>
      <c r="T156" s="25">
        <v>0.63800000000000001</v>
      </c>
      <c r="U156" s="26">
        <f t="shared" si="30"/>
        <v>0.61199999999999988</v>
      </c>
      <c r="V156" s="25">
        <v>0.61899999999999999</v>
      </c>
      <c r="W156" s="25">
        <v>0.623</v>
      </c>
      <c r="X156" s="25">
        <v>0.61599999999999999</v>
      </c>
      <c r="Y156" s="25">
        <v>0.61699999999999999</v>
      </c>
      <c r="Z156" s="25">
        <v>0.59899999999999998</v>
      </c>
      <c r="AA156" s="26">
        <f t="shared" si="31"/>
        <v>0.61480000000000001</v>
      </c>
      <c r="AB156" s="25">
        <v>0.61899999999999999</v>
      </c>
      <c r="AC156" s="25">
        <v>0.623</v>
      </c>
      <c r="AD156" s="25">
        <v>0.58299999999999996</v>
      </c>
      <c r="AE156" s="25">
        <v>0.61699999999999999</v>
      </c>
      <c r="AF156" s="25">
        <v>0.59899999999999998</v>
      </c>
      <c r="AG156" s="26">
        <f t="shared" si="32"/>
        <v>0.60820000000000007</v>
      </c>
      <c r="AH156" s="25">
        <f t="shared" si="33"/>
        <v>-6.5999999999999392E-3</v>
      </c>
      <c r="AI156" s="25">
        <f t="shared" si="34"/>
        <v>-5.6599999999999984E-2</v>
      </c>
    </row>
    <row r="157" spans="1:35" x14ac:dyDescent="0.25">
      <c r="A157" s="24" t="s">
        <v>129</v>
      </c>
      <c r="B157" s="25" t="s">
        <v>128</v>
      </c>
      <c r="C157" s="25">
        <v>0.5</v>
      </c>
      <c r="D157" s="25">
        <v>0.41699999999999998</v>
      </c>
      <c r="E157" s="25">
        <v>0.50600000000000001</v>
      </c>
      <c r="F157" s="25">
        <v>0.53300000000000003</v>
      </c>
      <c r="G157" s="25">
        <v>0.50600000000000001</v>
      </c>
      <c r="H157" s="25">
        <v>0.44600000000000001</v>
      </c>
      <c r="I157" s="26">
        <f t="shared" si="28"/>
        <v>0.48159999999999997</v>
      </c>
      <c r="J157" s="25">
        <v>0.45800000000000002</v>
      </c>
      <c r="K157" s="25">
        <v>0.497</v>
      </c>
      <c r="L157" s="25">
        <v>0.51300000000000001</v>
      </c>
      <c r="M157" s="25">
        <v>0.48299999999999998</v>
      </c>
      <c r="N157" s="25">
        <v>0.47399999999999998</v>
      </c>
      <c r="O157" s="26">
        <f t="shared" si="29"/>
        <v>0.48499999999999999</v>
      </c>
      <c r="P157" s="25">
        <v>0.49099999999999999</v>
      </c>
      <c r="Q157" s="25">
        <v>0.56499999999999995</v>
      </c>
      <c r="R157" s="25">
        <v>0.53200000000000003</v>
      </c>
      <c r="S157" s="25">
        <v>0.48399999999999999</v>
      </c>
      <c r="T157" s="25">
        <v>0.52600000000000002</v>
      </c>
      <c r="U157" s="26">
        <f t="shared" si="30"/>
        <v>0.51959999999999995</v>
      </c>
      <c r="V157" s="25">
        <v>0.45800000000000002</v>
      </c>
      <c r="W157" s="25">
        <v>0.503</v>
      </c>
      <c r="X157" s="25">
        <v>0.51600000000000001</v>
      </c>
      <c r="Y157" s="25">
        <v>0.54600000000000004</v>
      </c>
      <c r="Z157" s="25">
        <v>0.51400000000000001</v>
      </c>
      <c r="AA157" s="26">
        <f t="shared" si="31"/>
        <v>0.50739999999999996</v>
      </c>
      <c r="AB157" s="25">
        <v>0.45800000000000002</v>
      </c>
      <c r="AC157" s="25">
        <v>0.503</v>
      </c>
      <c r="AD157" s="25">
        <v>0.51600000000000001</v>
      </c>
      <c r="AE157" s="25">
        <v>0.54600000000000004</v>
      </c>
      <c r="AF157" s="25">
        <v>0.51400000000000001</v>
      </c>
      <c r="AG157" s="26">
        <f t="shared" si="32"/>
        <v>0.50739999999999996</v>
      </c>
      <c r="AH157" s="25">
        <f t="shared" si="33"/>
        <v>0</v>
      </c>
      <c r="AI157" s="25">
        <f t="shared" si="34"/>
        <v>2.2399999999999975E-2</v>
      </c>
    </row>
    <row r="158" spans="1:35" x14ac:dyDescent="0.25">
      <c r="A158" s="24" t="s">
        <v>133</v>
      </c>
      <c r="B158" s="25" t="s">
        <v>124</v>
      </c>
      <c r="C158" s="25">
        <v>0</v>
      </c>
      <c r="D158" s="25">
        <v>0.72599999999999998</v>
      </c>
      <c r="E158" s="25">
        <v>0.73299999999999998</v>
      </c>
      <c r="F158" s="25">
        <v>0.72499999999999998</v>
      </c>
      <c r="G158" s="25">
        <v>0.72099999999999997</v>
      </c>
      <c r="H158" s="25">
        <v>0.71599999999999997</v>
      </c>
      <c r="I158" s="26">
        <f t="shared" si="28"/>
        <v>0.72420000000000007</v>
      </c>
      <c r="J158" s="25">
        <v>0.71199999999999997</v>
      </c>
      <c r="K158" s="25">
        <v>0.72599999999999998</v>
      </c>
      <c r="L158" s="25">
        <v>0.72799999999999998</v>
      </c>
      <c r="M158" s="25">
        <v>0.71599999999999997</v>
      </c>
      <c r="N158" s="25">
        <v>0.72299999999999998</v>
      </c>
      <c r="O158" s="26">
        <f t="shared" si="29"/>
        <v>0.72099999999999986</v>
      </c>
      <c r="P158" s="25"/>
      <c r="Q158" s="25"/>
      <c r="R158" s="25"/>
      <c r="S158" s="25"/>
      <c r="T158" s="25"/>
      <c r="U158" s="26" t="str">
        <f t="shared" si="30"/>
        <v/>
      </c>
      <c r="V158" s="25"/>
      <c r="W158" s="25"/>
      <c r="X158" s="25"/>
      <c r="Y158" s="25"/>
      <c r="Z158" s="25"/>
      <c r="AA158" s="26" t="str">
        <f t="shared" si="31"/>
        <v/>
      </c>
      <c r="AB158" s="25">
        <v>0.61199999999999999</v>
      </c>
      <c r="AC158" s="25">
        <v>0.62</v>
      </c>
      <c r="AD158" s="25">
        <v>0.60899999999999999</v>
      </c>
      <c r="AE158" s="25">
        <v>0.623</v>
      </c>
      <c r="AF158" s="25">
        <v>0.621</v>
      </c>
      <c r="AG158" s="26">
        <f t="shared" si="32"/>
        <v>0.61699999999999999</v>
      </c>
      <c r="AH158" s="25" t="str">
        <f t="shared" si="33"/>
        <v/>
      </c>
      <c r="AI158" s="25">
        <f t="shared" si="34"/>
        <v>-0.10399999999999987</v>
      </c>
    </row>
    <row r="159" spans="1:35" x14ac:dyDescent="0.25">
      <c r="A159" s="24" t="s">
        <v>133</v>
      </c>
      <c r="B159" s="25" t="s">
        <v>125</v>
      </c>
      <c r="C159" s="25">
        <v>0.2</v>
      </c>
      <c r="D159" s="25">
        <v>0.69599999999999995</v>
      </c>
      <c r="E159" s="25">
        <v>0.69599999999999995</v>
      </c>
      <c r="F159" s="25">
        <v>0.69399999999999995</v>
      </c>
      <c r="G159" s="25">
        <v>0.67900000000000005</v>
      </c>
      <c r="H159" s="25">
        <v>0.67300000000000004</v>
      </c>
      <c r="I159" s="26">
        <f t="shared" si="28"/>
        <v>0.68759999999999999</v>
      </c>
      <c r="J159" s="25">
        <v>0.67500000000000004</v>
      </c>
      <c r="K159" s="25">
        <v>0.68899999999999995</v>
      </c>
      <c r="L159" s="25">
        <v>0.66300000000000003</v>
      </c>
      <c r="M159" s="25">
        <v>0.68500000000000005</v>
      </c>
      <c r="N159" s="25">
        <v>0.65500000000000003</v>
      </c>
      <c r="O159" s="26">
        <f t="shared" si="29"/>
        <v>0.6734</v>
      </c>
      <c r="P159" s="25"/>
      <c r="Q159" s="25"/>
      <c r="R159" s="25"/>
      <c r="S159" s="25"/>
      <c r="T159" s="25"/>
      <c r="U159" s="26" t="str">
        <f t="shared" si="30"/>
        <v/>
      </c>
      <c r="V159" s="25"/>
      <c r="W159" s="25"/>
      <c r="X159" s="25"/>
      <c r="Y159" s="25"/>
      <c r="Z159" s="25"/>
      <c r="AA159" s="26" t="str">
        <f t="shared" si="31"/>
        <v/>
      </c>
      <c r="AB159" s="25">
        <v>0.59599999999999997</v>
      </c>
      <c r="AC159" s="25">
        <v>0.54900000000000004</v>
      </c>
      <c r="AD159" s="25">
        <v>0.52300000000000002</v>
      </c>
      <c r="AE159" s="25">
        <v>0.60199999999999998</v>
      </c>
      <c r="AF159" s="25">
        <v>0.57899999999999996</v>
      </c>
      <c r="AG159" s="26">
        <f t="shared" si="32"/>
        <v>0.56980000000000008</v>
      </c>
      <c r="AH159" s="25" t="str">
        <f t="shared" si="33"/>
        <v/>
      </c>
      <c r="AI159" s="25">
        <f t="shared" si="34"/>
        <v>-0.10359999999999991</v>
      </c>
    </row>
    <row r="160" spans="1:35" x14ac:dyDescent="0.25">
      <c r="A160" s="24" t="s">
        <v>133</v>
      </c>
      <c r="B160" s="25" t="s">
        <v>125</v>
      </c>
      <c r="C160" s="25">
        <v>0.3</v>
      </c>
      <c r="D160" s="25">
        <v>0.64700000000000002</v>
      </c>
      <c r="E160" s="25">
        <v>0.65100000000000002</v>
      </c>
      <c r="F160" s="25">
        <v>0.65100000000000002</v>
      </c>
      <c r="G160" s="25">
        <v>0.61099999999999999</v>
      </c>
      <c r="H160" s="25">
        <v>0.65700000000000003</v>
      </c>
      <c r="I160" s="26">
        <f t="shared" si="28"/>
        <v>0.64339999999999997</v>
      </c>
      <c r="J160" s="25">
        <v>0.65</v>
      </c>
      <c r="K160" s="25">
        <v>0.65400000000000003</v>
      </c>
      <c r="L160" s="25">
        <v>0.63600000000000001</v>
      </c>
      <c r="M160" s="25">
        <v>0.60799999999999998</v>
      </c>
      <c r="N160" s="25">
        <v>0.622</v>
      </c>
      <c r="O160" s="26">
        <f t="shared" si="29"/>
        <v>0.63400000000000001</v>
      </c>
      <c r="P160" s="25">
        <v>0.66800000000000004</v>
      </c>
      <c r="Q160" s="25">
        <v>0.63100000000000001</v>
      </c>
      <c r="R160" s="25">
        <v>0.61099999999999999</v>
      </c>
      <c r="S160" s="25">
        <v>0.58499999999999996</v>
      </c>
      <c r="T160" s="25">
        <v>0.57999999999999996</v>
      </c>
      <c r="U160" s="26">
        <f t="shared" si="30"/>
        <v>0.61499999999999999</v>
      </c>
      <c r="V160" s="25">
        <v>0.495</v>
      </c>
      <c r="W160" s="25">
        <v>0.65300000000000002</v>
      </c>
      <c r="X160" s="25">
        <v>0.51700000000000002</v>
      </c>
      <c r="Y160" s="25">
        <v>0.52700000000000002</v>
      </c>
      <c r="Z160" s="25">
        <v>0.53500000000000003</v>
      </c>
      <c r="AA160" s="26">
        <f t="shared" si="31"/>
        <v>0.54540000000000011</v>
      </c>
      <c r="AB160" s="25">
        <v>0.51600000000000001</v>
      </c>
      <c r="AC160" s="25">
        <v>0.65300000000000002</v>
      </c>
      <c r="AD160" s="25">
        <v>0.51700000000000002</v>
      </c>
      <c r="AE160" s="25">
        <v>0.52700000000000002</v>
      </c>
      <c r="AF160" s="25">
        <v>0.53500000000000003</v>
      </c>
      <c r="AG160" s="26">
        <f t="shared" si="32"/>
        <v>0.54960000000000009</v>
      </c>
      <c r="AH160" s="25">
        <f t="shared" si="33"/>
        <v>4.1999999999999815E-3</v>
      </c>
      <c r="AI160" s="25">
        <f t="shared" si="34"/>
        <v>-8.439999999999992E-2</v>
      </c>
    </row>
    <row r="161" spans="1:35" x14ac:dyDescent="0.25">
      <c r="A161" s="24" t="s">
        <v>133</v>
      </c>
      <c r="B161" s="25" t="s">
        <v>125</v>
      </c>
      <c r="C161" s="25">
        <v>0.4</v>
      </c>
      <c r="D161" s="25">
        <v>0.59399999999999997</v>
      </c>
      <c r="E161" s="25">
        <v>0.57699999999999996</v>
      </c>
      <c r="F161" s="25">
        <v>0.61799999999999999</v>
      </c>
      <c r="G161" s="25">
        <v>0.57299999999999995</v>
      </c>
      <c r="H161" s="25">
        <v>0.55600000000000005</v>
      </c>
      <c r="I161" s="26">
        <f t="shared" si="28"/>
        <v>0.5835999999999999</v>
      </c>
      <c r="J161" s="25">
        <v>0.58299999999999996</v>
      </c>
      <c r="K161" s="25">
        <v>0.57299999999999995</v>
      </c>
      <c r="L161" s="25">
        <v>0.58299999999999996</v>
      </c>
      <c r="M161" s="25">
        <v>0.58199999999999996</v>
      </c>
      <c r="N161" s="25">
        <v>0.52300000000000002</v>
      </c>
      <c r="O161" s="26">
        <f t="shared" si="29"/>
        <v>0.56879999999999997</v>
      </c>
      <c r="P161" s="25">
        <v>0.57699999999999996</v>
      </c>
      <c r="Q161" s="25">
        <v>0.57499999999999996</v>
      </c>
      <c r="R161" s="25">
        <v>0.51600000000000001</v>
      </c>
      <c r="S161" s="25">
        <v>0.54800000000000004</v>
      </c>
      <c r="T161" s="25">
        <v>0.55500000000000005</v>
      </c>
      <c r="U161" s="26">
        <f t="shared" si="30"/>
        <v>0.55420000000000003</v>
      </c>
      <c r="V161" s="25">
        <v>0.56399999999999995</v>
      </c>
      <c r="W161" s="25">
        <v>0.58799999999999997</v>
      </c>
      <c r="X161" s="25">
        <v>0.47199999999999998</v>
      </c>
      <c r="Y161" s="25">
        <v>0.505</v>
      </c>
      <c r="Z161" s="25">
        <v>0.58399999999999996</v>
      </c>
      <c r="AA161" s="26">
        <f t="shared" si="31"/>
        <v>0.54259999999999997</v>
      </c>
      <c r="AB161" s="25">
        <v>0.56399999999999995</v>
      </c>
      <c r="AC161" s="25">
        <v>0.58799999999999997</v>
      </c>
      <c r="AD161" s="25">
        <v>0.47199999999999998</v>
      </c>
      <c r="AE161" s="25">
        <v>0.505</v>
      </c>
      <c r="AF161" s="25">
        <v>0.58399999999999996</v>
      </c>
      <c r="AG161" s="26">
        <f t="shared" si="32"/>
        <v>0.54259999999999997</v>
      </c>
      <c r="AH161" s="25">
        <f t="shared" si="33"/>
        <v>0</v>
      </c>
      <c r="AI161" s="25">
        <f t="shared" si="34"/>
        <v>-2.6200000000000001E-2</v>
      </c>
    </row>
    <row r="162" spans="1:35" x14ac:dyDescent="0.25">
      <c r="A162" s="24" t="s">
        <v>133</v>
      </c>
      <c r="B162" s="25" t="s">
        <v>125</v>
      </c>
      <c r="C162" s="25">
        <v>0.5</v>
      </c>
      <c r="D162" s="25">
        <v>0.49199999999999999</v>
      </c>
      <c r="E162" s="25">
        <v>0.56000000000000005</v>
      </c>
      <c r="F162" s="25">
        <v>0.51</v>
      </c>
      <c r="G162" s="25">
        <v>0.47299999999999998</v>
      </c>
      <c r="H162" s="25">
        <v>0.496</v>
      </c>
      <c r="I162" s="26">
        <f t="shared" si="28"/>
        <v>0.50619999999999998</v>
      </c>
      <c r="J162" s="25">
        <v>0.48499999999999999</v>
      </c>
      <c r="K162" s="25">
        <v>0.53300000000000003</v>
      </c>
      <c r="L162" s="25">
        <v>0.50600000000000001</v>
      </c>
      <c r="M162" s="25">
        <v>0.48299999999999998</v>
      </c>
      <c r="N162" s="25">
        <v>0.47599999999999998</v>
      </c>
      <c r="O162" s="26">
        <f t="shared" si="29"/>
        <v>0.49660000000000004</v>
      </c>
      <c r="P162" s="25">
        <v>0.47799999999999998</v>
      </c>
      <c r="Q162" s="25">
        <v>0.46200000000000002</v>
      </c>
      <c r="R162" s="25">
        <v>0.51200000000000001</v>
      </c>
      <c r="S162" s="25">
        <v>0.51700000000000002</v>
      </c>
      <c r="T162" s="25">
        <v>0.501</v>
      </c>
      <c r="U162" s="26">
        <f t="shared" si="30"/>
        <v>0.49399999999999994</v>
      </c>
      <c r="V162" s="25">
        <v>0.48799999999999999</v>
      </c>
      <c r="W162" s="25">
        <v>0.46700000000000003</v>
      </c>
      <c r="X162" s="25">
        <v>0.56499999999999995</v>
      </c>
      <c r="Y162" s="25">
        <v>0.51600000000000001</v>
      </c>
      <c r="Z162" s="25">
        <v>0.45600000000000002</v>
      </c>
      <c r="AA162" s="26">
        <f t="shared" si="31"/>
        <v>0.49840000000000001</v>
      </c>
      <c r="AB162" s="25">
        <v>0.48799999999999999</v>
      </c>
      <c r="AC162" s="25">
        <v>0.46700000000000003</v>
      </c>
      <c r="AD162" s="25">
        <v>0.56499999999999995</v>
      </c>
      <c r="AE162" s="25">
        <v>0.51600000000000001</v>
      </c>
      <c r="AF162" s="25">
        <v>0.45600000000000002</v>
      </c>
      <c r="AG162" s="26">
        <f t="shared" si="32"/>
        <v>0.49840000000000001</v>
      </c>
      <c r="AH162" s="25">
        <f t="shared" si="33"/>
        <v>0</v>
      </c>
      <c r="AI162" s="25">
        <f t="shared" si="34"/>
        <v>1.7999999999999683E-3</v>
      </c>
    </row>
    <row r="163" spans="1:35" x14ac:dyDescent="0.25">
      <c r="A163" s="24" t="s">
        <v>133</v>
      </c>
      <c r="B163" s="25" t="s">
        <v>126</v>
      </c>
      <c r="C163" s="25">
        <v>0.2</v>
      </c>
      <c r="D163" s="25">
        <v>0.70899999999999996</v>
      </c>
      <c r="E163" s="25">
        <v>0.72699999999999998</v>
      </c>
      <c r="F163" s="25">
        <v>0.73499999999999999</v>
      </c>
      <c r="G163" s="25">
        <v>0.72299999999999998</v>
      </c>
      <c r="H163" s="25">
        <v>0.71199999999999997</v>
      </c>
      <c r="I163" s="26">
        <f t="shared" si="28"/>
        <v>0.72119999999999995</v>
      </c>
      <c r="J163" s="25">
        <v>0.72199999999999998</v>
      </c>
      <c r="K163" s="25">
        <v>0.72</v>
      </c>
      <c r="L163" s="25">
        <v>0.73</v>
      </c>
      <c r="M163" s="25">
        <v>0.71799999999999997</v>
      </c>
      <c r="N163" s="25">
        <v>0.71799999999999997</v>
      </c>
      <c r="O163" s="26">
        <f t="shared" si="29"/>
        <v>0.72159999999999991</v>
      </c>
      <c r="P163" s="25"/>
      <c r="Q163" s="25"/>
      <c r="R163" s="25"/>
      <c r="S163" s="25"/>
      <c r="T163" s="25"/>
      <c r="U163" s="26" t="str">
        <f t="shared" si="30"/>
        <v/>
      </c>
      <c r="V163" s="25"/>
      <c r="W163" s="25"/>
      <c r="X163" s="25"/>
      <c r="Y163" s="25"/>
      <c r="Z163" s="25"/>
      <c r="AA163" s="26" t="str">
        <f t="shared" si="31"/>
        <v/>
      </c>
      <c r="AB163" s="25">
        <v>0.59299999999999997</v>
      </c>
      <c r="AC163" s="25">
        <v>0.61599999999999999</v>
      </c>
      <c r="AD163" s="25">
        <v>0.66900000000000004</v>
      </c>
      <c r="AE163" s="25">
        <v>0.66900000000000004</v>
      </c>
      <c r="AF163" s="25">
        <v>0.57099999999999995</v>
      </c>
      <c r="AG163" s="26">
        <f t="shared" si="32"/>
        <v>0.62360000000000004</v>
      </c>
      <c r="AH163" s="25" t="str">
        <f t="shared" si="33"/>
        <v/>
      </c>
      <c r="AI163" s="25">
        <f t="shared" si="34"/>
        <v>-9.7999999999999865E-2</v>
      </c>
    </row>
    <row r="164" spans="1:35" x14ac:dyDescent="0.25">
      <c r="A164" s="24" t="s">
        <v>133</v>
      </c>
      <c r="B164" s="25" t="s">
        <v>126</v>
      </c>
      <c r="C164" s="25">
        <v>0.3</v>
      </c>
      <c r="D164" s="25">
        <v>0.71599999999999997</v>
      </c>
      <c r="E164" s="25">
        <v>0.72199999999999998</v>
      </c>
      <c r="F164" s="25">
        <v>0.72099999999999997</v>
      </c>
      <c r="G164" s="25">
        <v>0.71699999999999997</v>
      </c>
      <c r="H164" s="25">
        <v>0.70799999999999996</v>
      </c>
      <c r="I164" s="26">
        <f t="shared" si="28"/>
        <v>0.71679999999999988</v>
      </c>
      <c r="J164" s="25">
        <v>0.73499999999999999</v>
      </c>
      <c r="K164" s="25">
        <v>0.70599999999999996</v>
      </c>
      <c r="L164" s="25">
        <v>0.71699999999999997</v>
      </c>
      <c r="M164" s="25">
        <v>0.71399999999999997</v>
      </c>
      <c r="N164" s="25">
        <v>0.72699999999999998</v>
      </c>
      <c r="O164" s="26">
        <f t="shared" si="29"/>
        <v>0.7198</v>
      </c>
      <c r="P164" s="25"/>
      <c r="Q164" s="25"/>
      <c r="R164" s="25"/>
      <c r="S164" s="25"/>
      <c r="T164" s="25"/>
      <c r="U164" s="26" t="str">
        <f t="shared" si="30"/>
        <v/>
      </c>
      <c r="V164" s="25"/>
      <c r="W164" s="25"/>
      <c r="X164" s="25"/>
      <c r="Y164" s="25"/>
      <c r="Z164" s="25"/>
      <c r="AA164" s="26" t="str">
        <f t="shared" si="31"/>
        <v/>
      </c>
      <c r="AB164" s="25">
        <v>0.64400000000000002</v>
      </c>
      <c r="AC164" s="25">
        <v>0.56399999999999995</v>
      </c>
      <c r="AD164" s="25">
        <v>0.64500000000000002</v>
      </c>
      <c r="AE164" s="25">
        <v>0.64900000000000002</v>
      </c>
      <c r="AF164" s="25">
        <v>0.628</v>
      </c>
      <c r="AG164" s="26">
        <f t="shared" si="32"/>
        <v>0.626</v>
      </c>
      <c r="AH164" s="25" t="str">
        <f t="shared" si="33"/>
        <v/>
      </c>
      <c r="AI164" s="25">
        <f t="shared" si="34"/>
        <v>-9.3799999999999994E-2</v>
      </c>
    </row>
    <row r="165" spans="1:35" x14ac:dyDescent="0.25">
      <c r="A165" s="24" t="s">
        <v>133</v>
      </c>
      <c r="B165" s="25" t="s">
        <v>126</v>
      </c>
      <c r="C165" s="25">
        <v>0.4</v>
      </c>
      <c r="D165" s="25">
        <v>0.71499999999999997</v>
      </c>
      <c r="E165" s="25">
        <v>0.71</v>
      </c>
      <c r="F165" s="25">
        <v>0.70699999999999996</v>
      </c>
      <c r="G165" s="25">
        <v>0.70499999999999996</v>
      </c>
      <c r="H165" s="25">
        <v>0.70899999999999996</v>
      </c>
      <c r="I165" s="26">
        <f t="shared" ref="I165:I196" si="35">IFERROR(AVERAGE(D165:H165),"")</f>
        <v>0.70919999999999994</v>
      </c>
      <c r="J165" s="25">
        <v>0.71899999999999997</v>
      </c>
      <c r="K165" s="25">
        <v>0.72199999999999998</v>
      </c>
      <c r="L165" s="25">
        <v>0.71799999999999997</v>
      </c>
      <c r="M165" s="25">
        <v>0.69599999999999995</v>
      </c>
      <c r="N165" s="25">
        <v>0.71399999999999997</v>
      </c>
      <c r="O165" s="26">
        <f t="shared" ref="O165:O196" si="36">IFERROR(AVERAGE(J165:N165),"")</f>
        <v>0.71379999999999988</v>
      </c>
      <c r="P165" s="25"/>
      <c r="Q165" s="25"/>
      <c r="R165" s="25"/>
      <c r="S165" s="25"/>
      <c r="T165" s="25"/>
      <c r="U165" s="26" t="str">
        <f t="shared" ref="U165:U196" si="37">IFERROR(AVERAGE(P165:T165),"")</f>
        <v/>
      </c>
      <c r="V165" s="25"/>
      <c r="W165" s="25"/>
      <c r="X165" s="25"/>
      <c r="Y165" s="25"/>
      <c r="Z165" s="25"/>
      <c r="AA165" s="26" t="str">
        <f t="shared" ref="AA165:AA196" si="38">IFERROR(AVERAGE(V165:Z165),"")</f>
        <v/>
      </c>
      <c r="AB165" s="25">
        <v>0.59099999999999997</v>
      </c>
      <c r="AC165" s="25">
        <v>0.57499999999999996</v>
      </c>
      <c r="AD165" s="25">
        <v>0.58599999999999997</v>
      </c>
      <c r="AE165" s="25">
        <v>0.64500000000000002</v>
      </c>
      <c r="AF165" s="25">
        <v>0.59099999999999997</v>
      </c>
      <c r="AG165" s="26">
        <f t="shared" ref="AG165:AG196" si="39">IFERROR(AVERAGE(AB165:AF165),"")</f>
        <v>0.59759999999999991</v>
      </c>
      <c r="AH165" s="25" t="str">
        <f t="shared" ref="AH165:AH196" si="40">IFERROR(AG165-AA165,"")</f>
        <v/>
      </c>
      <c r="AI165" s="25">
        <f t="shared" ref="AI165:AI174" si="41">IFERROR(AG165-O165,"")</f>
        <v>-0.11619999999999997</v>
      </c>
    </row>
    <row r="166" spans="1:35" x14ac:dyDescent="0.25">
      <c r="A166" s="24" t="s">
        <v>133</v>
      </c>
      <c r="B166" s="25" t="s">
        <v>126</v>
      </c>
      <c r="C166" s="25">
        <v>0.5</v>
      </c>
      <c r="D166" s="25">
        <v>0.71099999999999997</v>
      </c>
      <c r="E166" s="25">
        <v>0.72099999999999997</v>
      </c>
      <c r="F166" s="25">
        <v>0.71099999999999997</v>
      </c>
      <c r="G166" s="25">
        <v>0.70599999999999996</v>
      </c>
      <c r="H166" s="25">
        <v>0.70199999999999996</v>
      </c>
      <c r="I166" s="26">
        <f t="shared" si="35"/>
        <v>0.71019999999999994</v>
      </c>
      <c r="J166" s="25">
        <v>0.70899999999999996</v>
      </c>
      <c r="K166" s="25">
        <v>0.71199999999999997</v>
      </c>
      <c r="L166" s="25">
        <v>0.71099999999999997</v>
      </c>
      <c r="M166" s="25">
        <v>0.71799999999999997</v>
      </c>
      <c r="N166" s="25">
        <v>0.72499999999999998</v>
      </c>
      <c r="O166" s="26">
        <f t="shared" si="36"/>
        <v>0.71499999999999997</v>
      </c>
      <c r="P166" s="25"/>
      <c r="Q166" s="25"/>
      <c r="R166" s="25"/>
      <c r="S166" s="25"/>
      <c r="T166" s="25"/>
      <c r="U166" s="26" t="str">
        <f t="shared" si="37"/>
        <v/>
      </c>
      <c r="V166" s="25"/>
      <c r="W166" s="25"/>
      <c r="X166" s="25"/>
      <c r="Y166" s="25"/>
      <c r="Z166" s="25"/>
      <c r="AA166" s="26" t="str">
        <f t="shared" si="38"/>
        <v/>
      </c>
      <c r="AB166" s="25">
        <v>0.61499999999999999</v>
      </c>
      <c r="AC166" s="25">
        <v>0.60099999999999998</v>
      </c>
      <c r="AD166" s="25">
        <v>0.63500000000000001</v>
      </c>
      <c r="AE166" s="25">
        <v>0.58899999999999997</v>
      </c>
      <c r="AF166" s="25">
        <v>0.58599999999999997</v>
      </c>
      <c r="AG166" s="26">
        <f t="shared" si="39"/>
        <v>0.60519999999999996</v>
      </c>
      <c r="AH166" s="25" t="str">
        <f t="shared" si="40"/>
        <v/>
      </c>
      <c r="AI166" s="25">
        <f t="shared" si="41"/>
        <v>-0.10980000000000001</v>
      </c>
    </row>
    <row r="167" spans="1:35" x14ac:dyDescent="0.25">
      <c r="A167" s="24" t="s">
        <v>133</v>
      </c>
      <c r="B167" s="25" t="s">
        <v>127</v>
      </c>
      <c r="C167" s="25">
        <v>0.2</v>
      </c>
      <c r="D167" s="25">
        <v>0.72</v>
      </c>
      <c r="E167" s="25">
        <v>0.72</v>
      </c>
      <c r="F167" s="25">
        <v>0.70799999999999996</v>
      </c>
      <c r="G167" s="25">
        <v>0.71</v>
      </c>
      <c r="H167" s="25">
        <v>0.69499999999999995</v>
      </c>
      <c r="I167" s="26">
        <f t="shared" si="35"/>
        <v>0.7105999999999999</v>
      </c>
      <c r="J167" s="25">
        <v>0.71499999999999997</v>
      </c>
      <c r="K167" s="25">
        <v>0.72199999999999998</v>
      </c>
      <c r="L167" s="25">
        <v>0.71</v>
      </c>
      <c r="M167" s="25">
        <v>0.7</v>
      </c>
      <c r="N167" s="25">
        <v>0.68600000000000005</v>
      </c>
      <c r="O167" s="26">
        <f t="shared" si="36"/>
        <v>0.70659999999999989</v>
      </c>
      <c r="P167" s="25"/>
      <c r="Q167" s="25"/>
      <c r="R167" s="25"/>
      <c r="S167" s="25"/>
      <c r="T167" s="25"/>
      <c r="U167" s="26" t="str">
        <f t="shared" si="37"/>
        <v/>
      </c>
      <c r="V167" s="25"/>
      <c r="W167" s="25"/>
      <c r="X167" s="25"/>
      <c r="Y167" s="25"/>
      <c r="Z167" s="25"/>
      <c r="AA167" s="26" t="str">
        <f t="shared" si="38"/>
        <v/>
      </c>
      <c r="AB167" s="25">
        <v>0.56499999999999995</v>
      </c>
      <c r="AC167" s="25">
        <v>0.58499999999999996</v>
      </c>
      <c r="AD167" s="25">
        <v>0.55600000000000005</v>
      </c>
      <c r="AE167" s="25">
        <v>0.54</v>
      </c>
      <c r="AF167" s="25">
        <v>0.54300000000000004</v>
      </c>
      <c r="AG167" s="26">
        <f t="shared" si="39"/>
        <v>0.55780000000000007</v>
      </c>
      <c r="AH167" s="25" t="str">
        <f t="shared" si="40"/>
        <v/>
      </c>
      <c r="AI167" s="25">
        <f t="shared" si="41"/>
        <v>-0.14879999999999982</v>
      </c>
    </row>
    <row r="168" spans="1:35" x14ac:dyDescent="0.25">
      <c r="A168" s="24" t="s">
        <v>133</v>
      </c>
      <c r="B168" s="25" t="s">
        <v>127</v>
      </c>
      <c r="C168" s="25">
        <v>0.3</v>
      </c>
      <c r="D168" s="25">
        <v>0.69799999999999995</v>
      </c>
      <c r="E168" s="25">
        <v>0.69899999999999995</v>
      </c>
      <c r="F168" s="25">
        <v>0.69799999999999995</v>
      </c>
      <c r="G168" s="25">
        <v>0.69399999999999995</v>
      </c>
      <c r="H168" s="25">
        <v>0.7</v>
      </c>
      <c r="I168" s="26">
        <f t="shared" si="35"/>
        <v>0.69779999999999998</v>
      </c>
      <c r="J168" s="25">
        <v>0.69</v>
      </c>
      <c r="K168" s="25">
        <v>0.69199999999999995</v>
      </c>
      <c r="L168" s="25">
        <v>0.69799999999999995</v>
      </c>
      <c r="M168" s="25">
        <v>0.68899999999999995</v>
      </c>
      <c r="N168" s="25">
        <v>0.70399999999999996</v>
      </c>
      <c r="O168" s="26">
        <f t="shared" si="36"/>
        <v>0.6946</v>
      </c>
      <c r="P168" s="25"/>
      <c r="Q168" s="25"/>
      <c r="R168" s="25"/>
      <c r="S168" s="25"/>
      <c r="T168" s="25"/>
      <c r="U168" s="26" t="str">
        <f t="shared" si="37"/>
        <v/>
      </c>
      <c r="V168" s="25"/>
      <c r="W168" s="25"/>
      <c r="X168" s="25"/>
      <c r="Y168" s="25"/>
      <c r="Z168" s="25"/>
      <c r="AA168" s="26" t="str">
        <f t="shared" si="38"/>
        <v/>
      </c>
      <c r="AB168" s="25">
        <v>0.46899999999999997</v>
      </c>
      <c r="AC168" s="25">
        <v>0.50700000000000001</v>
      </c>
      <c r="AD168" s="25">
        <v>0.52800000000000002</v>
      </c>
      <c r="AE168" s="25">
        <v>0.51900000000000002</v>
      </c>
      <c r="AF168" s="25">
        <v>0.50700000000000001</v>
      </c>
      <c r="AG168" s="26">
        <f t="shared" si="39"/>
        <v>0.50600000000000001</v>
      </c>
      <c r="AH168" s="25" t="str">
        <f t="shared" si="40"/>
        <v/>
      </c>
      <c r="AI168" s="25">
        <f t="shared" si="41"/>
        <v>-0.18859999999999999</v>
      </c>
    </row>
    <row r="169" spans="1:35" x14ac:dyDescent="0.25">
      <c r="A169" s="24" t="s">
        <v>133</v>
      </c>
      <c r="B169" s="25" t="s">
        <v>127</v>
      </c>
      <c r="C169" s="25">
        <v>0.4</v>
      </c>
      <c r="D169" s="25">
        <v>0.70199999999999996</v>
      </c>
      <c r="E169" s="25">
        <v>0.67900000000000005</v>
      </c>
      <c r="F169" s="25">
        <v>0.69</v>
      </c>
      <c r="G169" s="25">
        <v>0.68300000000000005</v>
      </c>
      <c r="H169" s="25">
        <v>0.67100000000000004</v>
      </c>
      <c r="I169" s="26">
        <f t="shared" si="35"/>
        <v>0.68499999999999994</v>
      </c>
      <c r="J169" s="25">
        <v>0.69299999999999995</v>
      </c>
      <c r="K169" s="25">
        <v>0.66300000000000003</v>
      </c>
      <c r="L169" s="25">
        <v>0.68899999999999995</v>
      </c>
      <c r="M169" s="25">
        <v>0.66600000000000004</v>
      </c>
      <c r="N169" s="25">
        <v>0.65200000000000002</v>
      </c>
      <c r="O169" s="26">
        <f t="shared" si="36"/>
        <v>0.67259999999999998</v>
      </c>
      <c r="P169" s="25">
        <v>0.62</v>
      </c>
      <c r="Q169" s="25">
        <v>0.6</v>
      </c>
      <c r="R169" s="25">
        <v>0.623</v>
      </c>
      <c r="S169" s="25">
        <v>0.59499999999999997</v>
      </c>
      <c r="T169" s="25">
        <v>0.56200000000000006</v>
      </c>
      <c r="U169" s="26">
        <f t="shared" si="37"/>
        <v>0.6</v>
      </c>
      <c r="V169" s="25">
        <v>0.60699999999999998</v>
      </c>
      <c r="W169" s="25">
        <v>0.49</v>
      </c>
      <c r="X169" s="25">
        <v>0.51400000000000001</v>
      </c>
      <c r="Y169" s="25">
        <v>0.53200000000000003</v>
      </c>
      <c r="Z169" s="25">
        <v>0.48499999999999999</v>
      </c>
      <c r="AA169" s="26">
        <f t="shared" si="38"/>
        <v>0.52559999999999996</v>
      </c>
      <c r="AB169" s="25">
        <v>0.51400000000000001</v>
      </c>
      <c r="AC169" s="25">
        <v>0.45300000000000001</v>
      </c>
      <c r="AD169" s="25">
        <v>0.51400000000000001</v>
      </c>
      <c r="AE169" s="25">
        <v>0.499</v>
      </c>
      <c r="AF169" s="25">
        <v>0.49199999999999999</v>
      </c>
      <c r="AG169" s="26">
        <f t="shared" si="39"/>
        <v>0.49440000000000001</v>
      </c>
      <c r="AH169" s="25">
        <f t="shared" si="40"/>
        <v>-3.119999999999995E-2</v>
      </c>
      <c r="AI169" s="25">
        <f t="shared" si="41"/>
        <v>-0.17819999999999997</v>
      </c>
    </row>
    <row r="170" spans="1:35" x14ac:dyDescent="0.25">
      <c r="A170" s="24" t="s">
        <v>133</v>
      </c>
      <c r="B170" s="25" t="s">
        <v>127</v>
      </c>
      <c r="C170" s="25">
        <v>0.5</v>
      </c>
      <c r="D170" s="25">
        <v>0.48699999999999999</v>
      </c>
      <c r="E170" s="25">
        <v>0.50700000000000001</v>
      </c>
      <c r="F170" s="25">
        <v>0.48</v>
      </c>
      <c r="G170" s="25">
        <v>0.51400000000000001</v>
      </c>
      <c r="H170" s="25">
        <v>0.47299999999999998</v>
      </c>
      <c r="I170" s="26">
        <f t="shared" si="35"/>
        <v>0.49219999999999997</v>
      </c>
      <c r="J170" s="25">
        <v>0.499</v>
      </c>
      <c r="K170" s="25">
        <v>0.50800000000000001</v>
      </c>
      <c r="L170" s="25">
        <v>0.46899999999999997</v>
      </c>
      <c r="M170" s="25">
        <v>0.51200000000000001</v>
      </c>
      <c r="N170" s="25">
        <v>0.46500000000000002</v>
      </c>
      <c r="O170" s="26">
        <f t="shared" si="36"/>
        <v>0.49059999999999998</v>
      </c>
      <c r="P170" s="25">
        <v>0.5</v>
      </c>
      <c r="Q170" s="25">
        <v>0.53200000000000003</v>
      </c>
      <c r="R170" s="25">
        <v>0.48599999999999999</v>
      </c>
      <c r="S170" s="25">
        <v>0.49299999999999999</v>
      </c>
      <c r="T170" s="25">
        <v>0.45800000000000002</v>
      </c>
      <c r="U170" s="26">
        <f t="shared" si="37"/>
        <v>0.49380000000000007</v>
      </c>
      <c r="V170" s="25">
        <v>0.436</v>
      </c>
      <c r="W170" s="25">
        <v>0.54700000000000004</v>
      </c>
      <c r="X170" s="25">
        <v>0.47299999999999998</v>
      </c>
      <c r="Y170" s="25">
        <v>0.501</v>
      </c>
      <c r="Z170" s="25">
        <v>0.54</v>
      </c>
      <c r="AA170" s="26">
        <f t="shared" si="38"/>
        <v>0.49939999999999996</v>
      </c>
      <c r="AB170" s="25">
        <v>0.436</v>
      </c>
      <c r="AC170" s="25">
        <v>0.54700000000000004</v>
      </c>
      <c r="AD170" s="25">
        <v>0.47299999999999998</v>
      </c>
      <c r="AE170" s="25">
        <v>0.501</v>
      </c>
      <c r="AF170" s="25">
        <v>0.54</v>
      </c>
      <c r="AG170" s="26">
        <f t="shared" si="39"/>
        <v>0.49939999999999996</v>
      </c>
      <c r="AH170" s="25">
        <f t="shared" si="40"/>
        <v>0</v>
      </c>
      <c r="AI170" s="25">
        <f t="shared" si="41"/>
        <v>8.7999999999999745E-3</v>
      </c>
    </row>
    <row r="171" spans="1:35" x14ac:dyDescent="0.25">
      <c r="A171" s="24" t="s">
        <v>133</v>
      </c>
      <c r="B171" s="25" t="s">
        <v>128</v>
      </c>
      <c r="C171" s="25">
        <v>0.2</v>
      </c>
      <c r="D171" s="25">
        <v>0.68100000000000005</v>
      </c>
      <c r="E171" s="25">
        <v>0.70099999999999996</v>
      </c>
      <c r="F171" s="25">
        <v>0.68500000000000005</v>
      </c>
      <c r="G171" s="25">
        <v>0.68899999999999995</v>
      </c>
      <c r="H171" s="25">
        <v>0.68799999999999994</v>
      </c>
      <c r="I171" s="26">
        <f t="shared" si="35"/>
        <v>0.68879999999999997</v>
      </c>
      <c r="J171" s="25">
        <v>0.66</v>
      </c>
      <c r="K171" s="25">
        <v>0.69099999999999995</v>
      </c>
      <c r="L171" s="25">
        <v>0.68700000000000006</v>
      </c>
      <c r="M171" s="25">
        <v>0.67500000000000004</v>
      </c>
      <c r="N171" s="25">
        <v>0.66300000000000003</v>
      </c>
      <c r="O171" s="26">
        <f t="shared" si="36"/>
        <v>0.67520000000000002</v>
      </c>
      <c r="P171" s="25"/>
      <c r="Q171" s="25"/>
      <c r="R171" s="25"/>
      <c r="S171" s="25"/>
      <c r="T171" s="25"/>
      <c r="U171" s="26" t="str">
        <f t="shared" si="37"/>
        <v/>
      </c>
      <c r="V171" s="25"/>
      <c r="W171" s="25"/>
      <c r="X171" s="25"/>
      <c r="Y171" s="25"/>
      <c r="Z171" s="25"/>
      <c r="AA171" s="26" t="str">
        <f t="shared" si="38"/>
        <v/>
      </c>
      <c r="AB171" s="25">
        <v>0.56100000000000005</v>
      </c>
      <c r="AC171" s="25">
        <v>0.54500000000000004</v>
      </c>
      <c r="AD171" s="25">
        <v>0.57499999999999996</v>
      </c>
      <c r="AE171" s="25">
        <v>0.55600000000000005</v>
      </c>
      <c r="AF171" s="25">
        <v>0.53500000000000003</v>
      </c>
      <c r="AG171" s="26">
        <f t="shared" si="39"/>
        <v>0.5544</v>
      </c>
      <c r="AH171" s="25" t="str">
        <f t="shared" si="40"/>
        <v/>
      </c>
      <c r="AI171" s="25">
        <f t="shared" si="41"/>
        <v>-0.12080000000000002</v>
      </c>
    </row>
    <row r="172" spans="1:35" x14ac:dyDescent="0.25">
      <c r="A172" s="24" t="s">
        <v>133</v>
      </c>
      <c r="B172" s="25" t="s">
        <v>128</v>
      </c>
      <c r="C172" s="25">
        <v>0.3</v>
      </c>
      <c r="D172" s="25">
        <v>0.65700000000000003</v>
      </c>
      <c r="E172" s="25">
        <v>0.66600000000000004</v>
      </c>
      <c r="F172" s="25">
        <v>0.65300000000000002</v>
      </c>
      <c r="G172" s="25">
        <v>0.63800000000000001</v>
      </c>
      <c r="H172" s="25">
        <v>0.68300000000000005</v>
      </c>
      <c r="I172" s="26">
        <f t="shared" si="35"/>
        <v>0.65939999999999999</v>
      </c>
      <c r="J172" s="25">
        <v>0.63600000000000001</v>
      </c>
      <c r="K172" s="25">
        <v>0.66400000000000003</v>
      </c>
      <c r="L172" s="25">
        <v>0.64300000000000002</v>
      </c>
      <c r="M172" s="25">
        <v>0.628</v>
      </c>
      <c r="N172" s="25">
        <v>0.65900000000000003</v>
      </c>
      <c r="O172" s="26">
        <f t="shared" si="36"/>
        <v>0.64600000000000013</v>
      </c>
      <c r="P172" s="25"/>
      <c r="Q172" s="25"/>
      <c r="R172" s="25"/>
      <c r="S172" s="25">
        <v>0.60499999999999998</v>
      </c>
      <c r="T172" s="25"/>
      <c r="U172" s="26">
        <f t="shared" si="37"/>
        <v>0.60499999999999998</v>
      </c>
      <c r="V172" s="25"/>
      <c r="W172" s="25"/>
      <c r="X172" s="25"/>
      <c r="Y172" s="25">
        <v>0.6</v>
      </c>
      <c r="Z172" s="25"/>
      <c r="AA172" s="26">
        <f t="shared" si="38"/>
        <v>0.6</v>
      </c>
      <c r="AB172" s="25">
        <v>0.58899999999999997</v>
      </c>
      <c r="AC172" s="25">
        <v>0.54400000000000004</v>
      </c>
      <c r="AD172" s="25">
        <v>0.64400000000000002</v>
      </c>
      <c r="AE172" s="25">
        <v>0.629</v>
      </c>
      <c r="AF172" s="25">
        <v>0.61499999999999999</v>
      </c>
      <c r="AG172" s="26">
        <f t="shared" si="39"/>
        <v>0.60419999999999996</v>
      </c>
      <c r="AH172" s="25">
        <f t="shared" si="40"/>
        <v>4.1999999999999815E-3</v>
      </c>
      <c r="AI172" s="25">
        <f t="shared" si="41"/>
        <v>-4.180000000000017E-2</v>
      </c>
    </row>
    <row r="173" spans="1:35" x14ac:dyDescent="0.25">
      <c r="A173" s="24" t="s">
        <v>133</v>
      </c>
      <c r="B173" s="25" t="s">
        <v>128</v>
      </c>
      <c r="C173" s="25">
        <v>0.4</v>
      </c>
      <c r="D173" s="25">
        <v>0.60799999999999998</v>
      </c>
      <c r="E173" s="25">
        <v>0.55800000000000005</v>
      </c>
      <c r="F173" s="25">
        <v>0.55800000000000005</v>
      </c>
      <c r="G173" s="25">
        <v>0.56200000000000006</v>
      </c>
      <c r="H173" s="25">
        <v>0.61299999999999999</v>
      </c>
      <c r="I173" s="26">
        <f t="shared" si="35"/>
        <v>0.57979999999999998</v>
      </c>
      <c r="J173" s="25">
        <v>0.625</v>
      </c>
      <c r="K173" s="25">
        <v>0.57099999999999995</v>
      </c>
      <c r="L173" s="25">
        <v>0.56399999999999995</v>
      </c>
      <c r="M173" s="25">
        <v>0.57399999999999995</v>
      </c>
      <c r="N173" s="25">
        <v>0.61499999999999999</v>
      </c>
      <c r="O173" s="26">
        <f t="shared" si="36"/>
        <v>0.58979999999999999</v>
      </c>
      <c r="P173" s="25">
        <v>0.61199999999999999</v>
      </c>
      <c r="Q173" s="25">
        <v>0.54800000000000004</v>
      </c>
      <c r="R173" s="25">
        <v>0.57999999999999996</v>
      </c>
      <c r="S173" s="25">
        <v>0.59799999999999998</v>
      </c>
      <c r="T173" s="25">
        <v>0.51600000000000001</v>
      </c>
      <c r="U173" s="26">
        <f t="shared" si="37"/>
        <v>0.57079999999999997</v>
      </c>
      <c r="V173" s="25">
        <v>0.48099999999999998</v>
      </c>
      <c r="W173" s="25">
        <v>0.53300000000000003</v>
      </c>
      <c r="X173" s="25">
        <v>0.59399999999999997</v>
      </c>
      <c r="Y173" s="25">
        <v>0.48699999999999999</v>
      </c>
      <c r="Z173" s="25">
        <v>0.56499999999999995</v>
      </c>
      <c r="AA173" s="26">
        <f t="shared" si="38"/>
        <v>0.53200000000000003</v>
      </c>
      <c r="AB173" s="25">
        <v>0.48099999999999998</v>
      </c>
      <c r="AC173" s="25">
        <v>0.53300000000000003</v>
      </c>
      <c r="AD173" s="25">
        <v>0.59399999999999997</v>
      </c>
      <c r="AE173" s="25">
        <v>0.48699999999999999</v>
      </c>
      <c r="AF173" s="25">
        <v>0.56499999999999995</v>
      </c>
      <c r="AG173" s="26">
        <f t="shared" si="39"/>
        <v>0.53200000000000003</v>
      </c>
      <c r="AH173" s="25">
        <f t="shared" si="40"/>
        <v>0</v>
      </c>
      <c r="AI173" s="25">
        <f t="shared" si="41"/>
        <v>-5.7799999999999963E-2</v>
      </c>
    </row>
    <row r="174" spans="1:35" x14ac:dyDescent="0.25">
      <c r="A174" s="24" t="s">
        <v>133</v>
      </c>
      <c r="B174" s="25" t="s">
        <v>128</v>
      </c>
      <c r="C174" s="25">
        <v>0.5</v>
      </c>
      <c r="D174" s="25">
        <v>0.45800000000000002</v>
      </c>
      <c r="E174" s="25">
        <v>0.52200000000000002</v>
      </c>
      <c r="F174" s="25">
        <v>0.49399999999999999</v>
      </c>
      <c r="G174" s="25">
        <v>0.505</v>
      </c>
      <c r="H174" s="25">
        <v>0.51100000000000001</v>
      </c>
      <c r="I174" s="26">
        <f t="shared" si="35"/>
        <v>0.49800000000000005</v>
      </c>
      <c r="J174" s="25">
        <v>0.48</v>
      </c>
      <c r="K174" s="25">
        <v>0.52200000000000002</v>
      </c>
      <c r="L174" s="25">
        <v>0.47799999999999998</v>
      </c>
      <c r="M174" s="25">
        <v>0.501</v>
      </c>
      <c r="N174" s="25">
        <v>0.504</v>
      </c>
      <c r="O174" s="26">
        <f t="shared" si="36"/>
        <v>0.497</v>
      </c>
      <c r="P174" s="25">
        <v>0.50800000000000001</v>
      </c>
      <c r="Q174" s="25">
        <v>0.53800000000000003</v>
      </c>
      <c r="R174" s="25">
        <v>0.46</v>
      </c>
      <c r="S174" s="25">
        <v>0.45700000000000002</v>
      </c>
      <c r="T174" s="25">
        <v>0.46700000000000003</v>
      </c>
      <c r="U174" s="26">
        <f t="shared" si="37"/>
        <v>0.48600000000000004</v>
      </c>
      <c r="V174" s="25">
        <v>0.48199999999999998</v>
      </c>
      <c r="W174" s="25">
        <v>0.51700000000000002</v>
      </c>
      <c r="X174" s="25">
        <v>0.46100000000000002</v>
      </c>
      <c r="Y174" s="25">
        <v>0.47399999999999998</v>
      </c>
      <c r="Z174" s="25">
        <v>0.499</v>
      </c>
      <c r="AA174" s="26">
        <f t="shared" si="38"/>
        <v>0.48659999999999998</v>
      </c>
      <c r="AB174" s="25">
        <v>0.48199999999999998</v>
      </c>
      <c r="AC174" s="25">
        <v>0.51700000000000002</v>
      </c>
      <c r="AD174" s="25">
        <v>0.46100000000000002</v>
      </c>
      <c r="AE174" s="25">
        <v>0.47399999999999998</v>
      </c>
      <c r="AF174" s="25">
        <v>0.499</v>
      </c>
      <c r="AG174" s="26">
        <f t="shared" si="39"/>
        <v>0.48659999999999998</v>
      </c>
      <c r="AH174" s="25">
        <f t="shared" si="40"/>
        <v>0</v>
      </c>
      <c r="AI174" s="25">
        <f t="shared" si="41"/>
        <v>-1.040000000000002E-2</v>
      </c>
    </row>
    <row r="176" spans="1:35" ht="17.25" customHeight="1" x14ac:dyDescent="0.3">
      <c r="A176" s="21" t="s">
        <v>210</v>
      </c>
    </row>
    <row r="177" spans="1:8" x14ac:dyDescent="0.25">
      <c r="A177" s="27" t="s">
        <v>108</v>
      </c>
      <c r="B177" s="27" t="s">
        <v>109</v>
      </c>
      <c r="C177" s="27" t="s">
        <v>183</v>
      </c>
      <c r="D177" s="27" t="s">
        <v>184</v>
      </c>
      <c r="E177" s="27" t="s">
        <v>211</v>
      </c>
      <c r="F177" s="27" t="s">
        <v>212</v>
      </c>
      <c r="G177" s="27" t="s">
        <v>213</v>
      </c>
      <c r="H177" s="27" t="s">
        <v>209</v>
      </c>
    </row>
    <row r="178" spans="1:8" x14ac:dyDescent="0.25">
      <c r="A178" s="24" t="s">
        <v>124</v>
      </c>
      <c r="B178" s="25">
        <v>0</v>
      </c>
      <c r="C178" s="25">
        <f t="shared" ref="C178:C194" si="42">IFERROR(AVERAGEIFS($I$5:$I$174,$B$5:$B$174,$A178,$C$5:$C$174,$B178),"")</f>
        <v>0.82224000000000008</v>
      </c>
      <c r="D178" s="25">
        <f t="shared" ref="D178:D194" si="43">IFERROR(AVERAGEIFS($O$5:$O$174,$B$5:$B$174,$A178,$C$5:$C$174,$B178),"")</f>
        <v>0.83099999999999985</v>
      </c>
      <c r="E178" s="25">
        <f t="shared" ref="E178:E194" si="44">IFERROR(AVERAGEIFS($U$5:$U$174,$B$5:$B$174,$A178,$C$5:$C$174,$B178),"")</f>
        <v>0.74443999999999988</v>
      </c>
      <c r="F178" s="25">
        <f t="shared" ref="F178:F194" si="45">IFERROR(AVERAGEIFS($AA$5:$AA$174,$B$5:$B$174,$A178,$C$5:$C$174,$B178),"")</f>
        <v>0.75495999999999996</v>
      </c>
      <c r="G178" s="25">
        <f t="shared" ref="G178:G194" si="46">IFERROR(AVERAGEIFS($AG$5:$AG$174,$B$5:$B$174,$A178,$C$5:$C$174,$B178),"")</f>
        <v>0.72101999999999999</v>
      </c>
      <c r="H178" s="25">
        <f t="shared" ref="H178:H194" si="47">IFERROR(G178-F178,"")</f>
        <v>-3.393999999999997E-2</v>
      </c>
    </row>
    <row r="179" spans="1:8" x14ac:dyDescent="0.25">
      <c r="A179" s="24" t="s">
        <v>125</v>
      </c>
      <c r="B179" s="25">
        <v>0.2</v>
      </c>
      <c r="C179" s="25">
        <f t="shared" si="42"/>
        <v>0.77533999999999992</v>
      </c>
      <c r="D179" s="25">
        <f t="shared" si="43"/>
        <v>0.79166000000000003</v>
      </c>
      <c r="E179" s="25">
        <f t="shared" si="44"/>
        <v>0.81657142857142873</v>
      </c>
      <c r="F179" s="25">
        <f t="shared" si="45"/>
        <v>0.81645714285714288</v>
      </c>
      <c r="G179" s="25">
        <f t="shared" si="46"/>
        <v>0.73504000000000003</v>
      </c>
      <c r="H179" s="25">
        <f t="shared" si="47"/>
        <v>-8.1417142857142855E-2</v>
      </c>
    </row>
    <row r="180" spans="1:8" x14ac:dyDescent="0.25">
      <c r="A180" s="24" t="s">
        <v>125</v>
      </c>
      <c r="B180" s="25">
        <v>0.3</v>
      </c>
      <c r="C180" s="25">
        <f t="shared" si="42"/>
        <v>0.73401999999999989</v>
      </c>
      <c r="D180" s="25">
        <f t="shared" si="43"/>
        <v>0.75531999999999999</v>
      </c>
      <c r="E180" s="25">
        <f t="shared" si="44"/>
        <v>0.75123000000000006</v>
      </c>
      <c r="F180" s="25">
        <f t="shared" si="45"/>
        <v>0.73563999999999996</v>
      </c>
      <c r="G180" s="25">
        <f t="shared" si="46"/>
        <v>0.72933999999999999</v>
      </c>
      <c r="H180" s="25">
        <f t="shared" si="47"/>
        <v>-6.2999999999999723E-3</v>
      </c>
    </row>
    <row r="181" spans="1:8" x14ac:dyDescent="0.25">
      <c r="A181" s="24" t="s">
        <v>125</v>
      </c>
      <c r="B181" s="25">
        <v>0.4</v>
      </c>
      <c r="C181" s="25">
        <f t="shared" si="42"/>
        <v>0.6607599999999999</v>
      </c>
      <c r="D181" s="25">
        <f t="shared" si="43"/>
        <v>0.67659999999999998</v>
      </c>
      <c r="E181" s="25">
        <f t="shared" si="44"/>
        <v>0.65103999999999995</v>
      </c>
      <c r="F181" s="25">
        <f t="shared" si="45"/>
        <v>0.66070000000000007</v>
      </c>
      <c r="G181" s="25">
        <f t="shared" si="46"/>
        <v>0.66061999999999999</v>
      </c>
      <c r="H181" s="25">
        <f t="shared" si="47"/>
        <v>-8.0000000000080007E-5</v>
      </c>
    </row>
    <row r="182" spans="1:8" x14ac:dyDescent="0.25">
      <c r="A182" s="24" t="s">
        <v>125</v>
      </c>
      <c r="B182" s="25">
        <v>0.5</v>
      </c>
      <c r="C182" s="25">
        <f t="shared" si="42"/>
        <v>0.48850000000000005</v>
      </c>
      <c r="D182" s="25">
        <f t="shared" si="43"/>
        <v>0.50273999999999996</v>
      </c>
      <c r="E182" s="25">
        <f t="shared" si="44"/>
        <v>0.51039999999999996</v>
      </c>
      <c r="F182" s="25">
        <f t="shared" si="45"/>
        <v>0.51290000000000002</v>
      </c>
      <c r="G182" s="25">
        <f t="shared" si="46"/>
        <v>0.51290000000000002</v>
      </c>
      <c r="H182" s="25">
        <f t="shared" si="47"/>
        <v>0</v>
      </c>
    </row>
    <row r="183" spans="1:8" x14ac:dyDescent="0.25">
      <c r="A183" s="24" t="s">
        <v>126</v>
      </c>
      <c r="B183" s="25">
        <v>0.2</v>
      </c>
      <c r="C183" s="25">
        <f t="shared" si="42"/>
        <v>0.77806000000000008</v>
      </c>
      <c r="D183" s="25">
        <f t="shared" si="43"/>
        <v>0.78400000000000003</v>
      </c>
      <c r="E183" s="25">
        <f t="shared" si="44"/>
        <v>0.75649999999999995</v>
      </c>
      <c r="F183" s="25">
        <f t="shared" si="45"/>
        <v>0.77076666666666682</v>
      </c>
      <c r="G183" s="25">
        <f t="shared" si="46"/>
        <v>0.74923999999999991</v>
      </c>
      <c r="H183" s="25">
        <f t="shared" si="47"/>
        <v>-2.1526666666666916E-2</v>
      </c>
    </row>
    <row r="184" spans="1:8" x14ac:dyDescent="0.25">
      <c r="A184" s="24" t="s">
        <v>126</v>
      </c>
      <c r="B184" s="25">
        <v>0.3</v>
      </c>
      <c r="C184" s="25">
        <f t="shared" si="42"/>
        <v>0.75248000000000004</v>
      </c>
      <c r="D184" s="25">
        <f t="shared" si="43"/>
        <v>0.75962000000000018</v>
      </c>
      <c r="E184" s="25">
        <f t="shared" si="44"/>
        <v>0.62580000000000013</v>
      </c>
      <c r="F184" s="25">
        <f t="shared" si="45"/>
        <v>0.61699999999999999</v>
      </c>
      <c r="G184" s="25">
        <f t="shared" si="46"/>
        <v>0.72076000000000007</v>
      </c>
      <c r="H184" s="25">
        <f t="shared" si="47"/>
        <v>0.10376000000000007</v>
      </c>
    </row>
    <row r="185" spans="1:8" x14ac:dyDescent="0.25">
      <c r="A185" s="24" t="s">
        <v>126</v>
      </c>
      <c r="B185" s="25">
        <v>0.4</v>
      </c>
      <c r="C185" s="25">
        <f t="shared" si="42"/>
        <v>0.70882000000000001</v>
      </c>
      <c r="D185" s="25">
        <f t="shared" si="43"/>
        <v>0.70754000000000006</v>
      </c>
      <c r="E185" s="25">
        <f t="shared" si="44"/>
        <v>0.43719999999999998</v>
      </c>
      <c r="F185" s="25">
        <f t="shared" si="45"/>
        <v>0.40380000000000005</v>
      </c>
      <c r="G185" s="25">
        <f t="shared" si="46"/>
        <v>0.69874000000000003</v>
      </c>
      <c r="H185" s="25">
        <f t="shared" si="47"/>
        <v>0.29493999999999998</v>
      </c>
    </row>
    <row r="186" spans="1:8" x14ac:dyDescent="0.25">
      <c r="A186" s="24" t="s">
        <v>126</v>
      </c>
      <c r="B186" s="25">
        <v>0.5</v>
      </c>
      <c r="C186" s="25">
        <f t="shared" si="42"/>
        <v>0.64396000000000009</v>
      </c>
      <c r="D186" s="25">
        <f t="shared" si="43"/>
        <v>0.6488600000000001</v>
      </c>
      <c r="E186" s="25" t="str">
        <f t="shared" si="44"/>
        <v/>
      </c>
      <c r="F186" s="25" t="str">
        <f t="shared" si="45"/>
        <v/>
      </c>
      <c r="G186" s="25">
        <f t="shared" si="46"/>
        <v>0.70596000000000003</v>
      </c>
      <c r="H186" s="25" t="str">
        <f t="shared" si="47"/>
        <v/>
      </c>
    </row>
    <row r="187" spans="1:8" x14ac:dyDescent="0.25">
      <c r="A187" s="24" t="s">
        <v>127</v>
      </c>
      <c r="B187" s="25">
        <v>0.2</v>
      </c>
      <c r="C187" s="25">
        <f t="shared" si="42"/>
        <v>0.79512000000000005</v>
      </c>
      <c r="D187" s="25">
        <f t="shared" si="43"/>
        <v>0.81258000000000019</v>
      </c>
      <c r="E187" s="25">
        <f t="shared" si="44"/>
        <v>0.79813333333333325</v>
      </c>
      <c r="F187" s="25">
        <f t="shared" si="45"/>
        <v>0.79645555555555558</v>
      </c>
      <c r="G187" s="25">
        <f t="shared" si="46"/>
        <v>0.71109999999999995</v>
      </c>
      <c r="H187" s="25">
        <f t="shared" si="47"/>
        <v>-8.5355555555555629E-2</v>
      </c>
    </row>
    <row r="188" spans="1:8" x14ac:dyDescent="0.25">
      <c r="A188" s="24" t="s">
        <v>127</v>
      </c>
      <c r="B188" s="25">
        <v>0.3</v>
      </c>
      <c r="C188" s="25">
        <f t="shared" si="42"/>
        <v>0.7557799999999999</v>
      </c>
      <c r="D188" s="25">
        <f t="shared" si="43"/>
        <v>0.7730800000000001</v>
      </c>
      <c r="E188" s="25">
        <f t="shared" si="44"/>
        <v>0.75309999999999999</v>
      </c>
      <c r="F188" s="25">
        <f t="shared" si="45"/>
        <v>0.75002857142857138</v>
      </c>
      <c r="G188" s="25">
        <f t="shared" si="46"/>
        <v>0.71041999999999994</v>
      </c>
      <c r="H188" s="25">
        <f t="shared" si="47"/>
        <v>-3.9608571428571437E-2</v>
      </c>
    </row>
    <row r="189" spans="1:8" x14ac:dyDescent="0.25">
      <c r="A189" s="24" t="s">
        <v>127</v>
      </c>
      <c r="B189" s="25">
        <v>0.4</v>
      </c>
      <c r="C189" s="25">
        <f t="shared" si="42"/>
        <v>0.70167999999999997</v>
      </c>
      <c r="D189" s="25">
        <f t="shared" si="43"/>
        <v>0.71382000000000001</v>
      </c>
      <c r="E189" s="25">
        <f t="shared" si="44"/>
        <v>0.64113999999999993</v>
      </c>
      <c r="F189" s="25">
        <f t="shared" si="45"/>
        <v>0.63293999999999984</v>
      </c>
      <c r="G189" s="25">
        <f t="shared" si="46"/>
        <v>0.64311999999999991</v>
      </c>
      <c r="H189" s="25">
        <f t="shared" si="47"/>
        <v>1.0180000000000078E-2</v>
      </c>
    </row>
    <row r="190" spans="1:8" x14ac:dyDescent="0.25">
      <c r="A190" s="24" t="s">
        <v>127</v>
      </c>
      <c r="B190" s="25">
        <v>0.5</v>
      </c>
      <c r="C190" s="25">
        <f t="shared" si="42"/>
        <v>0.49743999999999994</v>
      </c>
      <c r="D190" s="25">
        <f t="shared" si="43"/>
        <v>0.50846000000000002</v>
      </c>
      <c r="E190" s="25">
        <f t="shared" si="44"/>
        <v>0.50085999999999997</v>
      </c>
      <c r="F190" s="25">
        <f t="shared" si="45"/>
        <v>0.50599999999999989</v>
      </c>
      <c r="G190" s="25">
        <f t="shared" si="46"/>
        <v>0.50599999999999989</v>
      </c>
      <c r="H190" s="25">
        <f t="shared" si="47"/>
        <v>0</v>
      </c>
    </row>
    <row r="191" spans="1:8" x14ac:dyDescent="0.25">
      <c r="A191" s="24" t="s">
        <v>128</v>
      </c>
      <c r="B191" s="25">
        <v>0.2</v>
      </c>
      <c r="C191" s="25">
        <f t="shared" si="42"/>
        <v>0.74065999999999999</v>
      </c>
      <c r="D191" s="25">
        <f t="shared" si="43"/>
        <v>0.76837999999999995</v>
      </c>
      <c r="E191" s="25">
        <f t="shared" si="44"/>
        <v>0.75450833333333334</v>
      </c>
      <c r="F191" s="25">
        <f t="shared" si="45"/>
        <v>0.76683333333333337</v>
      </c>
      <c r="G191" s="25">
        <f t="shared" si="46"/>
        <v>0.71974000000000005</v>
      </c>
      <c r="H191" s="25">
        <f t="shared" si="47"/>
        <v>-4.709333333333332E-2</v>
      </c>
    </row>
    <row r="192" spans="1:8" x14ac:dyDescent="0.25">
      <c r="A192" s="24" t="s">
        <v>128</v>
      </c>
      <c r="B192" s="25">
        <v>0.3</v>
      </c>
      <c r="C192" s="25">
        <f t="shared" si="42"/>
        <v>0.69812000000000007</v>
      </c>
      <c r="D192" s="25">
        <f t="shared" si="43"/>
        <v>0.73704000000000003</v>
      </c>
      <c r="E192" s="25">
        <f t="shared" si="44"/>
        <v>0.66396666666666659</v>
      </c>
      <c r="F192" s="25">
        <f t="shared" si="45"/>
        <v>0.66696666666666671</v>
      </c>
      <c r="G192" s="25">
        <f t="shared" si="46"/>
        <v>0.67408000000000001</v>
      </c>
      <c r="H192" s="25">
        <f t="shared" si="47"/>
        <v>7.1133333333333049E-3</v>
      </c>
    </row>
    <row r="193" spans="1:8" x14ac:dyDescent="0.25">
      <c r="A193" s="24" t="s">
        <v>128</v>
      </c>
      <c r="B193" s="25">
        <v>0.4</v>
      </c>
      <c r="C193" s="25">
        <f t="shared" si="42"/>
        <v>0.62803999999999993</v>
      </c>
      <c r="D193" s="25">
        <f t="shared" si="43"/>
        <v>0.66818000000000011</v>
      </c>
      <c r="E193" s="25">
        <f t="shared" si="44"/>
        <v>0.61832000000000009</v>
      </c>
      <c r="F193" s="25">
        <f t="shared" si="45"/>
        <v>0.63519999999999999</v>
      </c>
      <c r="G193" s="25">
        <f t="shared" si="46"/>
        <v>0.63882000000000005</v>
      </c>
      <c r="H193" s="25">
        <f t="shared" si="47"/>
        <v>3.6200000000000676E-3</v>
      </c>
    </row>
    <row r="194" spans="1:8" x14ac:dyDescent="0.25">
      <c r="A194" s="24" t="s">
        <v>128</v>
      </c>
      <c r="B194" s="25">
        <v>0.5</v>
      </c>
      <c r="C194" s="25">
        <f t="shared" si="42"/>
        <v>0.49562</v>
      </c>
      <c r="D194" s="25">
        <f t="shared" si="43"/>
        <v>0.49325999999999998</v>
      </c>
      <c r="E194" s="25">
        <f t="shared" si="44"/>
        <v>0.49975999999999993</v>
      </c>
      <c r="F194" s="25">
        <f t="shared" si="45"/>
        <v>0.49565999999999999</v>
      </c>
      <c r="G194" s="25">
        <f t="shared" si="46"/>
        <v>0.49546000000000001</v>
      </c>
      <c r="H194" s="25">
        <f t="shared" si="47"/>
        <v>-1.9999999999997797E-4</v>
      </c>
    </row>
    <row r="195" spans="1:8" x14ac:dyDescent="0.25">
      <c r="A195" s="28" t="s">
        <v>142</v>
      </c>
      <c r="B195" s="29"/>
      <c r="C195" s="26">
        <f t="shared" ref="C195:H195" si="48">AVERAGE(C178:C194)</f>
        <v>0.6868611764705882</v>
      </c>
      <c r="D195" s="26">
        <f t="shared" si="48"/>
        <v>0.70189058823529404</v>
      </c>
      <c r="E195" s="26">
        <f t="shared" si="48"/>
        <v>0.65768561011904769</v>
      </c>
      <c r="F195" s="26">
        <f t="shared" si="48"/>
        <v>0.65764424603174598</v>
      </c>
      <c r="G195" s="26">
        <f t="shared" si="48"/>
        <v>0.66660941176470601</v>
      </c>
      <c r="H195" s="26">
        <f t="shared" si="48"/>
        <v>6.5057539682539592E-3</v>
      </c>
    </row>
    <row r="197" spans="1:8" x14ac:dyDescent="0.25">
      <c r="A197" s="22" t="s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workbookViewId="0"/>
  </sheetViews>
  <sheetFormatPr defaultRowHeight="15" x14ac:dyDescent="0.25"/>
  <cols>
    <col min="1" max="1" width="15" customWidth="1"/>
    <col min="2" max="10" width="13" customWidth="1"/>
  </cols>
  <sheetData>
    <row r="1" spans="1:10" ht="17.25" customHeight="1" x14ac:dyDescent="0.3">
      <c r="A1" s="21" t="s">
        <v>215</v>
      </c>
    </row>
    <row r="2" spans="1:10" x14ac:dyDescent="0.25">
      <c r="A2" s="22" t="s">
        <v>216</v>
      </c>
    </row>
    <row r="4" spans="1:10" x14ac:dyDescent="0.25">
      <c r="A4" s="23" t="s">
        <v>107</v>
      </c>
      <c r="B4" s="23" t="s">
        <v>217</v>
      </c>
      <c r="C4" s="23" t="s">
        <v>218</v>
      </c>
      <c r="D4" s="23" t="s">
        <v>219</v>
      </c>
      <c r="E4" s="23" t="s">
        <v>220</v>
      </c>
      <c r="F4" s="23" t="s">
        <v>221</v>
      </c>
      <c r="G4" s="23" t="s">
        <v>222</v>
      </c>
      <c r="H4" s="23" t="s">
        <v>223</v>
      </c>
      <c r="I4" s="23" t="s">
        <v>224</v>
      </c>
      <c r="J4" s="23" t="s">
        <v>225</v>
      </c>
    </row>
    <row r="5" spans="1:10" x14ac:dyDescent="0.25">
      <c r="A5" s="24" t="s">
        <v>130</v>
      </c>
      <c r="B5" s="25" t="s">
        <v>226</v>
      </c>
      <c r="C5" s="25">
        <v>461</v>
      </c>
      <c r="D5" s="25">
        <v>322</v>
      </c>
      <c r="E5" s="25">
        <v>112</v>
      </c>
      <c r="F5" s="25">
        <v>112</v>
      </c>
      <c r="G5" s="25">
        <v>14</v>
      </c>
      <c r="H5" s="25">
        <v>1.4</v>
      </c>
      <c r="I5" s="25">
        <v>4.0999999999999996</v>
      </c>
      <c r="J5" s="25">
        <v>32.9</v>
      </c>
    </row>
    <row r="6" spans="1:10" x14ac:dyDescent="0.25">
      <c r="A6" s="24" t="s">
        <v>130</v>
      </c>
      <c r="B6" s="25" t="s">
        <v>227</v>
      </c>
      <c r="C6" s="25">
        <v>461</v>
      </c>
      <c r="D6" s="25">
        <v>214</v>
      </c>
      <c r="E6" s="25">
        <v>25</v>
      </c>
      <c r="F6" s="25">
        <v>25</v>
      </c>
      <c r="G6" s="25">
        <v>1</v>
      </c>
      <c r="H6" s="25">
        <v>2.2000000000000002</v>
      </c>
      <c r="I6" s="25">
        <v>18.399999999999999</v>
      </c>
      <c r="J6" s="25">
        <v>461</v>
      </c>
    </row>
    <row r="7" spans="1:10" x14ac:dyDescent="0.25">
      <c r="A7" s="24" t="s">
        <v>132</v>
      </c>
      <c r="B7" s="25" t="s">
        <v>226</v>
      </c>
      <c r="C7" s="25">
        <v>455</v>
      </c>
      <c r="D7" s="25">
        <v>324</v>
      </c>
      <c r="E7" s="25">
        <v>80</v>
      </c>
      <c r="F7" s="25">
        <v>80</v>
      </c>
      <c r="G7" s="25">
        <v>2</v>
      </c>
      <c r="H7" s="25">
        <v>1.4</v>
      </c>
      <c r="I7" s="25">
        <v>5.7</v>
      </c>
      <c r="J7" s="25">
        <v>227.5</v>
      </c>
    </row>
    <row r="8" spans="1:10" x14ac:dyDescent="0.25">
      <c r="A8" s="24" t="s">
        <v>132</v>
      </c>
      <c r="B8" s="25" t="s">
        <v>227</v>
      </c>
      <c r="C8" s="25">
        <v>455</v>
      </c>
      <c r="D8" s="25">
        <v>157</v>
      </c>
      <c r="E8" s="25">
        <v>1</v>
      </c>
      <c r="F8" s="25">
        <v>2</v>
      </c>
      <c r="G8" s="25">
        <v>1</v>
      </c>
      <c r="H8" s="25">
        <v>2.9</v>
      </c>
      <c r="I8" s="25">
        <v>455</v>
      </c>
      <c r="J8" s="25">
        <v>455</v>
      </c>
    </row>
    <row r="9" spans="1:10" x14ac:dyDescent="0.25">
      <c r="A9" s="24" t="s">
        <v>123</v>
      </c>
      <c r="B9" s="25" t="s">
        <v>226</v>
      </c>
      <c r="C9" s="25">
        <v>214</v>
      </c>
      <c r="D9" s="25">
        <v>158</v>
      </c>
      <c r="E9" s="25">
        <v>76</v>
      </c>
      <c r="F9" s="25">
        <v>76</v>
      </c>
      <c r="G9" s="25">
        <v>5</v>
      </c>
      <c r="H9" s="25">
        <v>1.4</v>
      </c>
      <c r="I9" s="25">
        <v>2.8</v>
      </c>
      <c r="J9" s="25">
        <v>42.8</v>
      </c>
    </row>
    <row r="10" spans="1:10" x14ac:dyDescent="0.25">
      <c r="A10" s="24" t="s">
        <v>123</v>
      </c>
      <c r="B10" s="25" t="s">
        <v>227</v>
      </c>
      <c r="C10" s="25">
        <v>214</v>
      </c>
      <c r="D10" s="25">
        <v>81</v>
      </c>
      <c r="E10" s="25">
        <v>1</v>
      </c>
      <c r="F10" s="25">
        <v>2</v>
      </c>
      <c r="G10" s="25">
        <v>1</v>
      </c>
      <c r="H10" s="25">
        <v>2.6</v>
      </c>
      <c r="I10" s="25">
        <v>214</v>
      </c>
      <c r="J10" s="25">
        <v>214</v>
      </c>
    </row>
    <row r="11" spans="1:10" x14ac:dyDescent="0.25">
      <c r="A11" s="24" t="s">
        <v>134</v>
      </c>
      <c r="B11" s="25" t="s">
        <v>226</v>
      </c>
      <c r="C11" s="25">
        <v>245</v>
      </c>
      <c r="D11" s="25">
        <v>183</v>
      </c>
      <c r="E11" s="25">
        <v>93</v>
      </c>
      <c r="F11" s="25">
        <v>93</v>
      </c>
      <c r="G11" s="25">
        <v>13</v>
      </c>
      <c r="H11" s="25">
        <v>1.3</v>
      </c>
      <c r="I11" s="25">
        <v>2.6</v>
      </c>
      <c r="J11" s="25">
        <v>18.8</v>
      </c>
    </row>
    <row r="12" spans="1:10" x14ac:dyDescent="0.25">
      <c r="A12" s="24" t="s">
        <v>134</v>
      </c>
      <c r="B12" s="25" t="s">
        <v>227</v>
      </c>
      <c r="C12" s="25">
        <v>245</v>
      </c>
      <c r="D12" s="25">
        <v>183</v>
      </c>
      <c r="E12" s="25">
        <v>106</v>
      </c>
      <c r="F12" s="25">
        <v>106</v>
      </c>
      <c r="G12" s="25">
        <v>30</v>
      </c>
      <c r="H12" s="25">
        <v>1.3</v>
      </c>
      <c r="I12" s="25">
        <v>2.2999999999999998</v>
      </c>
      <c r="J12" s="25">
        <v>8.1999999999999993</v>
      </c>
    </row>
    <row r="13" spans="1:10" x14ac:dyDescent="0.25">
      <c r="A13" s="24" t="s">
        <v>135</v>
      </c>
      <c r="B13" s="25" t="s">
        <v>226</v>
      </c>
      <c r="C13" s="25">
        <v>238</v>
      </c>
      <c r="D13" s="25">
        <v>172</v>
      </c>
      <c r="E13" s="25">
        <v>81</v>
      </c>
      <c r="F13" s="25">
        <v>81</v>
      </c>
      <c r="G13" s="25">
        <v>7</v>
      </c>
      <c r="H13" s="25">
        <v>1.4</v>
      </c>
      <c r="I13" s="25">
        <v>2.9</v>
      </c>
      <c r="J13" s="25">
        <v>34</v>
      </c>
    </row>
    <row r="14" spans="1:10" x14ac:dyDescent="0.25">
      <c r="A14" s="24" t="s">
        <v>135</v>
      </c>
      <c r="B14" s="25" t="s">
        <v>227</v>
      </c>
      <c r="C14" s="25">
        <v>238</v>
      </c>
      <c r="D14" s="25">
        <v>145</v>
      </c>
      <c r="E14" s="25">
        <v>60</v>
      </c>
      <c r="F14" s="25">
        <v>60</v>
      </c>
      <c r="G14" s="25">
        <v>1</v>
      </c>
      <c r="H14" s="25">
        <v>1.6</v>
      </c>
      <c r="I14" s="25">
        <v>4</v>
      </c>
      <c r="J14" s="25">
        <v>238</v>
      </c>
    </row>
    <row r="15" spans="1:10" x14ac:dyDescent="0.25">
      <c r="A15" s="24" t="s">
        <v>136</v>
      </c>
      <c r="B15" s="25" t="s">
        <v>226</v>
      </c>
      <c r="C15" s="25">
        <v>281</v>
      </c>
      <c r="D15" s="25">
        <v>214</v>
      </c>
      <c r="E15" s="25">
        <v>80</v>
      </c>
      <c r="F15" s="25">
        <v>80</v>
      </c>
      <c r="G15" s="25">
        <v>9</v>
      </c>
      <c r="H15" s="25">
        <v>1.3</v>
      </c>
      <c r="I15" s="25">
        <v>3.5</v>
      </c>
      <c r="J15" s="25">
        <v>31.2</v>
      </c>
    </row>
    <row r="16" spans="1:10" x14ac:dyDescent="0.25">
      <c r="A16" s="24" t="s">
        <v>136</v>
      </c>
      <c r="B16" s="25" t="s">
        <v>227</v>
      </c>
      <c r="C16" s="25">
        <v>281</v>
      </c>
      <c r="D16" s="25">
        <v>108</v>
      </c>
      <c r="E16" s="25">
        <v>1</v>
      </c>
      <c r="F16" s="25">
        <v>2</v>
      </c>
      <c r="G16" s="25">
        <v>1</v>
      </c>
      <c r="H16" s="25">
        <v>2.6</v>
      </c>
      <c r="I16" s="25">
        <v>281</v>
      </c>
      <c r="J16" s="25">
        <v>281</v>
      </c>
    </row>
    <row r="17" spans="1:10" x14ac:dyDescent="0.25">
      <c r="A17" s="24" t="s">
        <v>137</v>
      </c>
      <c r="B17" s="25" t="s">
        <v>226</v>
      </c>
      <c r="C17" s="25">
        <v>166</v>
      </c>
      <c r="D17" s="25">
        <v>122</v>
      </c>
      <c r="E17" s="25">
        <v>70</v>
      </c>
      <c r="F17" s="25">
        <v>70</v>
      </c>
      <c r="G17" s="25">
        <v>24</v>
      </c>
      <c r="H17" s="25">
        <v>1.4</v>
      </c>
      <c r="I17" s="25">
        <v>2.4</v>
      </c>
      <c r="J17" s="25">
        <v>6.9</v>
      </c>
    </row>
    <row r="18" spans="1:10" x14ac:dyDescent="0.25">
      <c r="A18" s="24" t="s">
        <v>137</v>
      </c>
      <c r="B18" s="25" t="s">
        <v>227</v>
      </c>
      <c r="C18" s="25">
        <v>166</v>
      </c>
      <c r="D18" s="25">
        <v>100</v>
      </c>
      <c r="E18" s="25">
        <v>27</v>
      </c>
      <c r="F18" s="25">
        <v>27</v>
      </c>
      <c r="G18" s="25">
        <v>1</v>
      </c>
      <c r="H18" s="25">
        <v>1.7</v>
      </c>
      <c r="I18" s="25">
        <v>6.1</v>
      </c>
      <c r="J18" s="25">
        <v>166</v>
      </c>
    </row>
    <row r="19" spans="1:10" x14ac:dyDescent="0.25">
      <c r="A19" s="24" t="s">
        <v>131</v>
      </c>
      <c r="B19" s="25" t="s">
        <v>226</v>
      </c>
      <c r="C19" s="25">
        <v>1098</v>
      </c>
      <c r="D19" s="25">
        <v>752</v>
      </c>
      <c r="E19" s="25">
        <v>183</v>
      </c>
      <c r="F19" s="25">
        <v>183</v>
      </c>
      <c r="G19" s="25">
        <v>9</v>
      </c>
      <c r="H19" s="25">
        <v>1.5</v>
      </c>
      <c r="I19" s="25">
        <v>6</v>
      </c>
      <c r="J19" s="25">
        <v>122</v>
      </c>
    </row>
    <row r="20" spans="1:10" x14ac:dyDescent="0.25">
      <c r="A20" s="24" t="s">
        <v>131</v>
      </c>
      <c r="B20" s="25" t="s">
        <v>227</v>
      </c>
      <c r="C20" s="25">
        <v>1098</v>
      </c>
      <c r="D20" s="25">
        <v>481</v>
      </c>
      <c r="E20" s="25">
        <v>129</v>
      </c>
      <c r="F20" s="25">
        <v>129</v>
      </c>
      <c r="G20" s="25">
        <v>1</v>
      </c>
      <c r="H20" s="25">
        <v>2.2999999999999998</v>
      </c>
      <c r="I20" s="25">
        <v>8.5</v>
      </c>
      <c r="J20" s="25">
        <v>1098</v>
      </c>
    </row>
    <row r="21" spans="1:10" x14ac:dyDescent="0.25">
      <c r="A21" s="24" t="s">
        <v>129</v>
      </c>
      <c r="B21" s="25" t="s">
        <v>226</v>
      </c>
      <c r="C21" s="25">
        <v>552</v>
      </c>
      <c r="D21" s="25">
        <v>393</v>
      </c>
      <c r="E21" s="25">
        <v>159</v>
      </c>
      <c r="F21" s="25">
        <v>159</v>
      </c>
      <c r="G21" s="25">
        <v>8</v>
      </c>
      <c r="H21" s="25">
        <v>1.4</v>
      </c>
      <c r="I21" s="25">
        <v>3.5</v>
      </c>
      <c r="J21" s="25">
        <v>69</v>
      </c>
    </row>
    <row r="22" spans="1:10" x14ac:dyDescent="0.25">
      <c r="A22" s="24" t="s">
        <v>129</v>
      </c>
      <c r="B22" s="25" t="s">
        <v>227</v>
      </c>
      <c r="C22" s="25">
        <v>552</v>
      </c>
      <c r="D22" s="25">
        <v>318</v>
      </c>
      <c r="E22" s="25">
        <v>129</v>
      </c>
      <c r="F22" s="25">
        <v>129</v>
      </c>
      <c r="G22" s="25">
        <v>1</v>
      </c>
      <c r="H22" s="25">
        <v>1.7</v>
      </c>
      <c r="I22" s="25">
        <v>4.3</v>
      </c>
      <c r="J22" s="25">
        <v>552</v>
      </c>
    </row>
    <row r="23" spans="1:10" x14ac:dyDescent="0.25">
      <c r="A23" s="24" t="s">
        <v>133</v>
      </c>
      <c r="B23" s="25" t="s">
        <v>226</v>
      </c>
      <c r="C23" s="25">
        <v>800</v>
      </c>
      <c r="D23" s="25">
        <v>607</v>
      </c>
      <c r="E23" s="25">
        <v>324</v>
      </c>
      <c r="F23" s="25">
        <v>324</v>
      </c>
      <c r="G23" s="25">
        <v>47</v>
      </c>
      <c r="H23" s="25">
        <v>1.3</v>
      </c>
      <c r="I23" s="25">
        <v>2.5</v>
      </c>
      <c r="J23" s="25">
        <v>17</v>
      </c>
    </row>
    <row r="24" spans="1:10" x14ac:dyDescent="0.25">
      <c r="A24" s="24" t="s">
        <v>133</v>
      </c>
      <c r="B24" s="25" t="s">
        <v>227</v>
      </c>
      <c r="C24" s="25">
        <v>800</v>
      </c>
      <c r="D24" s="25">
        <v>398</v>
      </c>
      <c r="E24" s="25">
        <v>1</v>
      </c>
      <c r="F24" s="25">
        <v>2</v>
      </c>
      <c r="G24" s="25">
        <v>1</v>
      </c>
      <c r="H24" s="25">
        <v>2</v>
      </c>
      <c r="I24" s="25">
        <v>800</v>
      </c>
      <c r="J24" s="25">
        <v>800</v>
      </c>
    </row>
    <row r="26" spans="1:10" ht="17.25" customHeight="1" x14ac:dyDescent="0.3">
      <c r="A26" s="21" t="s">
        <v>228</v>
      </c>
    </row>
    <row r="27" spans="1:10" x14ac:dyDescent="0.25">
      <c r="A27" s="27" t="s">
        <v>217</v>
      </c>
      <c r="B27" s="27" t="s">
        <v>218</v>
      </c>
      <c r="C27" s="27" t="s">
        <v>219</v>
      </c>
      <c r="D27" s="27" t="s">
        <v>220</v>
      </c>
      <c r="E27" s="27" t="s">
        <v>221</v>
      </c>
      <c r="F27" s="27" t="s">
        <v>222</v>
      </c>
      <c r="G27" s="27" t="s">
        <v>223</v>
      </c>
      <c r="H27" s="27" t="s">
        <v>224</v>
      </c>
      <c r="I27" s="27" t="s">
        <v>225</v>
      </c>
    </row>
    <row r="28" spans="1:10" x14ac:dyDescent="0.25">
      <c r="A28" s="31" t="s">
        <v>226</v>
      </c>
      <c r="B28" s="26">
        <v>451</v>
      </c>
      <c r="C28" s="26">
        <v>325</v>
      </c>
      <c r="D28" s="26">
        <v>126</v>
      </c>
      <c r="E28" s="26">
        <v>126</v>
      </c>
      <c r="F28" s="26">
        <v>14</v>
      </c>
      <c r="G28" s="26">
        <v>1.4</v>
      </c>
      <c r="H28" s="26">
        <v>3.6</v>
      </c>
      <c r="I28" s="26">
        <v>32.700000000000003</v>
      </c>
    </row>
    <row r="29" spans="1:10" x14ac:dyDescent="0.25">
      <c r="A29" s="31" t="s">
        <v>227</v>
      </c>
      <c r="B29" s="26">
        <v>451</v>
      </c>
      <c r="C29" s="26">
        <v>218</v>
      </c>
      <c r="D29" s="26">
        <v>48</v>
      </c>
      <c r="E29" s="26">
        <v>48</v>
      </c>
      <c r="F29" s="26">
        <v>4</v>
      </c>
      <c r="G29" s="26">
        <v>2.1</v>
      </c>
      <c r="H29" s="26">
        <v>9.4</v>
      </c>
      <c r="I29" s="26">
        <v>115.6</v>
      </c>
    </row>
    <row r="31" spans="1:10" x14ac:dyDescent="0.25">
      <c r="A31" s="22" t="s">
        <v>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4" customWidth="1"/>
    <col min="2" max="6" width="15" customWidth="1"/>
  </cols>
  <sheetData>
    <row r="1" spans="1:6" ht="17.25" x14ac:dyDescent="0.3">
      <c r="A1" s="72" t="s">
        <v>230</v>
      </c>
      <c r="B1" s="61"/>
      <c r="C1" s="61"/>
      <c r="D1" s="61"/>
      <c r="E1" s="61"/>
      <c r="F1" s="61"/>
    </row>
    <row r="2" spans="1:6" ht="30" customHeight="1" x14ac:dyDescent="0.25">
      <c r="A2" s="65" t="s">
        <v>231</v>
      </c>
      <c r="B2" s="61"/>
      <c r="C2" s="61"/>
      <c r="D2" s="61"/>
      <c r="E2" s="61"/>
      <c r="F2" s="61"/>
    </row>
    <row r="4" spans="1:6" x14ac:dyDescent="0.25">
      <c r="A4" s="71" t="s">
        <v>232</v>
      </c>
      <c r="B4" s="61"/>
      <c r="C4" s="61"/>
      <c r="D4" s="61"/>
      <c r="E4" s="61"/>
      <c r="F4" s="61"/>
    </row>
    <row r="5" spans="1:6" ht="30" x14ac:dyDescent="0.25">
      <c r="A5" s="34" t="s">
        <v>233</v>
      </c>
      <c r="B5" s="34" t="s">
        <v>234</v>
      </c>
      <c r="C5" s="34" t="s">
        <v>235</v>
      </c>
      <c r="D5" s="34" t="s">
        <v>140</v>
      </c>
      <c r="E5" s="34" t="s">
        <v>236</v>
      </c>
      <c r="F5" s="34" t="s">
        <v>237</v>
      </c>
    </row>
    <row r="6" spans="1:6" x14ac:dyDescent="0.25">
      <c r="A6" s="33" t="s">
        <v>132</v>
      </c>
      <c r="B6" s="46">
        <v>244</v>
      </c>
      <c r="C6" s="46">
        <v>0.77200000000000002</v>
      </c>
      <c r="D6" s="46">
        <v>0.83099999999999996</v>
      </c>
      <c r="E6" s="46">
        <v>0.72</v>
      </c>
      <c r="F6" s="35">
        <v>0.111</v>
      </c>
    </row>
    <row r="7" spans="1:6" x14ac:dyDescent="0.25">
      <c r="A7" s="33" t="s">
        <v>134</v>
      </c>
      <c r="B7" s="46">
        <v>183</v>
      </c>
      <c r="C7" s="46">
        <v>0.622</v>
      </c>
      <c r="D7" s="46">
        <v>0.61399999999999999</v>
      </c>
      <c r="E7" s="46">
        <v>0.53200000000000003</v>
      </c>
      <c r="F7" s="35">
        <v>8.2000000000000003E-2</v>
      </c>
    </row>
    <row r="8" spans="1:6" x14ac:dyDescent="0.25">
      <c r="A8" s="33" t="s">
        <v>135</v>
      </c>
      <c r="B8" s="46">
        <v>161</v>
      </c>
      <c r="C8" s="46">
        <v>0.67900000000000005</v>
      </c>
      <c r="D8" s="46">
        <v>0.69</v>
      </c>
      <c r="E8" s="46">
        <v>0.61799999999999999</v>
      </c>
      <c r="F8" s="35">
        <v>7.1999999999999995E-2</v>
      </c>
    </row>
    <row r="9" spans="1:6" x14ac:dyDescent="0.25">
      <c r="A9" s="33" t="s">
        <v>136</v>
      </c>
      <c r="B9" s="46">
        <v>163</v>
      </c>
      <c r="C9" s="46">
        <v>0.72599999999999998</v>
      </c>
      <c r="D9" s="46">
        <v>0.74099999999999999</v>
      </c>
      <c r="E9" s="46">
        <v>0.68600000000000005</v>
      </c>
      <c r="F9" s="35">
        <v>5.5E-2</v>
      </c>
    </row>
    <row r="10" spans="1:6" x14ac:dyDescent="0.25">
      <c r="A10" s="50" t="s">
        <v>238</v>
      </c>
      <c r="B10" s="45">
        <v>188</v>
      </c>
      <c r="C10" s="45">
        <v>0.7</v>
      </c>
      <c r="D10" s="45">
        <v>0.71899999999999997</v>
      </c>
      <c r="E10" s="45">
        <v>0.63900000000000001</v>
      </c>
      <c r="F10" s="49">
        <v>0.08</v>
      </c>
    </row>
    <row r="11" spans="1:6" ht="30" customHeight="1" x14ac:dyDescent="0.25">
      <c r="A11" s="70" t="s">
        <v>239</v>
      </c>
      <c r="B11" s="61"/>
      <c r="C11" s="61"/>
      <c r="D11" s="61"/>
      <c r="E11" s="61"/>
      <c r="F11" s="61"/>
    </row>
    <row r="13" spans="1:6" x14ac:dyDescent="0.25">
      <c r="A13" s="71" t="s">
        <v>240</v>
      </c>
      <c r="B13" s="61"/>
      <c r="C13" s="61"/>
      <c r="D13" s="61"/>
      <c r="E13" s="61"/>
      <c r="F13" s="61"/>
    </row>
    <row r="14" spans="1:6" ht="30" x14ac:dyDescent="0.25">
      <c r="A14" s="34" t="s">
        <v>241</v>
      </c>
      <c r="B14" s="34" t="s">
        <v>242</v>
      </c>
      <c r="C14" s="34" t="s">
        <v>243</v>
      </c>
      <c r="D14" s="34" t="s">
        <v>244</v>
      </c>
      <c r="E14" s="34" t="s">
        <v>236</v>
      </c>
      <c r="F14" s="34"/>
    </row>
    <row r="15" spans="1:6" x14ac:dyDescent="0.25">
      <c r="A15" s="33" t="s">
        <v>245</v>
      </c>
      <c r="B15" s="46">
        <v>900</v>
      </c>
      <c r="C15" s="46">
        <v>0.65100000000000002</v>
      </c>
      <c r="D15" s="46">
        <v>0.68600000000000005</v>
      </c>
      <c r="E15" s="46">
        <v>0.69399999999999995</v>
      </c>
      <c r="F15" s="46"/>
    </row>
    <row r="16" spans="1:6" ht="30" x14ac:dyDescent="0.25">
      <c r="A16" s="33" t="s">
        <v>246</v>
      </c>
      <c r="B16" s="46">
        <v>472</v>
      </c>
      <c r="C16" s="51">
        <v>0.71599999999999997</v>
      </c>
      <c r="D16" s="35">
        <v>0.78400000000000003</v>
      </c>
      <c r="E16" s="35">
        <v>0.78400000000000003</v>
      </c>
      <c r="F16" s="46"/>
    </row>
    <row r="17" spans="1:6" x14ac:dyDescent="0.25">
      <c r="A17" s="33" t="s">
        <v>247</v>
      </c>
      <c r="B17" s="46">
        <v>428</v>
      </c>
      <c r="C17" s="46">
        <v>0.57899999999999996</v>
      </c>
      <c r="D17" s="46">
        <v>0.57899999999999996</v>
      </c>
      <c r="E17" s="46">
        <v>0.59499999999999997</v>
      </c>
      <c r="F17" s="46"/>
    </row>
    <row r="19" spans="1:6" x14ac:dyDescent="0.25">
      <c r="A19" s="44" t="s">
        <v>248</v>
      </c>
    </row>
    <row r="20" spans="1:6" ht="30" x14ac:dyDescent="0.25">
      <c r="A20" s="52" t="s">
        <v>233</v>
      </c>
      <c r="B20" s="52" t="s">
        <v>243</v>
      </c>
      <c r="C20" s="52" t="s">
        <v>249</v>
      </c>
      <c r="D20" s="52" t="s">
        <v>236</v>
      </c>
      <c r="E20" s="52" t="s">
        <v>250</v>
      </c>
      <c r="F20" s="52"/>
    </row>
    <row r="21" spans="1:6" x14ac:dyDescent="0.25">
      <c r="A21" s="33" t="s">
        <v>129</v>
      </c>
      <c r="B21" s="46">
        <v>0.62</v>
      </c>
      <c r="C21" s="46">
        <v>0.70399999999999996</v>
      </c>
      <c r="D21" s="46">
        <v>0.72</v>
      </c>
      <c r="E21" s="46" t="s">
        <v>251</v>
      </c>
      <c r="F21" s="46"/>
    </row>
    <row r="22" spans="1:6" x14ac:dyDescent="0.25">
      <c r="A22" s="33" t="s">
        <v>132</v>
      </c>
      <c r="B22" s="46">
        <v>0.82299999999999995</v>
      </c>
      <c r="C22" s="46">
        <v>0.81899999999999995</v>
      </c>
      <c r="D22" s="46">
        <v>0.82</v>
      </c>
      <c r="E22" s="46" t="s">
        <v>252</v>
      </c>
      <c r="F22" s="46"/>
    </row>
    <row r="23" spans="1:6" x14ac:dyDescent="0.25">
      <c r="A23" s="33" t="s">
        <v>133</v>
      </c>
      <c r="B23" s="46">
        <v>0.56999999999999995</v>
      </c>
      <c r="C23" s="46">
        <v>0.624</v>
      </c>
      <c r="D23" s="46">
        <v>0.64400000000000002</v>
      </c>
      <c r="E23" s="46" t="s">
        <v>253</v>
      </c>
      <c r="F23" s="46"/>
    </row>
    <row r="24" spans="1:6" x14ac:dyDescent="0.25">
      <c r="A24" s="33" t="s">
        <v>134</v>
      </c>
      <c r="B24" s="46">
        <v>0.53900000000000003</v>
      </c>
      <c r="C24" s="46">
        <v>0.55300000000000005</v>
      </c>
      <c r="D24" s="46">
        <v>0.54</v>
      </c>
      <c r="E24" s="46" t="s">
        <v>254</v>
      </c>
      <c r="F24" s="46"/>
    </row>
    <row r="25" spans="1:6" x14ac:dyDescent="0.25">
      <c r="A25" s="33" t="s">
        <v>135</v>
      </c>
      <c r="B25" s="46">
        <v>0.68500000000000005</v>
      </c>
      <c r="C25" s="46">
        <v>0.70299999999999996</v>
      </c>
      <c r="D25" s="46">
        <v>0.70799999999999996</v>
      </c>
      <c r="E25" s="46" t="s">
        <v>251</v>
      </c>
      <c r="F25" s="46"/>
    </row>
    <row r="26" spans="1:6" x14ac:dyDescent="0.25">
      <c r="A26" s="33" t="s">
        <v>136</v>
      </c>
      <c r="B26" s="46">
        <v>0.66800000000000004</v>
      </c>
      <c r="C26" s="46">
        <v>0.71399999999999997</v>
      </c>
      <c r="D26" s="46">
        <v>0.73099999999999998</v>
      </c>
      <c r="E26" s="46" t="s">
        <v>255</v>
      </c>
      <c r="F26" s="46"/>
    </row>
    <row r="27" spans="1:6" ht="30" customHeight="1" x14ac:dyDescent="0.25">
      <c r="A27" s="73" t="s">
        <v>256</v>
      </c>
      <c r="B27" s="61"/>
      <c r="C27" s="61"/>
      <c r="D27" s="61"/>
      <c r="E27" s="61"/>
      <c r="F27" s="61"/>
    </row>
    <row r="29" spans="1:6" ht="17.25" x14ac:dyDescent="0.3">
      <c r="A29" s="32" t="s">
        <v>257</v>
      </c>
    </row>
    <row r="30" spans="1:6" ht="30" customHeight="1" x14ac:dyDescent="0.25">
      <c r="A30" s="69" t="s">
        <v>258</v>
      </c>
      <c r="B30" s="61"/>
      <c r="C30" s="61"/>
      <c r="D30" s="61"/>
      <c r="E30" s="61"/>
      <c r="F30" s="61"/>
    </row>
    <row r="31" spans="1:6" ht="30" customHeight="1" x14ac:dyDescent="0.25">
      <c r="A31" s="69" t="s">
        <v>259</v>
      </c>
      <c r="B31" s="61"/>
      <c r="C31" s="61"/>
      <c r="D31" s="61"/>
      <c r="E31" s="61"/>
      <c r="F31" s="61"/>
    </row>
    <row r="32" spans="1:6" ht="30" customHeight="1" x14ac:dyDescent="0.25">
      <c r="A32" s="69" t="s">
        <v>260</v>
      </c>
      <c r="B32" s="61"/>
      <c r="C32" s="61"/>
      <c r="D32" s="61"/>
      <c r="E32" s="61"/>
      <c r="F32" s="61"/>
    </row>
    <row r="33" spans="1:6" ht="30" customHeight="1" x14ac:dyDescent="0.25">
      <c r="A33" s="69" t="s">
        <v>261</v>
      </c>
      <c r="B33" s="61"/>
      <c r="C33" s="61"/>
      <c r="D33" s="61"/>
      <c r="E33" s="61"/>
      <c r="F33" s="61"/>
    </row>
    <row r="35" spans="1:6" x14ac:dyDescent="0.25">
      <c r="A35" s="71" t="s">
        <v>262</v>
      </c>
      <c r="B35" s="61"/>
      <c r="C35" s="61"/>
      <c r="D35" s="61"/>
      <c r="E35" s="61"/>
      <c r="F35" s="61"/>
    </row>
    <row r="36" spans="1:6" ht="30" customHeight="1" x14ac:dyDescent="0.25">
      <c r="A36" s="69" t="s">
        <v>263</v>
      </c>
      <c r="B36" s="61"/>
      <c r="C36" s="61"/>
      <c r="D36" s="61"/>
      <c r="E36" s="61"/>
      <c r="F36" s="61"/>
    </row>
    <row r="37" spans="1:6" ht="30" customHeight="1" x14ac:dyDescent="0.25">
      <c r="A37" s="69" t="s">
        <v>264</v>
      </c>
      <c r="B37" s="61"/>
      <c r="C37" s="61"/>
      <c r="D37" s="61"/>
      <c r="E37" s="61"/>
      <c r="F37" s="61"/>
    </row>
    <row r="38" spans="1:6" ht="30" customHeight="1" x14ac:dyDescent="0.25">
      <c r="A38" s="69" t="s">
        <v>265</v>
      </c>
      <c r="B38" s="61"/>
      <c r="C38" s="61"/>
      <c r="D38" s="61"/>
      <c r="E38" s="61"/>
      <c r="F38" s="61"/>
    </row>
    <row r="39" spans="1:6" ht="30" customHeight="1" x14ac:dyDescent="0.25">
      <c r="A39" s="69" t="s">
        <v>266</v>
      </c>
      <c r="B39" s="61"/>
      <c r="C39" s="61"/>
      <c r="D39" s="61"/>
      <c r="E39" s="61"/>
      <c r="F39" s="61"/>
    </row>
    <row r="40" spans="1:6" ht="30" customHeight="1" x14ac:dyDescent="0.25">
      <c r="A40" s="69" t="s">
        <v>267</v>
      </c>
      <c r="B40" s="61"/>
      <c r="C40" s="61"/>
      <c r="D40" s="61"/>
      <c r="E40" s="61"/>
      <c r="F40" s="61"/>
    </row>
  </sheetData>
  <mergeCells count="16">
    <mergeCell ref="A40:F40"/>
    <mergeCell ref="A35:F35"/>
    <mergeCell ref="A4:F4"/>
    <mergeCell ref="A30:F30"/>
    <mergeCell ref="A39:F39"/>
    <mergeCell ref="A1:F1"/>
    <mergeCell ref="A37:F37"/>
    <mergeCell ref="A32:F32"/>
    <mergeCell ref="A27:F27"/>
    <mergeCell ref="A31:F31"/>
    <mergeCell ref="A38:F38"/>
    <mergeCell ref="A2:F2"/>
    <mergeCell ref="A11:F11"/>
    <mergeCell ref="A33:F33"/>
    <mergeCell ref="A13:F13"/>
    <mergeCell ref="A36:F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0"/>
  <sheetViews>
    <sheetView tabSelected="1" workbookViewId="0">
      <pane ySplit="5" topLeftCell="A6" activePane="bottomLeft" state="frozen"/>
      <selection pane="bottomLeft" activeCell="O44" sqref="O44"/>
    </sheetView>
  </sheetViews>
  <sheetFormatPr defaultRowHeight="15" x14ac:dyDescent="0.25"/>
  <cols>
    <col min="1" max="1" width="11" customWidth="1"/>
    <col min="2" max="6" width="15" customWidth="1"/>
    <col min="7" max="7" width="50" customWidth="1"/>
  </cols>
  <sheetData>
    <row r="1" spans="1:7" ht="17.25" x14ac:dyDescent="0.3">
      <c r="A1" s="72" t="s">
        <v>268</v>
      </c>
      <c r="B1" s="61"/>
      <c r="C1" s="61"/>
      <c r="D1" s="61"/>
      <c r="E1" s="61"/>
      <c r="F1" s="61"/>
      <c r="G1" s="61"/>
    </row>
    <row r="2" spans="1:7" ht="32.1" customHeight="1" x14ac:dyDescent="0.25">
      <c r="A2" s="65" t="s">
        <v>269</v>
      </c>
      <c r="B2" s="61"/>
      <c r="C2" s="61"/>
      <c r="D2" s="61"/>
      <c r="E2" s="61"/>
      <c r="F2" s="61"/>
      <c r="G2" s="61"/>
    </row>
    <row r="4" spans="1:7" x14ac:dyDescent="0.25">
      <c r="A4" s="75" t="s">
        <v>270</v>
      </c>
      <c r="B4" s="61"/>
      <c r="C4" s="61"/>
      <c r="D4" s="61"/>
      <c r="E4" s="61"/>
      <c r="F4" s="61"/>
      <c r="G4" s="61"/>
    </row>
    <row r="5" spans="1:7" ht="30" x14ac:dyDescent="0.25">
      <c r="A5" s="34" t="s">
        <v>271</v>
      </c>
      <c r="B5" s="34" t="s">
        <v>272</v>
      </c>
      <c r="C5" s="34" t="s">
        <v>273</v>
      </c>
      <c r="D5" s="34" t="s">
        <v>274</v>
      </c>
      <c r="E5" s="34" t="s">
        <v>275</v>
      </c>
      <c r="F5" s="34" t="s">
        <v>276</v>
      </c>
      <c r="G5" s="34" t="s">
        <v>277</v>
      </c>
    </row>
    <row r="6" spans="1:7" ht="30" customHeight="1" x14ac:dyDescent="0.25">
      <c r="A6" s="45">
        <v>0.7</v>
      </c>
      <c r="B6" s="46" t="s">
        <v>278</v>
      </c>
      <c r="C6" s="46" t="s">
        <v>279</v>
      </c>
      <c r="D6" s="46" t="s">
        <v>280</v>
      </c>
      <c r="E6" s="46" t="s">
        <v>281</v>
      </c>
      <c r="F6" s="46" t="s">
        <v>281</v>
      </c>
      <c r="G6" s="47" t="s">
        <v>282</v>
      </c>
    </row>
    <row r="7" spans="1:7" ht="30" customHeight="1" x14ac:dyDescent="0.25">
      <c r="A7" s="45">
        <v>0.5</v>
      </c>
      <c r="B7" s="46" t="s">
        <v>278</v>
      </c>
      <c r="C7" s="46" t="s">
        <v>279</v>
      </c>
      <c r="D7" s="48" t="s">
        <v>283</v>
      </c>
      <c r="E7" s="48" t="s">
        <v>283</v>
      </c>
      <c r="F7" s="49" t="s">
        <v>284</v>
      </c>
      <c r="G7" s="47" t="s">
        <v>285</v>
      </c>
    </row>
    <row r="9" spans="1:7" x14ac:dyDescent="0.25">
      <c r="A9" s="75" t="s">
        <v>286</v>
      </c>
      <c r="B9" s="61"/>
      <c r="C9" s="61"/>
      <c r="D9" s="61"/>
      <c r="E9" s="61"/>
      <c r="F9" s="61"/>
      <c r="G9" s="61"/>
    </row>
    <row r="10" spans="1:7" ht="30" x14ac:dyDescent="0.25">
      <c r="A10" s="34" t="s">
        <v>271</v>
      </c>
      <c r="B10" s="34" t="s">
        <v>272</v>
      </c>
      <c r="C10" s="34" t="s">
        <v>273</v>
      </c>
      <c r="D10" s="34" t="s">
        <v>274</v>
      </c>
      <c r="E10" s="34" t="s">
        <v>275</v>
      </c>
      <c r="F10" s="34" t="s">
        <v>276</v>
      </c>
      <c r="G10" s="34" t="s">
        <v>277</v>
      </c>
    </row>
    <row r="11" spans="1:7" x14ac:dyDescent="0.25">
      <c r="A11" s="46">
        <v>0.7</v>
      </c>
      <c r="B11" s="46" t="s">
        <v>287</v>
      </c>
      <c r="C11" s="46" t="s">
        <v>288</v>
      </c>
      <c r="D11" s="46" t="s">
        <v>289</v>
      </c>
      <c r="E11" s="46" t="s">
        <v>290</v>
      </c>
      <c r="F11" s="46" t="s">
        <v>290</v>
      </c>
      <c r="G11" s="47" t="s">
        <v>291</v>
      </c>
    </row>
    <row r="12" spans="1:7" x14ac:dyDescent="0.25">
      <c r="A12" s="46">
        <v>0.6</v>
      </c>
      <c r="B12" s="46" t="s">
        <v>287</v>
      </c>
      <c r="C12" s="46" t="s">
        <v>288</v>
      </c>
      <c r="D12" s="46" t="s">
        <v>292</v>
      </c>
      <c r="E12" s="46" t="s">
        <v>293</v>
      </c>
      <c r="F12" s="46" t="s">
        <v>293</v>
      </c>
      <c r="G12" s="47"/>
    </row>
    <row r="13" spans="1:7" x14ac:dyDescent="0.25">
      <c r="A13" s="46">
        <v>0.5</v>
      </c>
      <c r="B13" s="46" t="s">
        <v>287</v>
      </c>
      <c r="C13" s="46" t="s">
        <v>288</v>
      </c>
      <c r="D13" s="48" t="s">
        <v>283</v>
      </c>
      <c r="E13" s="48" t="s">
        <v>283</v>
      </c>
      <c r="F13" s="49" t="s">
        <v>294</v>
      </c>
      <c r="G13" s="47" t="s">
        <v>295</v>
      </c>
    </row>
    <row r="14" spans="1:7" x14ac:dyDescent="0.25">
      <c r="A14" s="46">
        <v>0.4</v>
      </c>
      <c r="B14" s="46" t="s">
        <v>287</v>
      </c>
      <c r="C14" s="46" t="s">
        <v>288</v>
      </c>
      <c r="D14" s="48" t="s">
        <v>283</v>
      </c>
      <c r="E14" s="48" t="s">
        <v>283</v>
      </c>
      <c r="F14" s="49" t="s">
        <v>294</v>
      </c>
      <c r="G14" s="47" t="s">
        <v>295</v>
      </c>
    </row>
    <row r="15" spans="1:7" x14ac:dyDescent="0.25">
      <c r="A15" s="46">
        <v>0.6</v>
      </c>
      <c r="B15" s="46" t="s">
        <v>296</v>
      </c>
      <c r="C15" s="46" t="s">
        <v>297</v>
      </c>
      <c r="D15" s="46" t="s">
        <v>298</v>
      </c>
      <c r="E15" s="46" t="s">
        <v>299</v>
      </c>
      <c r="F15" s="46" t="s">
        <v>299</v>
      </c>
      <c r="G15" s="47" t="s">
        <v>300</v>
      </c>
    </row>
    <row r="16" spans="1:7" x14ac:dyDescent="0.25">
      <c r="A16" s="46">
        <v>0.5</v>
      </c>
      <c r="B16" s="46" t="s">
        <v>296</v>
      </c>
      <c r="C16" s="46" t="s">
        <v>297</v>
      </c>
      <c r="D16" s="48" t="s">
        <v>283</v>
      </c>
      <c r="E16" s="48" t="s">
        <v>283</v>
      </c>
      <c r="F16" s="49" t="s">
        <v>301</v>
      </c>
      <c r="G16" s="47" t="s">
        <v>295</v>
      </c>
    </row>
    <row r="18" spans="1:7" x14ac:dyDescent="0.25">
      <c r="A18" s="75" t="s">
        <v>302</v>
      </c>
      <c r="B18" s="61"/>
      <c r="C18" s="61"/>
      <c r="D18" s="61"/>
      <c r="E18" s="61"/>
      <c r="F18" s="61"/>
      <c r="G18" s="61"/>
    </row>
    <row r="19" spans="1:7" ht="30" customHeight="1" x14ac:dyDescent="0.25">
      <c r="A19" s="34" t="s">
        <v>271</v>
      </c>
      <c r="B19" s="34" t="s">
        <v>272</v>
      </c>
      <c r="C19" s="34" t="s">
        <v>273</v>
      </c>
      <c r="D19" s="34" t="s">
        <v>274</v>
      </c>
      <c r="E19" s="34" t="s">
        <v>275</v>
      </c>
      <c r="F19" s="34" t="s">
        <v>276</v>
      </c>
      <c r="G19" s="34" t="s">
        <v>277</v>
      </c>
    </row>
    <row r="20" spans="1:7" ht="30" customHeight="1" x14ac:dyDescent="0.25">
      <c r="A20" s="45">
        <v>0.7</v>
      </c>
      <c r="B20" s="46" t="s">
        <v>303</v>
      </c>
      <c r="C20" s="46" t="s">
        <v>304</v>
      </c>
      <c r="D20" s="46" t="s">
        <v>305</v>
      </c>
      <c r="E20" s="46" t="s">
        <v>306</v>
      </c>
      <c r="F20" s="46" t="s">
        <v>306</v>
      </c>
      <c r="G20" s="47" t="s">
        <v>307</v>
      </c>
    </row>
    <row r="21" spans="1:7" ht="30" customHeight="1" x14ac:dyDescent="0.25">
      <c r="A21" s="45">
        <v>0.6</v>
      </c>
      <c r="B21" s="46" t="s">
        <v>303</v>
      </c>
      <c r="C21" s="46" t="s">
        <v>304</v>
      </c>
      <c r="D21" s="46" t="s">
        <v>308</v>
      </c>
      <c r="E21" s="46" t="s">
        <v>309</v>
      </c>
      <c r="F21" s="46" t="s">
        <v>309</v>
      </c>
      <c r="G21" s="47" t="s">
        <v>310</v>
      </c>
    </row>
    <row r="22" spans="1:7" ht="30" customHeight="1" x14ac:dyDescent="0.25">
      <c r="A22" s="45">
        <v>0.5</v>
      </c>
      <c r="B22" s="46" t="s">
        <v>303</v>
      </c>
      <c r="C22" s="46" t="s">
        <v>304</v>
      </c>
      <c r="D22" s="48" t="s">
        <v>283</v>
      </c>
      <c r="E22" s="48" t="s">
        <v>283</v>
      </c>
      <c r="F22" s="49" t="s">
        <v>311</v>
      </c>
      <c r="G22" s="47" t="s">
        <v>312</v>
      </c>
    </row>
    <row r="23" spans="1:7" ht="30" customHeight="1" x14ac:dyDescent="0.25">
      <c r="A23" s="59"/>
      <c r="B23" s="57"/>
      <c r="C23" s="57"/>
      <c r="D23" s="57"/>
      <c r="E23" s="57"/>
      <c r="F23" s="57"/>
      <c r="G23" s="57"/>
    </row>
    <row r="24" spans="1:7" ht="30" customHeight="1" x14ac:dyDescent="0.25">
      <c r="A24" s="75" t="s">
        <v>313</v>
      </c>
      <c r="B24" s="61"/>
      <c r="C24" s="61"/>
      <c r="D24" s="61"/>
      <c r="E24" s="61"/>
      <c r="F24" s="61"/>
      <c r="G24" s="61"/>
    </row>
    <row r="25" spans="1:7" ht="30" customHeight="1" x14ac:dyDescent="0.25">
      <c r="A25" s="34" t="s">
        <v>271</v>
      </c>
      <c r="B25" s="34" t="s">
        <v>272</v>
      </c>
      <c r="C25" s="34" t="s">
        <v>273</v>
      </c>
      <c r="D25" s="34" t="s">
        <v>274</v>
      </c>
      <c r="E25" s="34" t="s">
        <v>275</v>
      </c>
      <c r="F25" s="34" t="s">
        <v>276</v>
      </c>
      <c r="G25" s="34" t="s">
        <v>277</v>
      </c>
    </row>
    <row r="26" spans="1:7" ht="30" customHeight="1" x14ac:dyDescent="0.25">
      <c r="A26" s="45">
        <v>0.7</v>
      </c>
      <c r="B26" s="46" t="s">
        <v>314</v>
      </c>
      <c r="C26" s="46" t="s">
        <v>315</v>
      </c>
      <c r="D26" s="46" t="s">
        <v>316</v>
      </c>
      <c r="E26" s="46" t="s">
        <v>317</v>
      </c>
      <c r="F26" s="46" t="s">
        <v>317</v>
      </c>
      <c r="G26" s="47" t="s">
        <v>318</v>
      </c>
    </row>
    <row r="27" spans="1:7" ht="30" customHeight="1" x14ac:dyDescent="0.25">
      <c r="A27" s="45">
        <v>0.6</v>
      </c>
      <c r="B27" s="46" t="s">
        <v>314</v>
      </c>
      <c r="C27" s="46" t="s">
        <v>315</v>
      </c>
      <c r="D27" s="48" t="s">
        <v>283</v>
      </c>
      <c r="E27" s="48" t="s">
        <v>283</v>
      </c>
      <c r="F27" s="49" t="s">
        <v>319</v>
      </c>
      <c r="G27" s="47" t="s">
        <v>320</v>
      </c>
    </row>
    <row r="28" spans="1:7" ht="30" customHeight="1" x14ac:dyDescent="0.25">
      <c r="A28" s="45">
        <v>0.5</v>
      </c>
      <c r="B28" s="46" t="s">
        <v>314</v>
      </c>
      <c r="C28" s="46" t="s">
        <v>315</v>
      </c>
      <c r="D28" s="48" t="s">
        <v>283</v>
      </c>
      <c r="E28" s="48" t="s">
        <v>283</v>
      </c>
      <c r="F28" s="49" t="s">
        <v>319</v>
      </c>
      <c r="G28" s="47" t="s">
        <v>321</v>
      </c>
    </row>
    <row r="29" spans="1:7" ht="30" customHeight="1" x14ac:dyDescent="0.25">
      <c r="A29" s="56"/>
      <c r="B29" s="57"/>
      <c r="C29" s="57"/>
      <c r="D29" s="57"/>
      <c r="E29" s="57"/>
      <c r="F29" s="57"/>
      <c r="G29" s="57"/>
    </row>
    <row r="30" spans="1:7" ht="30" customHeight="1" x14ac:dyDescent="0.25">
      <c r="A30" s="58" t="s">
        <v>322</v>
      </c>
      <c r="B30" s="57"/>
      <c r="C30" s="57"/>
      <c r="D30" s="57"/>
      <c r="E30" s="57"/>
      <c r="F30" s="57"/>
      <c r="G30" s="57"/>
    </row>
    <row r="31" spans="1:7" ht="30" customHeight="1" x14ac:dyDescent="0.25">
      <c r="A31" s="74" t="s">
        <v>344</v>
      </c>
      <c r="B31" s="61"/>
      <c r="C31" s="61"/>
      <c r="D31" s="61"/>
      <c r="E31" s="61"/>
      <c r="F31" s="61"/>
      <c r="G31" s="61"/>
    </row>
    <row r="32" spans="1:7" ht="30" customHeight="1" x14ac:dyDescent="0.25">
      <c r="A32" s="74" t="s">
        <v>345</v>
      </c>
      <c r="B32" s="61"/>
      <c r="C32" s="61"/>
      <c r="D32" s="61"/>
      <c r="E32" s="61"/>
      <c r="F32" s="61"/>
      <c r="G32" s="61"/>
    </row>
    <row r="33" spans="1:7" ht="30" customHeight="1" x14ac:dyDescent="0.25">
      <c r="A33" s="74" t="s">
        <v>346</v>
      </c>
      <c r="B33" s="61"/>
      <c r="C33" s="61"/>
      <c r="D33" s="61"/>
      <c r="E33" s="61"/>
      <c r="F33" s="61"/>
      <c r="G33" s="61"/>
    </row>
    <row r="34" spans="1:7" ht="30" customHeight="1" x14ac:dyDescent="0.25">
      <c r="A34" s="74" t="s">
        <v>347</v>
      </c>
      <c r="B34" s="61"/>
      <c r="C34" s="61"/>
      <c r="D34" s="61"/>
      <c r="E34" s="61"/>
      <c r="F34" s="61"/>
      <c r="G34" s="61"/>
    </row>
    <row r="35" spans="1:7" ht="30" customHeight="1" x14ac:dyDescent="0.25">
      <c r="A35" s="74" t="s">
        <v>348</v>
      </c>
      <c r="B35" s="61"/>
      <c r="C35" s="61"/>
      <c r="D35" s="61"/>
      <c r="E35" s="61"/>
      <c r="F35" s="61"/>
      <c r="G35" s="61"/>
    </row>
    <row r="36" spans="1:7" ht="30" customHeight="1" x14ac:dyDescent="0.25">
      <c r="A36" s="74" t="s">
        <v>349</v>
      </c>
      <c r="B36" s="61"/>
      <c r="C36" s="61"/>
      <c r="D36" s="61"/>
      <c r="E36" s="61"/>
      <c r="F36" s="61"/>
      <c r="G36" s="61"/>
    </row>
    <row r="37" spans="1:7" ht="30" customHeight="1" x14ac:dyDescent="0.25">
      <c r="A37" s="74" t="s">
        <v>350</v>
      </c>
      <c r="B37" s="61"/>
      <c r="C37" s="61"/>
      <c r="D37" s="61"/>
      <c r="E37" s="61"/>
      <c r="F37" s="61"/>
      <c r="G37" s="61"/>
    </row>
    <row r="38" spans="1:7" ht="30" customHeight="1" x14ac:dyDescent="0.25">
      <c r="A38" s="74" t="s">
        <v>351</v>
      </c>
      <c r="B38" s="61"/>
      <c r="C38" s="61"/>
      <c r="D38" s="61"/>
      <c r="E38" s="61"/>
      <c r="F38" s="61"/>
      <c r="G38" s="61"/>
    </row>
    <row r="39" spans="1:7" x14ac:dyDescent="0.25">
      <c r="A39" s="57"/>
      <c r="B39" s="57"/>
      <c r="C39" s="57"/>
      <c r="D39" s="57"/>
      <c r="E39" s="57"/>
      <c r="F39" s="57"/>
      <c r="G39" s="57"/>
    </row>
    <row r="40" spans="1:7" x14ac:dyDescent="0.25">
      <c r="A40" s="57"/>
      <c r="B40" s="57"/>
      <c r="C40" s="57"/>
      <c r="D40" s="57"/>
      <c r="E40" s="57"/>
      <c r="F40" s="57"/>
      <c r="G40" s="57"/>
    </row>
  </sheetData>
  <mergeCells count="14">
    <mergeCell ref="A38:G38"/>
    <mergeCell ref="A33:G33"/>
    <mergeCell ref="A37:G37"/>
    <mergeCell ref="A32:G32"/>
    <mergeCell ref="A36:G36"/>
    <mergeCell ref="A1:G1"/>
    <mergeCell ref="A9:G9"/>
    <mergeCell ref="A18:G18"/>
    <mergeCell ref="A31:G31"/>
    <mergeCell ref="A34:G34"/>
    <mergeCell ref="A4:G4"/>
    <mergeCell ref="A35:G35"/>
    <mergeCell ref="A24:G24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workbookViewId="0"/>
  </sheetViews>
  <sheetFormatPr defaultRowHeight="15" x14ac:dyDescent="0.25"/>
  <cols>
    <col min="1" max="1" width="13" customWidth="1"/>
    <col min="2" max="5" width="15" customWidth="1"/>
  </cols>
  <sheetData>
    <row r="1" spans="1:5" ht="17.25" customHeight="1" x14ac:dyDescent="0.3">
      <c r="A1" s="21" t="s">
        <v>323</v>
      </c>
    </row>
    <row r="2" spans="1:5" x14ac:dyDescent="0.25">
      <c r="A2" s="22" t="s">
        <v>324</v>
      </c>
    </row>
    <row r="4" spans="1:5" x14ac:dyDescent="0.25">
      <c r="A4" s="30" t="s">
        <v>325</v>
      </c>
    </row>
    <row r="5" spans="1:5" x14ac:dyDescent="0.25">
      <c r="A5" s="27" t="s">
        <v>233</v>
      </c>
      <c r="B5" s="27" t="s">
        <v>326</v>
      </c>
      <c r="C5" s="27" t="s">
        <v>327</v>
      </c>
      <c r="D5" s="27" t="s">
        <v>328</v>
      </c>
    </row>
    <row r="6" spans="1:5" x14ac:dyDescent="0.25">
      <c r="A6" s="24" t="s">
        <v>135</v>
      </c>
      <c r="B6" s="25">
        <v>0.75</v>
      </c>
      <c r="C6" s="25">
        <v>0.76700000000000002</v>
      </c>
      <c r="D6" s="25">
        <v>-1.7000000000000001E-2</v>
      </c>
    </row>
    <row r="7" spans="1:5" x14ac:dyDescent="0.25">
      <c r="A7" s="24" t="s">
        <v>137</v>
      </c>
      <c r="B7" s="25">
        <v>0.57099999999999995</v>
      </c>
      <c r="C7" s="25">
        <v>0.66700000000000004</v>
      </c>
      <c r="D7" s="25">
        <v>-9.6000000000000002E-2</v>
      </c>
    </row>
    <row r="9" spans="1:5" x14ac:dyDescent="0.25">
      <c r="A9" s="30" t="s">
        <v>329</v>
      </c>
    </row>
    <row r="10" spans="1:5" x14ac:dyDescent="0.25">
      <c r="A10" s="27" t="s">
        <v>233</v>
      </c>
      <c r="B10" s="27" t="s">
        <v>330</v>
      </c>
      <c r="C10" s="27" t="s">
        <v>331</v>
      </c>
      <c r="D10" s="27" t="s">
        <v>328</v>
      </c>
      <c r="E10" s="27" t="s">
        <v>332</v>
      </c>
    </row>
    <row r="11" spans="1:5" x14ac:dyDescent="0.25">
      <c r="A11" s="24" t="s">
        <v>135</v>
      </c>
      <c r="B11" s="25">
        <v>0.69699999999999995</v>
      </c>
      <c r="C11" s="25">
        <v>0.753</v>
      </c>
      <c r="D11" s="25">
        <v>-5.6000000000000001E-2</v>
      </c>
      <c r="E11" s="25" t="s">
        <v>333</v>
      </c>
    </row>
    <row r="12" spans="1:5" x14ac:dyDescent="0.25">
      <c r="A12" s="24" t="s">
        <v>137</v>
      </c>
      <c r="B12" s="25">
        <v>0.63300000000000001</v>
      </c>
      <c r="C12" s="25">
        <v>0.55200000000000005</v>
      </c>
      <c r="D12" s="25">
        <v>8.1000000000000003E-2</v>
      </c>
      <c r="E12" s="25" t="s">
        <v>334</v>
      </c>
    </row>
    <row r="13" spans="1:5" x14ac:dyDescent="0.25">
      <c r="A13" s="24" t="s">
        <v>136</v>
      </c>
      <c r="B13" s="25">
        <v>0.84199999999999997</v>
      </c>
      <c r="C13" s="25">
        <v>0.68700000000000006</v>
      </c>
      <c r="D13" s="25">
        <v>0.155</v>
      </c>
      <c r="E13" s="25" t="s">
        <v>334</v>
      </c>
    </row>
    <row r="15" spans="1:5" x14ac:dyDescent="0.25">
      <c r="A15" s="22" t="s">
        <v>335</v>
      </c>
    </row>
    <row r="17" spans="1:7" x14ac:dyDescent="0.25">
      <c r="A17" s="71" t="s">
        <v>336</v>
      </c>
      <c r="B17" s="61"/>
      <c r="C17" s="61"/>
      <c r="D17" s="61"/>
      <c r="E17" s="61"/>
      <c r="F17" s="61"/>
      <c r="G17" s="61"/>
    </row>
    <row r="18" spans="1:7" ht="30" x14ac:dyDescent="0.25">
      <c r="A18" s="34" t="s">
        <v>233</v>
      </c>
      <c r="B18" s="34" t="s">
        <v>337</v>
      </c>
      <c r="C18" s="34" t="s">
        <v>331</v>
      </c>
      <c r="D18" s="34" t="s">
        <v>328</v>
      </c>
      <c r="E18" s="34" t="s">
        <v>332</v>
      </c>
      <c r="F18" s="34" t="s">
        <v>338</v>
      </c>
      <c r="G18" s="34" t="s">
        <v>339</v>
      </c>
    </row>
    <row r="19" spans="1:7" x14ac:dyDescent="0.25">
      <c r="A19" s="53" t="s">
        <v>130</v>
      </c>
      <c r="B19" s="46">
        <v>0.90300000000000002</v>
      </c>
      <c r="C19" s="46">
        <v>0.90900000000000003</v>
      </c>
      <c r="D19" s="51">
        <v>-5.0000000000000001E-3</v>
      </c>
      <c r="E19" s="46" t="s">
        <v>340</v>
      </c>
      <c r="F19" s="46">
        <v>0</v>
      </c>
      <c r="G19" s="46">
        <v>0</v>
      </c>
    </row>
    <row r="20" spans="1:7" x14ac:dyDescent="0.25">
      <c r="A20" s="53" t="s">
        <v>132</v>
      </c>
      <c r="B20" s="46">
        <v>0.91600000000000004</v>
      </c>
      <c r="C20" s="46">
        <v>0.91600000000000004</v>
      </c>
      <c r="D20" s="46">
        <v>0</v>
      </c>
      <c r="E20" s="46" t="s">
        <v>340</v>
      </c>
      <c r="F20" s="46">
        <v>0</v>
      </c>
      <c r="G20" s="46">
        <v>0</v>
      </c>
    </row>
    <row r="21" spans="1:7" x14ac:dyDescent="0.25">
      <c r="A21" s="53" t="s">
        <v>123</v>
      </c>
      <c r="B21" s="46">
        <v>0.71899999999999997</v>
      </c>
      <c r="C21" s="46">
        <v>0.7</v>
      </c>
      <c r="D21" s="35">
        <v>1.9E-2</v>
      </c>
      <c r="E21" s="46" t="s">
        <v>341</v>
      </c>
      <c r="F21" s="46">
        <v>0</v>
      </c>
      <c r="G21" s="46">
        <v>0</v>
      </c>
    </row>
    <row r="22" spans="1:7" x14ac:dyDescent="0.25">
      <c r="A22" s="53" t="s">
        <v>134</v>
      </c>
      <c r="B22" s="46">
        <v>0.64200000000000002</v>
      </c>
      <c r="C22" s="46">
        <v>0.436</v>
      </c>
      <c r="D22" s="35">
        <v>0.20599999999999999</v>
      </c>
      <c r="E22" s="46" t="s">
        <v>334</v>
      </c>
      <c r="F22" s="46">
        <v>1</v>
      </c>
      <c r="G22" s="46">
        <v>3</v>
      </c>
    </row>
    <row r="23" spans="1:7" x14ac:dyDescent="0.25">
      <c r="A23" s="53" t="s">
        <v>135</v>
      </c>
      <c r="B23" s="46">
        <v>0.71299999999999997</v>
      </c>
      <c r="C23" s="46">
        <v>0.74</v>
      </c>
      <c r="D23" s="51">
        <v>-2.7E-2</v>
      </c>
      <c r="E23" s="46" t="s">
        <v>333</v>
      </c>
      <c r="F23" s="46">
        <v>0</v>
      </c>
      <c r="G23" s="46">
        <v>1</v>
      </c>
    </row>
    <row r="24" spans="1:7" x14ac:dyDescent="0.25">
      <c r="A24" s="53" t="s">
        <v>136</v>
      </c>
      <c r="B24" s="46">
        <v>0.69299999999999995</v>
      </c>
      <c r="C24" s="46">
        <v>0.70099999999999996</v>
      </c>
      <c r="D24" s="51">
        <v>-8.0000000000000002E-3</v>
      </c>
      <c r="E24" s="46" t="s">
        <v>340</v>
      </c>
      <c r="F24" s="46">
        <v>1</v>
      </c>
      <c r="G24" s="46">
        <v>1</v>
      </c>
    </row>
    <row r="25" spans="1:7" x14ac:dyDescent="0.25">
      <c r="A25" s="53" t="s">
        <v>137</v>
      </c>
      <c r="B25" s="46">
        <v>0.59499999999999997</v>
      </c>
      <c r="C25" s="46">
        <v>0.54300000000000004</v>
      </c>
      <c r="D25" s="35">
        <v>5.1999999999999998E-2</v>
      </c>
      <c r="E25" s="46" t="s">
        <v>341</v>
      </c>
      <c r="F25" s="46">
        <v>1</v>
      </c>
      <c r="G25" s="46">
        <v>2</v>
      </c>
    </row>
    <row r="26" spans="1:7" x14ac:dyDescent="0.25">
      <c r="A26" s="53" t="s">
        <v>131</v>
      </c>
      <c r="B26" s="46">
        <v>0.97499999999999998</v>
      </c>
      <c r="C26" s="46">
        <v>0.98499999999999999</v>
      </c>
      <c r="D26" s="51">
        <v>-1.0999999999999999E-2</v>
      </c>
      <c r="E26" s="46" t="s">
        <v>340</v>
      </c>
      <c r="F26" s="46">
        <v>0</v>
      </c>
      <c r="G26" s="46">
        <v>0</v>
      </c>
    </row>
    <row r="27" spans="1:7" x14ac:dyDescent="0.25">
      <c r="A27" s="53" t="s">
        <v>129</v>
      </c>
      <c r="B27" s="46">
        <v>0.80700000000000005</v>
      </c>
      <c r="C27" s="46">
        <v>0.84799999999999998</v>
      </c>
      <c r="D27" s="51">
        <v>-4.1000000000000002E-2</v>
      </c>
      <c r="E27" s="46" t="s">
        <v>333</v>
      </c>
      <c r="F27" s="46">
        <v>0</v>
      </c>
      <c r="G27" s="46">
        <v>0</v>
      </c>
    </row>
    <row r="28" spans="1:7" x14ac:dyDescent="0.25">
      <c r="A28" s="53" t="s">
        <v>133</v>
      </c>
      <c r="B28" s="46">
        <v>0.69799999999999995</v>
      </c>
      <c r="C28" s="46">
        <v>0.70899999999999996</v>
      </c>
      <c r="D28" s="51">
        <v>-1.0999999999999999E-2</v>
      </c>
      <c r="E28" s="46" t="s">
        <v>340</v>
      </c>
      <c r="F28" s="46">
        <v>0</v>
      </c>
      <c r="G28" s="46">
        <v>0</v>
      </c>
    </row>
    <row r="29" spans="1:7" x14ac:dyDescent="0.25">
      <c r="A29" s="54" t="s">
        <v>342</v>
      </c>
      <c r="B29" s="45">
        <v>0.76600000000000001</v>
      </c>
      <c r="C29" s="45">
        <v>0.749</v>
      </c>
      <c r="D29" s="45">
        <v>1.7000000000000001E-2</v>
      </c>
      <c r="E29" s="45"/>
      <c r="F29" s="45">
        <v>3</v>
      </c>
      <c r="G29" s="45">
        <v>7</v>
      </c>
    </row>
    <row r="31" spans="1:7" ht="48" customHeight="1" x14ac:dyDescent="0.25">
      <c r="A31" s="65" t="s">
        <v>343</v>
      </c>
      <c r="B31" s="61"/>
      <c r="C31" s="61"/>
      <c r="D31" s="61"/>
      <c r="E31" s="61"/>
      <c r="F31" s="61"/>
      <c r="G31" s="61"/>
    </row>
  </sheetData>
  <mergeCells count="2">
    <mergeCell ref="A31:G3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Mục lục</vt:lpstr>
      <vt:lpstr>Tổng kết</vt:lpstr>
      <vt:lpstr>7. Đa seed - chi tiết</vt:lpstr>
      <vt:lpstr>8. Đa seed RBF</vt:lpstr>
      <vt:lpstr>13. pur=0.7 rescue full</vt:lpstr>
      <vt:lpstr>14. pur=0.6 rescue full</vt:lpstr>
      <vt:lpstr>15. Độ nén (số bóng)</vt:lpstr>
      <vt:lpstr>18. SVM vs nearest-centroid</vt:lpstr>
      <vt:lpstr>17. Nhiễu thật (CIFAR-10N)</vt:lpstr>
      <vt:lpstr>12. Auto-tune (meta vs grid)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Nguyen</cp:lastModifiedBy>
  <cp:revision>0</cp:revision>
  <dcterms:created xsi:type="dcterms:W3CDTF">2026-09-14T08:53:11Z</dcterms:created>
  <dcterms:modified xsi:type="dcterms:W3CDTF">2026-10-21T06:09:38Z</dcterms:modified>
  <dc:language>en-US</dc:language>
</cp:coreProperties>
</file>