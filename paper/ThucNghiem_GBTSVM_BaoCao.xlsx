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3810" windowWidth="38640" windowHeight="21120" tabRatio="500" firstSheet="11" activeTab="0" autoFilterDateGrouping="1"/>
  </bookViews>
  <sheets>
    <sheet xmlns:r="http://schemas.openxmlformats.org/officeDocument/2006/relationships" name="Mục lục" sheetId="1" state="visible" r:id="rId1"/>
    <sheet xmlns:r="http://schemas.openxmlformats.org/officeDocument/2006/relationships" name="Tổng kết" sheetId="2" state="visible" r:id="rId2"/>
    <sheet xmlns:r="http://schemas.openxmlformats.org/officeDocument/2006/relationships" name="7. Đa seed - chi tiết" sheetId="3" state="visible" r:id="rId3"/>
    <sheet xmlns:r="http://schemas.openxmlformats.org/officeDocument/2006/relationships" name="8. Đa seed RBF" sheetId="4" state="visible" r:id="rId4"/>
    <sheet xmlns:r="http://schemas.openxmlformats.org/officeDocument/2006/relationships" name="13. pur=0.7 rescue full" sheetId="5" state="visible" r:id="rId5"/>
    <sheet xmlns:r="http://schemas.openxmlformats.org/officeDocument/2006/relationships" name="14. pur=0.6 rescue full" sheetId="6" state="visible" r:id="rId6"/>
    <sheet xmlns:r="http://schemas.openxmlformats.org/officeDocument/2006/relationships" name="15. Độ nén (số bóng)" sheetId="7" state="visible" r:id="rId7"/>
    <sheet xmlns:r="http://schemas.openxmlformats.org/officeDocument/2006/relationships" name="18. SVM vs nearest-centroid" sheetId="8" state="visible" r:id="rId8"/>
    <sheet xmlns:r="http://schemas.openxmlformats.org/officeDocument/2006/relationships" name="17. Nhiễu thật (CIFAR-10N)" sheetId="9" state="visible" r:id="rId9"/>
    <sheet xmlns:r="http://schemas.openxmlformats.org/officeDocument/2006/relationships" name="12. Auto-tune (meta vs grid)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\+0.000;\-0.000"/>
    <numFmt numFmtId="166" formatCode="0.0"/>
  </numFmts>
  <fonts count="28">
    <font>
      <name val="Calibri"/>
      <charset val="1"/>
      <family val="2"/>
      <color theme="1"/>
      <sz val="11"/>
    </font>
    <font>
      <name val="Times New Roman"/>
      <charset val="1"/>
      <b val="1"/>
      <sz val="16"/>
    </font>
    <font>
      <name val="Times New Roman"/>
      <charset val="1"/>
      <i val="1"/>
      <sz val="11"/>
    </font>
    <font>
      <name val="Times New Roman"/>
      <charset val="1"/>
      <b val="1"/>
      <sz val="11"/>
    </font>
    <font>
      <name val="Times New Roman"/>
      <charset val="1"/>
      <sz val="11"/>
    </font>
    <font>
      <name val="Times New Roman"/>
      <charset val="1"/>
      <i val="1"/>
      <color rgb="FF1F4E79"/>
      <sz val="9"/>
    </font>
    <font>
      <name val="Times New Roman"/>
      <charset val="1"/>
      <b val="1"/>
      <sz val="14"/>
    </font>
    <font>
      <name val="Times New Roman"/>
      <charset val="1"/>
      <i val="1"/>
      <sz val="10"/>
    </font>
    <font>
      <name val="Times New Roman"/>
      <charset val="1"/>
      <b val="1"/>
      <color rgb="FFFFFFFF"/>
      <sz val="11"/>
    </font>
    <font>
      <name val="Times New Roman"/>
      <charset val="1"/>
      <b val="1"/>
      <color rgb="FFC00000"/>
      <sz val="11"/>
    </font>
    <font>
      <name val="Times New Roman"/>
      <charset val="1"/>
      <b val="1"/>
      <sz val="12"/>
    </font>
    <font>
      <name val="Times New Roman"/>
      <charset val="1"/>
      <b val="1"/>
      <sz val="13"/>
    </font>
    <font>
      <name val="Times New Roman"/>
      <charset val="1"/>
      <i val="1"/>
      <color rgb="FF9C5700"/>
      <sz val="10"/>
    </font>
    <font>
      <name val="Calibri"/>
      <b val="1"/>
      <sz val="13"/>
    </font>
    <font>
      <name val="Calibri"/>
      <i val="1"/>
      <color rgb="FF555555"/>
      <sz val="10"/>
    </font>
    <font>
      <name val="Calibri"/>
      <b val="1"/>
      <sz val="11"/>
    </font>
    <font>
      <name val="Calibri"/>
      <b val="1"/>
      <color rgb="FF9C1B1B"/>
      <sz val="11"/>
    </font>
    <font>
      <b val="1"/>
      <sz val="13"/>
    </font>
    <font>
      <i val="1"/>
      <color rgb="00555555"/>
      <sz val="10"/>
    </font>
    <font>
      <b val="1"/>
    </font>
    <font>
      <color rgb="00375623"/>
      <sz val="9"/>
    </font>
    <font>
      <i val="1"/>
      <color rgb="00999999"/>
    </font>
    <font>
      <sz val="10"/>
    </font>
    <font>
      <b val="1"/>
      <sz val="14"/>
    </font>
    <font>
      <b val="1"/>
      <color rgb="00FFFFFF"/>
    </font>
    <font>
      <b val="1"/>
      <sz val="11"/>
    </font>
    <font>
      <color rgb="00375623"/>
      <sz val="10"/>
    </font>
    <font>
      <color rgb="00833C00"/>
      <sz val="10"/>
    </font>
  </fonts>
  <fills count="17">
    <fill>
      <patternFill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EDEDED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7F3C00"/>
        <bgColor rgb="FF9C5700"/>
      </patternFill>
    </fill>
    <fill>
      <patternFill patternType="solid">
        <fgColor rgb="FFD9E2F3"/>
      </patternFill>
    </fill>
    <fill>
      <patternFill patternType="solid">
        <fgColor rgb="FFEAF0FA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0" fontId="3" fillId="5" borderId="1" pivotButton="0" quotePrefix="0" xfId="0"/>
    <xf numFmtId="0" fontId="0" fillId="5" borderId="1" pivotButton="0" quotePrefix="0" xfId="0"/>
    <xf numFmtId="164" fontId="3" fillId="5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pivotButton="0" quotePrefix="0" xfId="0"/>
    <xf numFmtId="164" fontId="4" fillId="5" borderId="1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0" fontId="3" fillId="6" borderId="1" pivotButton="0" quotePrefix="0" xfId="0"/>
    <xf numFmtId="0" fontId="0" fillId="6" borderId="1" pivotButton="0" quotePrefix="0" xfId="0"/>
    <xf numFmtId="164" fontId="3" fillId="6" borderId="1" applyAlignment="1" pivotButton="0" quotePrefix="0" xfId="0">
      <alignment horizontal="center"/>
    </xf>
    <xf numFmtId="165" fontId="3" fillId="6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0" fillId="5" borderId="1" applyAlignment="1" pivotButton="0" quotePrefix="0" xfId="0">
      <alignment horizontal="center"/>
    </xf>
    <xf numFmtId="0" fontId="8" fillId="7" borderId="1" applyAlignment="1" pivotButton="0" quotePrefix="0" xfId="0">
      <alignment horizontal="center" wrapText="1"/>
    </xf>
    <xf numFmtId="0" fontId="8" fillId="7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8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5" fillId="9" borderId="2" applyAlignment="1" pivotButton="0" quotePrefix="0" xfId="0">
      <alignment horizontal="center" vertical="center"/>
    </xf>
    <xf numFmtId="0" fontId="15" fillId="0" borderId="2" pivotButton="0" quotePrefix="0" xfId="0"/>
    <xf numFmtId="0" fontId="0" fillId="0" borderId="2" pivotButton="0" quotePrefix="0" xfId="0"/>
    <xf numFmtId="0" fontId="16" fillId="0" borderId="0" pivotButton="0" quotePrefix="0" xfId="0"/>
    <xf numFmtId="0" fontId="15" fillId="0" borderId="0" pivotButton="0" quotePrefix="0" xfId="0"/>
    <xf numFmtId="0" fontId="15" fillId="0" borderId="2" applyAlignment="1" pivotButton="0" quotePrefix="0" xfId="0">
      <alignment horizontal="left" vertical="center"/>
    </xf>
    <xf numFmtId="0" fontId="0" fillId="0" borderId="0" pivotButton="0" quotePrefix="0" xfId="0"/>
    <xf numFmtId="0" fontId="5" fillId="3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17" fillId="0" borderId="0" pivotButton="0" quotePrefix="0" xfId="0"/>
    <xf numFmtId="0" fontId="18" fillId="0" borderId="0" pivotButton="0" quotePrefix="0" xfId="0"/>
    <xf numFmtId="0" fontId="19" fillId="1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wrapText="1"/>
    </xf>
    <xf numFmtId="0" fontId="21" fillId="11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3" fillId="0" borderId="0" pivotButton="0" quotePrefix="0" xfId="0"/>
    <xf numFmtId="0" fontId="18" fillId="0" borderId="0" applyAlignment="1" pivotButton="0" quotePrefix="0" xfId="0">
      <alignment horizontal="left" vertical="top" wrapText="1"/>
    </xf>
    <xf numFmtId="0" fontId="24" fillId="13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19" fillId="12" borderId="3" applyAlignment="1" pivotButton="0" quotePrefix="0" xfId="0">
      <alignment horizontal="left" vertical="top" wrapText="1"/>
    </xf>
    <xf numFmtId="0" fontId="0" fillId="12" borderId="3" applyAlignment="1" pivotButton="0" quotePrefix="0" xfId="0">
      <alignment horizontal="left" vertical="top" wrapText="1"/>
    </xf>
    <xf numFmtId="0" fontId="0" fillId="11" borderId="3" applyAlignment="1" pivotButton="0" quotePrefix="0" xfId="0">
      <alignment horizontal="center" vertical="center" wrapText="1"/>
    </xf>
    <xf numFmtId="0" fontId="19" fillId="11" borderId="3" applyAlignment="1" pivotButton="0" quotePrefix="0" xfId="0">
      <alignment horizontal="left" vertical="top" wrapText="1"/>
    </xf>
    <xf numFmtId="0" fontId="0" fillId="11" borderId="3" applyAlignment="1" pivotButton="0" quotePrefix="0" xfId="0">
      <alignment horizontal="left" vertical="top" wrapText="1"/>
    </xf>
    <xf numFmtId="0" fontId="0" fillId="14" borderId="3" applyAlignment="1" pivotButton="0" quotePrefix="0" xfId="0">
      <alignment horizontal="center" vertical="center" wrapText="1"/>
    </xf>
    <xf numFmtId="0" fontId="19" fillId="14" borderId="3" applyAlignment="1" pivotButton="0" quotePrefix="0" xfId="0">
      <alignment horizontal="left" vertical="top" wrapText="1"/>
    </xf>
    <xf numFmtId="0" fontId="0" fillId="14" borderId="3" applyAlignment="1" pivotButton="0" quotePrefix="0" xfId="0">
      <alignment horizontal="left" vertical="top" wrapText="1"/>
    </xf>
    <xf numFmtId="0" fontId="19" fillId="0" borderId="0" pivotButton="0" quotePrefix="0" xfId="0"/>
    <xf numFmtId="0" fontId="25" fillId="0" borderId="0" pivotButton="0" quotePrefix="0" xfId="0"/>
    <xf numFmtId="0" fontId="0" fillId="15" borderId="3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25" fillId="16" borderId="0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left" vertical="top" wrapText="1"/>
    </xf>
    <xf numFmtId="0" fontId="21" fillId="11" borderId="3" applyAlignment="1" pivotButton="0" quotePrefix="0" xfId="0">
      <alignment horizontal="center" vertical="center" wrapText="1"/>
    </xf>
    <xf numFmtId="0" fontId="19" fillId="12" borderId="3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left" vertical="top" wrapText="1"/>
    </xf>
    <xf numFmtId="0" fontId="25" fillId="16" borderId="0" pivotButton="0" quotePrefix="0" xfId="0"/>
    <xf numFmtId="0" fontId="19" fillId="0" borderId="3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0" fontId="0" fillId="15" borderId="3" applyAlignment="1" pivotButton="0" quotePrefix="0" xfId="0">
      <alignment horizontal="center" vertical="center" wrapText="1"/>
    </xf>
    <xf numFmtId="0" fontId="19" fillId="10" borderId="3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center"/>
    </xf>
    <xf numFmtId="0" fontId="19" fillId="0" borderId="3" applyAlignment="1" pivotButton="0" quotePrefix="0" xfId="0">
      <alignment horizontal="left" vertical="center"/>
    </xf>
    <xf numFmtId="0" fontId="24" fillId="13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57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F3C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style="50" min="1" max="1"/>
    <col width="70" customWidth="1" style="50" min="2" max="2"/>
  </cols>
  <sheetData>
    <row r="1">
      <c r="A1" s="62" t="inlineStr">
        <is>
          <t>Thực nghiệm PA-BL-GBTSVM, bản báo cáo (các sheet cốt lõi)</t>
        </is>
      </c>
    </row>
    <row r="2"/>
    <row r="3">
      <c r="A3" s="94" t="inlineStr">
        <is>
          <t>Sheet</t>
        </is>
      </c>
      <c r="B3" s="94" t="inlineStr">
        <is>
          <t>Nội dung</t>
        </is>
      </c>
    </row>
    <row r="4">
      <c r="A4" s="56" t="inlineStr">
        <is>
          <t>Tổng kết</t>
        </is>
      </c>
      <c r="B4" s="56" t="inlineStr">
        <is>
          <t>Tổng kết toàn bộ việc đã làm, kết quả và kết luận.</t>
        </is>
      </c>
    </row>
    <row r="5">
      <c r="A5" s="56" t="inlineStr">
        <is>
          <t>7. Đa seed - chi tiết</t>
        </is>
      </c>
      <c r="B5" s="56" t="inlineStr">
        <is>
          <t>Kết quả chính: Wave vs hinge (GBTSVM) ở pur=1, đa seed, 4 loại nhiễu (linear).</t>
        </is>
      </c>
    </row>
    <row r="6">
      <c r="A6" s="56" t="inlineStr">
        <is>
          <t>8. Đa seed RBF</t>
        </is>
      </c>
      <c r="B6" s="56" t="inlineStr">
        <is>
          <t>Như sheet chính nhưng với nhân RBF.</t>
        </is>
      </c>
    </row>
    <row r="7">
      <c r="A7" s="56" t="inlineStr">
        <is>
          <t>13. pur=0.7 rescue full</t>
        </is>
      </c>
      <c r="B7" s="56" t="inlineStr">
        <is>
          <t>Rescue chống suy biến ở pur=0.7 (full 170 × 5 seed).</t>
        </is>
      </c>
    </row>
    <row r="8">
      <c r="A8" s="56" t="inlineStr">
        <is>
          <t>14. pur=0.6 rescue full</t>
        </is>
      </c>
      <c r="B8" s="56" t="inlineStr">
        <is>
          <t>Rescue chống suy biến ở pur=0.6 (full 170 × 5 seed).</t>
        </is>
      </c>
    </row>
    <row r="9">
      <c r="A9" s="56" t="inlineStr">
        <is>
          <t>15. Độ nén (số bóng)</t>
        </is>
      </c>
      <c r="B9" s="56" t="inlineStr">
        <is>
          <t>Số bóng so với số điểm theo độ thuần (độ nén); rescue thêm 0 đến 1 bóng.</t>
        </is>
      </c>
    </row>
    <row r="10">
      <c r="A10" s="56" t="inlineStr">
        <is>
          <t>18. SVM vs nearest-centroid</t>
        </is>
      </c>
      <c r="B10" s="56" t="inlineStr">
        <is>
          <t>SVM đáng ở độ thuần cao; suy biến thì thoái lui nearest-centroid.</t>
        </is>
      </c>
    </row>
    <row r="11">
      <c r="A11" s="56" t="inlineStr">
        <is>
          <t>17. Nhiễu thật (CIFAR-10N)</t>
        </is>
      </c>
      <c r="B11" s="56" t="inlineStr">
        <is>
          <t>Kiểm trên nhãn nhiễu thật (CIFAR-10N), 5 seed.</t>
        </is>
      </c>
    </row>
    <row r="12">
      <c r="A12" s="56" t="inlineStr">
        <is>
          <t>12. Auto-tune (meta vs grid)</t>
        </is>
      </c>
      <c r="B12" s="56" t="inlineStr">
        <is>
          <t>Bầy đàn (WOA) vs grid chọn siêu tham số, RBF full 10 bộ.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50" min="1" max="1"/>
    <col width="30" customWidth="1" style="50" min="2" max="2"/>
    <col width="42" customWidth="1" style="50" min="3" max="3"/>
    <col width="44" customWidth="1" style="50" min="4" max="4"/>
    <col width="44" customWidth="1" style="50" min="5" max="5"/>
    <col width="12" customWidth="1" style="50" min="6" max="6"/>
  </cols>
  <sheetData>
    <row r="1">
      <c r="A1" s="62" t="inlineStr">
        <is>
          <t>Tổng kết, Purity-Adaptive Bounded-Loss Granular-Ball Twin SVM</t>
        </is>
      </c>
    </row>
    <row r="2" ht="46" customHeight="1" s="50">
      <c r="A2" s="63" t="inlineStr">
        <is>
          <t>Chốt phương pháp: (chính) Wave bounded loss áp trên bóng hạt, pur=1, không phụ thuộc loại nhiễu, dẫn đầu hinge. (phụ) rescue-only chống suy biến mất nhãn ở độ thuần thấp, kích hoạt theo điều kiện quan sát được. Đã kiểm trên 4 loại nhiễu giả lập + nhiễu nhãn thật (CIFAR-10N).</t>
        </is>
      </c>
    </row>
    <row r="3"/>
    <row r="4">
      <c r="A4" s="64" t="inlineStr">
        <is>
          <t>#</t>
        </is>
      </c>
      <c r="B4" s="64" t="inlineStr">
        <is>
          <t>Hạng mục</t>
        </is>
      </c>
      <c r="C4" s="64" t="inlineStr">
        <is>
          <t>Đã làm gì</t>
        </is>
      </c>
      <c r="D4" s="64" t="inlineStr">
        <is>
          <t>Kết quả chính (số)</t>
        </is>
      </c>
      <c r="E4" s="64" t="inlineStr">
        <is>
          <t>Kết luận / Định vị</t>
        </is>
      </c>
      <c r="F4" s="64" t="inlineStr">
        <is>
          <t>Nơi lưu</t>
        </is>
      </c>
    </row>
    <row r="5" ht="62" customHeight="1" s="50">
      <c r="A5" s="65" t="inlineStr">
        <is>
          <t>1</t>
        </is>
      </c>
      <c r="B5" s="66" t="inlineStr">
        <is>
          <t>Phương pháp chính: Wave loss trên Granular-Ball (pur=1)</t>
        </is>
      </c>
      <c r="C5" s="67" t="inlineStr">
        <is>
          <t>So Wave (Adam) vs hinge (QP) áp trên bóng; 10 bộ × 4 loại nhiễu × 4 mức × 5 seed (linear + RBF).</t>
        </is>
      </c>
      <c r="D5" s="67" t="inlineStr">
        <is>
          <t>pur=1: wave 0.702 vs hard 0.687 (toàn cục, linear). Wave dẫn đầu ở mọi loại nhiễu.</t>
        </is>
      </c>
      <c r="E5" s="67" t="inlineStr">
        <is>
          <t>Đóng góp chính (Tier-1). Wave bounded loss chống nhiễu tốt hơn hinge, không cần biết loại nhiễu.</t>
        </is>
      </c>
      <c r="F5" s="65" t="inlineStr">
        <is>
          <t>Sheet 7, 8</t>
        </is>
      </c>
    </row>
    <row r="6" ht="62" customHeight="1" s="50">
      <c r="A6" s="65" t="inlineStr">
        <is>
          <t>2</t>
        </is>
      </c>
      <c r="B6" s="66" t="inlineStr">
        <is>
          <t>Vì sao ghép Wave × Granular-Ball (không phải SVM)</t>
        </is>
      </c>
      <c r="C6" s="67" t="inlineStr">
        <is>
          <t>Phân tích + hình minh họa: áp loss lên bóng (trung bình cục bộ) vs lên từng điểm.</t>
        </is>
      </c>
      <c r="D6" s="67" t="inlineStr">
        <is>
          <t>Bóng sai nhãn ít và bị wave redescending dập; áp lên điểm thì mỗi điểm nhiễu vẫn kéo biên.</t>
        </is>
      </c>
      <c r="E6" s="67" t="inlineStr">
        <is>
          <t>Căn cứ lý thuyết cho thiết kế. Đưa vào Word thuyết trình.</t>
        </is>
      </c>
      <c r="F6" s="65" t="inlineStr">
        <is>
          <t>Word (T4)</t>
        </is>
      </c>
    </row>
    <row r="7" ht="62" customHeight="1" s="50">
      <c r="A7" s="65" t="inlineStr">
        <is>
          <t>3</t>
        </is>
      </c>
      <c r="B7" s="66" t="inlineStr">
        <is>
          <t>Purity-Adaptive λ (kappa), heuristic riêng của nhóm</t>
        </is>
      </c>
      <c r="C7" s="67" t="inlineStr">
        <is>
          <t>So sigmoid vs linear vs cố định (kappa=0) ở pur=0.8.</t>
        </is>
      </c>
      <c r="D7" s="67" t="inlineStr">
        <is>
          <t>Adaptive không thắng rõ so với λ cố định.</t>
        </is>
      </c>
      <c r="E7" s="67" t="inlineStr">
        <is>
          <t>Chốt λ cố định (kappa=0) làm Tier-1; adaptive để phần thảo luận. Lưu ý: công thức adaptive là heuristic của nhóm, không lấy từ paper Wave.</t>
        </is>
      </c>
      <c r="F7" s="65" t="inlineStr">
        <is>
          <t>Sheet 9, 10</t>
        </is>
      </c>
    </row>
    <row r="8" ht="62" customHeight="1" s="50">
      <c r="A8" s="68" t="inlineStr">
        <is>
          <t>4</t>
        </is>
      </c>
      <c r="B8" s="69" t="inlineStr">
        <is>
          <t>Auto-tune λ, C, γ (metaheuristic mealpy vs grid)</t>
        </is>
      </c>
      <c r="C8" s="70" t="inlineStr">
        <is>
          <t>WOA/PSO dò liên tục vs grid thô {0.01,0.1,1.0}; RBF, 5 seed.</t>
        </is>
      </c>
      <c r="D8" s="70" t="inlineStr">
        <is>
          <t>RBF: sonar +0.081, ionosphere +0.155, heart −0.056. Grid RBF thỉnh thoảng sập gần random; meta hiếm sập (ổn định hơn) nhưng tốn ~6× lần chấm.</t>
        </is>
      </c>
      <c r="E8" s="70" t="inlineStr">
        <is>
          <t>Tiện ích auto-tuning cho RBF (lợi thế độ ổn định), không phải đóng góp chính.</t>
        </is>
      </c>
      <c r="F8" s="68" t="inlineStr">
        <is>
          <t>Sheet 12</t>
        </is>
      </c>
    </row>
    <row r="9" ht="62" customHeight="1" s="50">
      <c r="A9" s="71" t="inlineStr">
        <is>
          <t>5</t>
        </is>
      </c>
      <c r="B9" s="72" t="inlineStr">
        <is>
          <t>Chống suy biến mất nhãn: two-centroid / rescue-only (floor=1)</t>
        </is>
      </c>
      <c r="C9" s="73" t="inlineStr">
        <is>
          <t>Full 170×5 seed, pur=0.7 &amp; 0.6; chỉ bơm tâm-thiểu-số khi một lớp cạn bóng.</t>
        </is>
      </c>
      <c r="D9" s="73" t="inlineStr">
        <is>
          <t>pur=0.7: rescue 0.662 &gt; wave 0.652 &gt; hard 0.647. pur=0.6: rescue 0.667 &gt; 0.657 &gt; 0.655. Cứu các fold asymmetric bị suy biến.</t>
        </is>
      </c>
      <c r="E9" s="73" t="inlineStr">
        <is>
          <t>Đóng góp phụ (Tier-2). Cơ chế an toàn kích hoạt theo điều kiện quan sát được (lớp &lt; 1 bóng) → triển khai được trên dữ liệu thật.</t>
        </is>
      </c>
      <c r="F9" s="71" t="inlineStr">
        <is>
          <t>Sheet 13, 14</t>
        </is>
      </c>
    </row>
    <row r="10" ht="62" customHeight="1" s="50">
      <c r="A10" s="68" t="inlineStr">
        <is>
          <t>6</t>
        </is>
      </c>
      <c r="B10" s="69" t="inlineStr">
        <is>
          <t>Quét ngưỡng rescue floor (kích hoạt sớm hơn?)</t>
        </is>
      </c>
      <c r="C10" s="70" t="inlineStr">
        <is>
          <t>floor ∈ {1, 5, 10, 20}.</t>
        </is>
      </c>
      <c r="D10" s="70" t="inlineStr">
        <is>
          <t>Tất cả ~0.625; floor=1 tối ưu, floor cao không thêm lợi.</t>
        </is>
      </c>
      <c r="E10" s="70" t="inlineStr">
        <is>
          <t>Giữ floor=1 (chỉ cứu khi lớp thật sự cạn bóng).</t>
        </is>
      </c>
      <c r="F10" s="68" t="inlineStr">
        <is>
          <t>exp_floor.py</t>
        </is>
      </c>
    </row>
    <row r="11" ht="62" customHeight="1" s="50">
      <c r="A11" s="68" t="inlineStr">
        <is>
          <t>7</t>
        </is>
      </c>
      <c r="B11" s="69" t="inlineStr">
        <is>
          <t>Quét ngưỡng độ thuần τ (tách chủ động mọi bóng lẫn?)</t>
        </is>
      </c>
      <c r="C11" s="70" t="inlineStr">
        <is>
          <t>τ ∈ {0.7, 0.8, 0.9, 1.0}.</t>
        </is>
      </c>
      <c r="D11" s="70" t="inlineStr">
        <is>
          <t>Tách chủ động giúp asymmetric +0.01 nhưng hại sym/boundary/far (−0.04…−0.08); τ=0.7 (=chỉ rescue) tốt nhất 0.625.</t>
        </is>
      </c>
      <c r="E11" s="70" t="inlineStr">
        <is>
          <t>Không tách chủ động; rescue phản ứng (chỉ khi suy biến) là đúng.</t>
        </is>
      </c>
      <c r="F11" s="68" t="inlineStr">
        <is>
          <t>exp_thresh.py</t>
        </is>
      </c>
    </row>
    <row r="12" ht="62" customHeight="1" s="50">
      <c r="A12" s="68" t="inlineStr">
        <is>
          <t>8</t>
        </is>
      </c>
      <c r="B12" s="69" t="inlineStr">
        <is>
          <t>Robust ball (tâm đa số + bán kính median)</t>
        </is>
      </c>
      <c r="C12" s="70" t="inlineStr">
        <is>
          <t>pur=0.8, thay tâm/bán kính bằng thống kê bền với ngoại lai.</t>
        </is>
      </c>
      <c r="D12" s="70" t="inlineStr">
        <is>
          <t>Chỉ +0.003.</t>
        </is>
      </c>
      <c r="E12" s="70" t="inlineStr">
        <is>
          <t>Không đáng, bỏ.</t>
        </is>
      </c>
      <c r="F12" s="68" t="inlineStr">
        <is>
          <t>exp_robust.py</t>
        </is>
      </c>
    </row>
    <row r="13" ht="62" customHeight="1" s="50">
      <c r="A13" s="71" t="inlineStr">
        <is>
          <t>9</t>
        </is>
      </c>
      <c r="B13" s="72" t="inlineStr">
        <is>
          <t>Số bóng / độ nén (compression)</t>
        </is>
      </c>
      <c r="C13" s="73" t="inlineStr">
        <is>
          <t>Đếm số bóng so với số điểm, full protocol.</t>
        </is>
      </c>
      <c r="D13" s="73" t="inlineStr">
        <is>
          <t>pur=1 nén 1.4 đến 2.1× (bóng≈điểm, kém); pur=0.7 3.6 đến 9.4×; pur=0.6 32 đến 116×. Rescue chỉ thêm ~0 đến 1 bóng.</t>
        </is>
      </c>
      <c r="E13" s="73" t="inlineStr">
        <is>
          <t>Độ thuần thấp = nén mạnh; rescue gần như không tốn thêm bóng → an toàn 'miễn phí'.</t>
        </is>
      </c>
      <c r="F13" s="71" t="inlineStr">
        <is>
          <t>Sheet 15, 16</t>
        </is>
      </c>
    </row>
    <row r="14" ht="62" customHeight="1" s="50">
      <c r="A14" s="65" t="inlineStr">
        <is>
          <t>10</t>
        </is>
      </c>
      <c r="B14" s="66" t="inlineStr">
        <is>
          <t>Nhiễu nhãn thật, CIFAR-10N</t>
        </is>
      </c>
      <c r="C14" s="67" t="inlineStr">
        <is>
          <t>Bài nhị phân từ nhãn-người thật (Wei et al. ICLR 2022): automobile/truck (7.6%) &amp; cat/dog (46.6%).</t>
        </is>
      </c>
      <c r="D14" s="67" t="inlineStr">
        <is>
          <t>5 seed automobile/truck: wave(pur=1) 0.704±.004 &gt; hard(pur=1) 0.696±.003 (nhất quán 5 seed). Pur=0.5: cả 5 seed hard/wave suy biến, rescue cứu 0.656±.002. cat/dog ~0.52 (đặc trưng PCA-50 yếu).</t>
        </is>
      </c>
      <c r="E14" s="67" t="inlineStr">
        <is>
          <t>Xác nhận bằng 5 seed trên nhiễu thật: Wave dẫn đầu ổn định + rescue cứu suy biến (sd nhỏ). Automobile/truck làm ví dụ chính, cat/dog để phụ lục.</t>
        </is>
      </c>
      <c r="F14" s="65" t="inlineStr">
        <is>
          <t>Sheet 17</t>
        </is>
      </c>
    </row>
    <row r="15" ht="62" customHeight="1" s="50">
      <c r="A15" s="71" t="inlineStr">
        <is>
          <t>11</t>
        </is>
      </c>
      <c r="B15" s="72" t="inlineStr">
        <is>
          <t>Định vị &amp; phân biệt với nhóm nghiên cứu khác (overlap)</t>
        </is>
      </c>
      <c r="C15" s="73" t="inlineStr">
        <is>
          <t>Thảo luận khác biệt hóa: nhóm kia xử lý loss+optimizer; mình = Wave áp trên hạt bóng + rescue theo độ thuần.</t>
        </is>
      </c>
      <c r="D15" s="73" t="inlineStr">
        <is>
          <t xml:space="preserve">, </t>
        </is>
      </c>
      <c r="E15" s="73" t="inlineStr">
        <is>
          <t>Đóng góp riêng: (a) Wave trên bóng có phân tích độ thuần, (b) rescue chống suy biến theo điều kiện quan sát được. Đủ khác để ra báo riêng.</t>
        </is>
      </c>
      <c r="F15" s="71" t="inlineStr">
        <is>
          <t xml:space="preserve">, </t>
        </is>
      </c>
    </row>
    <row r="16"/>
    <row r="17">
      <c r="A17" s="74" t="inlineStr">
        <is>
          <t>Màu:</t>
        </is>
      </c>
      <c r="B17" s="65" t="inlineStr">
        <is>
          <t>Đóng góp chính (Tier-1)</t>
        </is>
      </c>
      <c r="C17" s="71" t="inlineStr">
        <is>
          <t>Đóng góp phụ / hỗ trợ (Tier-2)</t>
        </is>
      </c>
      <c r="D17" s="68" t="inlineStr">
        <is>
          <t>Khảo sát / đã loại</t>
        </is>
      </c>
    </row>
    <row r="18"/>
    <row r="19">
      <c r="A19" s="75" t="inlineStr">
        <is>
          <t>Còn có thể làm tiếp (để bồ chốt)</t>
        </is>
      </c>
    </row>
    <row r="20" ht="30" customHeight="1" s="50">
      <c r="A20" s="76" t="inlineStr">
        <is>
          <t>1. Chạy nhiều seed cho CIFAR automobile/truck (hiện mới 1 seed) → số real-noise vững hơn cho báo.</t>
        </is>
      </c>
      <c r="B20" s="77" t="n"/>
      <c r="C20" s="77" t="n"/>
      <c r="D20" s="77" t="n"/>
      <c r="E20" s="77" t="n"/>
      <c r="F20" s="78" t="n"/>
    </row>
    <row r="21" ht="30" customHeight="1" s="50">
      <c r="A21" s="76" t="inlineStr">
        <is>
          <t>2. Viết bản thảo: bố cục = Wave×GB (chính) + rescue độ-thuần thấp (phụ) + kiểm trên nhiễu giả lập &amp; thật.</t>
        </is>
      </c>
      <c r="B21" s="77" t="n"/>
      <c r="C21" s="77" t="n"/>
      <c r="D21" s="77" t="n"/>
      <c r="E21" s="77" t="n"/>
      <c r="F21" s="78" t="n"/>
    </row>
    <row r="22" ht="30" customHeight="1" s="50">
      <c r="A22" s="76" t="inlineStr">
        <is>
          <t>3. balls.py trên máy vẫn bản cũ (Windows CFA chặn commit), nếu muốn chạy các script khác cần cập nhật balls.py.</t>
        </is>
      </c>
      <c r="B22" s="77" t="n"/>
      <c r="C22" s="77" t="n"/>
      <c r="D22" s="77" t="n"/>
      <c r="E22" s="77" t="n"/>
      <c r="F22" s="78" t="n"/>
    </row>
    <row r="23" ht="30" customHeight="1" s="50">
      <c r="A23" s="76" t="inlineStr">
        <is>
          <t>4. Nếu cần: so thêm với baseline (LGBTSVM, PinGBTSVM) để bảng so sánh đầy đủ hơn.</t>
        </is>
      </c>
      <c r="B23" s="77" t="n"/>
      <c r="C23" s="77" t="n"/>
      <c r="D23" s="77" t="n"/>
      <c r="E23" s="77" t="n"/>
      <c r="F23" s="78" t="n"/>
    </row>
    <row r="24" ht="30" customHeight="1" s="50">
      <c r="A24" s="76" t="inlineStr">
        <is>
          <t>5. Commit code: nhớ 'del .git\index.lock' rồi commit 15 file đã stage; đừng commit data/raw/cifar10 (341MB).</t>
        </is>
      </c>
      <c r="B24" s="77" t="n"/>
      <c r="C24" s="77" t="n"/>
      <c r="D24" s="77" t="n"/>
      <c r="E24" s="77" t="n"/>
      <c r="F24" s="78" t="n"/>
    </row>
  </sheetData>
  <mergeCells count="8">
    <mergeCell ref="A24:F24"/>
    <mergeCell ref="A2:F2"/>
    <mergeCell ref="A19:F19"/>
    <mergeCell ref="A1:F1"/>
    <mergeCell ref="A23:F23"/>
    <mergeCell ref="A22:F22"/>
    <mergeCell ref="A20:F20"/>
    <mergeCell ref="A21:F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7109375" defaultRowHeight="15"/>
  <cols>
    <col width="15" customWidth="1" style="50" min="1" max="1"/>
    <col width="12" customWidth="1" style="50" min="2" max="2"/>
    <col width="6" customWidth="1" style="50" min="3" max="3"/>
    <col width="8" customWidth="1" style="50" min="4" max="16"/>
  </cols>
  <sheetData>
    <row r="1" ht="17.25" customHeight="1" s="50">
      <c r="A1" s="6" t="inlineStr">
        <is>
          <t>Đa seed, chi tiết đủ 10 bộ (hard &amp; wave), TB tính từ đây</t>
        </is>
      </c>
    </row>
    <row r="2" ht="15" customHeight="1" s="50">
      <c r="A2" s="7" t="inlineStr">
        <is>
          <t>Mỗi ô = độ chính xác của bộ đó ở seed đó (TB 5 fold). Cột TB = trung bình 5 seed. 170 dòng = 10 bộ × 17 (loại×mức).</t>
        </is>
      </c>
    </row>
    <row r="3" ht="42" customHeight="1" s="50">
      <c r="A3" s="51" t="inlineStr">
        <is>
          <t>Tham số (cố định, không tune, đo ổn định qua 5 seed): hard d=0.1, eps=0.05 · wave C=10, λ=1, kappa=0 (λ cố định) · steps=300 · kernel linear · 5-fold.</t>
        </is>
      </c>
    </row>
    <row r="4" ht="24.75" customHeight="1" s="50">
      <c r="A4" s="30" t="inlineStr">
        <is>
          <t>dataset</t>
        </is>
      </c>
      <c r="B4" s="30" t="inlineStr">
        <is>
          <t>kind</t>
        </is>
      </c>
      <c r="C4" s="30" t="inlineStr">
        <is>
          <t>rate</t>
        </is>
      </c>
      <c r="D4" s="30" t="inlineStr">
        <is>
          <t>hard s0</t>
        </is>
      </c>
      <c r="E4" s="30" t="inlineStr">
        <is>
          <t>hard s1</t>
        </is>
      </c>
      <c r="F4" s="30" t="inlineStr">
        <is>
          <t>hard s2</t>
        </is>
      </c>
      <c r="G4" s="30" t="inlineStr">
        <is>
          <t>hard s3</t>
        </is>
      </c>
      <c r="H4" s="30" t="inlineStr">
        <is>
          <t>hard s4</t>
        </is>
      </c>
      <c r="I4" s="30" t="inlineStr">
        <is>
          <t>hard TB</t>
        </is>
      </c>
      <c r="J4" s="30" t="inlineStr">
        <is>
          <t>wave s0</t>
        </is>
      </c>
      <c r="K4" s="30" t="inlineStr">
        <is>
          <t>wave s1</t>
        </is>
      </c>
      <c r="L4" s="30" t="inlineStr">
        <is>
          <t>wave s2</t>
        </is>
      </c>
      <c r="M4" s="30" t="inlineStr">
        <is>
          <t>wave s3</t>
        </is>
      </c>
      <c r="N4" s="30" t="inlineStr">
        <is>
          <t>wave s4</t>
        </is>
      </c>
      <c r="O4" s="30" t="inlineStr">
        <is>
          <t>wave TB</t>
        </is>
      </c>
      <c r="P4" s="30" t="inlineStr">
        <is>
          <t>Δ</t>
        </is>
      </c>
    </row>
    <row r="5" ht="15" customHeight="1" s="50">
      <c r="A5" s="9" t="inlineStr">
        <is>
          <t>SPECTF</t>
        </is>
      </c>
      <c r="B5" s="9" t="inlineStr">
        <is>
          <t>(clean)</t>
        </is>
      </c>
      <c r="C5" s="31" t="n">
        <v>0</v>
      </c>
      <c r="D5" s="19" t="n">
        <v>0.73</v>
      </c>
      <c r="E5" s="19" t="n">
        <v>0.768</v>
      </c>
      <c r="F5" s="19" t="n">
        <v>0.727</v>
      </c>
      <c r="G5" s="19" t="n">
        <v>0.734</v>
      </c>
      <c r="H5" s="19" t="n">
        <v>0.786</v>
      </c>
      <c r="I5" s="20">
        <f>IFERROR(AVERAGE(D5:H5),"-")</f>
        <v/>
      </c>
      <c r="J5" s="19" t="n">
        <v>0.797</v>
      </c>
      <c r="K5" s="19" t="n">
        <v>0.794</v>
      </c>
      <c r="L5" s="19" t="n">
        <v>0.787</v>
      </c>
      <c r="M5" s="19" t="n">
        <v>0.775</v>
      </c>
      <c r="N5" s="19" t="n">
        <v>0.723</v>
      </c>
      <c r="O5" s="20">
        <f>IFERROR(AVERAGE(J5:N5),"-")</f>
        <v/>
      </c>
      <c r="P5" s="32">
        <f>IFERROR(O5-I5,"-")</f>
        <v/>
      </c>
    </row>
    <row r="6" ht="15" customHeight="1" s="50">
      <c r="A6" s="9" t="inlineStr">
        <is>
          <t>SPECTF</t>
        </is>
      </c>
      <c r="B6" s="9" t="inlineStr">
        <is>
          <t>symmetric</t>
        </is>
      </c>
      <c r="C6" s="31" t="n">
        <v>0.2</v>
      </c>
      <c r="D6" s="19" t="n">
        <v>0.634</v>
      </c>
      <c r="E6" s="19" t="n">
        <v>0.659</v>
      </c>
      <c r="F6" s="19" t="n">
        <v>0.663</v>
      </c>
      <c r="G6" s="19" t="n">
        <v>0.633</v>
      </c>
      <c r="H6" s="19" t="n">
        <v>0.704</v>
      </c>
      <c r="I6" s="20">
        <f>IFERROR(AVERAGE(D6:H6),"-")</f>
        <v/>
      </c>
      <c r="J6" s="19" t="n">
        <v>0.712</v>
      </c>
      <c r="K6" s="19" t="n">
        <v>0.6929999999999999</v>
      </c>
      <c r="L6" s="19" t="n">
        <v>0.678</v>
      </c>
      <c r="M6" s="19" t="n">
        <v>0.655</v>
      </c>
      <c r="N6" s="19" t="n">
        <v>0.704</v>
      </c>
      <c r="O6" s="20">
        <f>IFERROR(AVERAGE(J6:N6),"-")</f>
        <v/>
      </c>
      <c r="P6" s="32">
        <f>IFERROR(O6-I6,"-")</f>
        <v/>
      </c>
    </row>
    <row r="7" ht="15" customHeight="1" s="50">
      <c r="A7" s="9" t="inlineStr">
        <is>
          <t>SPECTF</t>
        </is>
      </c>
      <c r="B7" s="9" t="inlineStr">
        <is>
          <t>symmetric</t>
        </is>
      </c>
      <c r="C7" s="31" t="n">
        <v>0.3</v>
      </c>
      <c r="D7" s="19" t="n">
        <v>0.548</v>
      </c>
      <c r="E7" s="19" t="n">
        <v>0.588</v>
      </c>
      <c r="F7" s="19" t="n">
        <v>0.652</v>
      </c>
      <c r="G7" s="19" t="n">
        <v>0.614</v>
      </c>
      <c r="H7" s="19" t="n">
        <v>0.641</v>
      </c>
      <c r="I7" s="20">
        <f>IFERROR(AVERAGE(D7:H7),"-")</f>
        <v/>
      </c>
      <c r="J7" s="19" t="n">
        <v>0.596</v>
      </c>
      <c r="K7" s="19" t="n">
        <v>0.618</v>
      </c>
      <c r="L7" s="19" t="n">
        <v>0.61</v>
      </c>
      <c r="M7" s="19" t="n">
        <v>0.655</v>
      </c>
      <c r="N7" s="19" t="n">
        <v>0.644</v>
      </c>
      <c r="O7" s="20">
        <f>IFERROR(AVERAGE(J7:N7),"-")</f>
        <v/>
      </c>
      <c r="P7" s="32">
        <f>IFERROR(O7-I7,"-")</f>
        <v/>
      </c>
    </row>
    <row r="8" ht="15" customHeight="1" s="50">
      <c r="A8" s="9" t="inlineStr">
        <is>
          <t>SPECTF</t>
        </is>
      </c>
      <c r="B8" s="9" t="inlineStr">
        <is>
          <t>symmetric</t>
        </is>
      </c>
      <c r="C8" s="31" t="n">
        <v>0.4</v>
      </c>
      <c r="D8" s="19" t="n">
        <v>0.588</v>
      </c>
      <c r="E8" s="19" t="n">
        <v>0.598</v>
      </c>
      <c r="F8" s="19" t="n">
        <v>0.573</v>
      </c>
      <c r="G8" s="19" t="n">
        <v>0.596</v>
      </c>
      <c r="H8" s="19" t="n">
        <v>0.532</v>
      </c>
      <c r="I8" s="20">
        <f>IFERROR(AVERAGE(D8:H8),"-")</f>
        <v/>
      </c>
      <c r="J8" s="19" t="n">
        <v>0.573</v>
      </c>
      <c r="K8" s="19" t="n">
        <v>0.588</v>
      </c>
      <c r="L8" s="19" t="n">
        <v>0.5659999999999999</v>
      </c>
      <c r="M8" s="19" t="n">
        <v>0.606</v>
      </c>
      <c r="N8" s="19" t="n">
        <v>0.551</v>
      </c>
      <c r="O8" s="20">
        <f>IFERROR(AVERAGE(J8:N8),"-")</f>
        <v/>
      </c>
      <c r="P8" s="32">
        <f>IFERROR(O8-I8,"-")</f>
        <v/>
      </c>
    </row>
    <row r="9" ht="15" customHeight="1" s="50">
      <c r="A9" s="9" t="inlineStr">
        <is>
          <t>SPECTF</t>
        </is>
      </c>
      <c r="B9" s="9" t="inlineStr">
        <is>
          <t>symmetric</t>
        </is>
      </c>
      <c r="C9" s="31" t="n">
        <v>0.5</v>
      </c>
      <c r="D9" s="19" t="n">
        <v>0.502</v>
      </c>
      <c r="E9" s="19" t="n">
        <v>0.449</v>
      </c>
      <c r="F9" s="19" t="n">
        <v>0.498</v>
      </c>
      <c r="G9" s="19" t="n">
        <v>0.539</v>
      </c>
      <c r="H9" s="19" t="n">
        <v>0.502</v>
      </c>
      <c r="I9" s="20">
        <f>IFERROR(AVERAGE(D9:H9),"-")</f>
        <v/>
      </c>
      <c r="J9" s="19" t="n">
        <v>0.468</v>
      </c>
      <c r="K9" s="19" t="n">
        <v>0.461</v>
      </c>
      <c r="L9" s="19" t="n">
        <v>0.49</v>
      </c>
      <c r="M9" s="19" t="n">
        <v>0.446</v>
      </c>
      <c r="N9" s="19" t="n">
        <v>0.509</v>
      </c>
      <c r="O9" s="20">
        <f>IFERROR(AVERAGE(J9:N9),"-")</f>
        <v/>
      </c>
      <c r="P9" s="32">
        <f>IFERROR(O9-I9,"-")</f>
        <v/>
      </c>
    </row>
    <row r="10" ht="15" customHeight="1" s="50">
      <c r="A10" s="9" t="inlineStr">
        <is>
          <t>SPECTF</t>
        </is>
      </c>
      <c r="B10" s="9" t="inlineStr">
        <is>
          <t>asymmetric</t>
        </is>
      </c>
      <c r="C10" s="31" t="n">
        <v>0.2</v>
      </c>
      <c r="D10" s="19" t="n">
        <v>0.749</v>
      </c>
      <c r="E10" s="19" t="n">
        <v>0.73</v>
      </c>
      <c r="F10" s="19" t="n">
        <v>0.745</v>
      </c>
      <c r="G10" s="19" t="n">
        <v>0.753</v>
      </c>
      <c r="H10" s="19" t="n">
        <v>0.749</v>
      </c>
      <c r="I10" s="20">
        <f>IFERROR(AVERAGE(D10:H10),"-")</f>
        <v/>
      </c>
      <c r="J10" s="19" t="n">
        <v>0.794</v>
      </c>
      <c r="K10" s="19" t="n">
        <v>0.775</v>
      </c>
      <c r="L10" s="19" t="n">
        <v>0.745</v>
      </c>
      <c r="M10" s="19" t="n">
        <v>0.749</v>
      </c>
      <c r="N10" s="19" t="n">
        <v>0.764</v>
      </c>
      <c r="O10" s="20">
        <f>IFERROR(AVERAGE(J10:N10),"-")</f>
        <v/>
      </c>
      <c r="P10" s="32">
        <f>IFERROR(O10-I10,"-")</f>
        <v/>
      </c>
    </row>
    <row r="11" ht="15" customHeight="1" s="50">
      <c r="A11" s="9" t="inlineStr">
        <is>
          <t>SPECTF</t>
        </is>
      </c>
      <c r="B11" s="9" t="inlineStr">
        <is>
          <t>asymmetric</t>
        </is>
      </c>
      <c r="C11" s="31" t="n">
        <v>0.3</v>
      </c>
      <c r="D11" s="19" t="n">
        <v>0.764</v>
      </c>
      <c r="E11" s="19" t="n">
        <v>0.753</v>
      </c>
      <c r="F11" s="19" t="n">
        <v>0.753</v>
      </c>
      <c r="G11" s="19" t="n">
        <v>0.73</v>
      </c>
      <c r="H11" s="19" t="n">
        <v>0.764</v>
      </c>
      <c r="I11" s="20">
        <f>IFERROR(AVERAGE(D11:H11),"-")</f>
        <v/>
      </c>
      <c r="J11" s="19" t="n">
        <v>0.771</v>
      </c>
      <c r="K11" s="19" t="n">
        <v>0.768</v>
      </c>
      <c r="L11" s="19" t="n">
        <v>0.783</v>
      </c>
      <c r="M11" s="19" t="n">
        <v>0.779</v>
      </c>
      <c r="N11" s="19" t="n">
        <v>0.772</v>
      </c>
      <c r="O11" s="20">
        <f>IFERROR(AVERAGE(J11:N11),"-")</f>
        <v/>
      </c>
      <c r="P11" s="32">
        <f>IFERROR(O11-I11,"-")</f>
        <v/>
      </c>
    </row>
    <row r="12" ht="15" customHeight="1" s="50">
      <c r="A12" s="9" t="inlineStr">
        <is>
          <t>SPECTF</t>
        </is>
      </c>
      <c r="B12" s="9" t="inlineStr">
        <is>
          <t>asymmetric</t>
        </is>
      </c>
      <c r="C12" s="31" t="n">
        <v>0.4</v>
      </c>
      <c r="D12" s="19" t="n">
        <v>0.745</v>
      </c>
      <c r="E12" s="19" t="n">
        <v>0.787</v>
      </c>
      <c r="F12" s="19" t="n">
        <v>0.753</v>
      </c>
      <c r="G12" s="19" t="n">
        <v>0.775</v>
      </c>
      <c r="H12" s="19" t="n">
        <v>0.79</v>
      </c>
      <c r="I12" s="20">
        <f>IFERROR(AVERAGE(D12:H12),"-")</f>
        <v/>
      </c>
      <c r="J12" s="19" t="n">
        <v>0.764</v>
      </c>
      <c r="K12" s="19" t="n">
        <v>0.775</v>
      </c>
      <c r="L12" s="19" t="n">
        <v>0.794</v>
      </c>
      <c r="M12" s="19" t="n">
        <v>0.749</v>
      </c>
      <c r="N12" s="19" t="n">
        <v>0.76</v>
      </c>
      <c r="O12" s="20">
        <f>IFERROR(AVERAGE(J12:N12),"-")</f>
        <v/>
      </c>
      <c r="P12" s="32">
        <f>IFERROR(O12-I12,"-")</f>
        <v/>
      </c>
    </row>
    <row r="13" ht="15" customHeight="1" s="50">
      <c r="A13" s="9" t="inlineStr">
        <is>
          <t>SPECTF</t>
        </is>
      </c>
      <c r="B13" s="9" t="inlineStr">
        <is>
          <t>asymmetric</t>
        </is>
      </c>
      <c r="C13" s="31" t="n">
        <v>0.5</v>
      </c>
      <c r="D13" s="19" t="n">
        <v>0.794</v>
      </c>
      <c r="E13" s="19" t="n">
        <v>0.764</v>
      </c>
      <c r="F13" s="19" t="n">
        <v>0.768</v>
      </c>
      <c r="G13" s="19" t="n">
        <v>0.764</v>
      </c>
      <c r="H13" s="19" t="n">
        <v>0.753</v>
      </c>
      <c r="I13" s="20">
        <f>IFERROR(AVERAGE(D13:H13),"-")</f>
        <v/>
      </c>
      <c r="J13" s="19" t="n">
        <v>0.79</v>
      </c>
      <c r="K13" s="19" t="n">
        <v>0.757</v>
      </c>
      <c r="L13" s="19" t="n">
        <v>0.764</v>
      </c>
      <c r="M13" s="19" t="n">
        <v>0.764</v>
      </c>
      <c r="N13" s="19" t="n">
        <v>0.753</v>
      </c>
      <c r="O13" s="20">
        <f>IFERROR(AVERAGE(J13:N13),"-")</f>
        <v/>
      </c>
      <c r="P13" s="32">
        <f>IFERROR(O13-I13,"-")</f>
        <v/>
      </c>
    </row>
    <row r="14" ht="15" customHeight="1" s="50">
      <c r="A14" s="9" t="inlineStr">
        <is>
          <t>SPECTF</t>
        </is>
      </c>
      <c r="B14" s="9" t="inlineStr">
        <is>
          <t>boundary</t>
        </is>
      </c>
      <c r="C14" s="31" t="n">
        <v>0.2</v>
      </c>
      <c r="D14" s="19" t="n">
        <v>0.757</v>
      </c>
      <c r="E14" s="19" t="n">
        <v>0.786</v>
      </c>
      <c r="F14" s="19" t="n">
        <v>0.716</v>
      </c>
      <c r="G14" s="19" t="n">
        <v>0.704</v>
      </c>
      <c r="H14" s="19" t="n">
        <v>0.745</v>
      </c>
      <c r="I14" s="20">
        <f>IFERROR(AVERAGE(D14:H14),"-")</f>
        <v/>
      </c>
      <c r="J14" s="19" t="n">
        <v>0.749</v>
      </c>
      <c r="K14" s="19" t="n">
        <v>0.757</v>
      </c>
      <c r="L14" s="19" t="n">
        <v>0.704</v>
      </c>
      <c r="M14" s="19" t="n">
        <v>0.764</v>
      </c>
      <c r="N14" s="19" t="n">
        <v>0.753</v>
      </c>
      <c r="O14" s="20">
        <f>IFERROR(AVERAGE(J14:N14),"-")</f>
        <v/>
      </c>
      <c r="P14" s="32">
        <f>IFERROR(O14-I14,"-")</f>
        <v/>
      </c>
    </row>
    <row r="15" ht="15" customHeight="1" s="50">
      <c r="A15" s="9" t="inlineStr">
        <is>
          <t>SPECTF</t>
        </is>
      </c>
      <c r="B15" s="9" t="inlineStr">
        <is>
          <t>boundary</t>
        </is>
      </c>
      <c r="C15" s="31" t="n">
        <v>0.3</v>
      </c>
      <c r="D15" s="19" t="n">
        <v>0.67</v>
      </c>
      <c r="E15" s="19" t="n">
        <v>0.749</v>
      </c>
      <c r="F15" s="19" t="n">
        <v>0.6929999999999999</v>
      </c>
      <c r="G15" s="19" t="n">
        <v>0.6850000000000001</v>
      </c>
      <c r="H15" s="19" t="n">
        <v>0.674</v>
      </c>
      <c r="I15" s="20">
        <f>IFERROR(AVERAGE(D15:H15),"-")</f>
        <v/>
      </c>
      <c r="J15" s="19" t="n">
        <v>0.707</v>
      </c>
      <c r="K15" s="19" t="n">
        <v>0.701</v>
      </c>
      <c r="L15" s="19" t="n">
        <v>0.727</v>
      </c>
      <c r="M15" s="19" t="n">
        <v>0.727</v>
      </c>
      <c r="N15" s="19" t="n">
        <v>0.697</v>
      </c>
      <c r="O15" s="20">
        <f>IFERROR(AVERAGE(J15:N15),"-")</f>
        <v/>
      </c>
      <c r="P15" s="32">
        <f>IFERROR(O15-I15,"-")</f>
        <v/>
      </c>
    </row>
    <row r="16" ht="15" customHeight="1" s="50">
      <c r="A16" s="9" t="inlineStr">
        <is>
          <t>SPECTF</t>
        </is>
      </c>
      <c r="B16" s="9" t="inlineStr">
        <is>
          <t>boundary</t>
        </is>
      </c>
      <c r="C16" s="31" t="n">
        <v>0.4</v>
      </c>
      <c r="D16" s="19" t="n">
        <v>0.603</v>
      </c>
      <c r="E16" s="19" t="n">
        <v>0.666</v>
      </c>
      <c r="F16" s="19" t="n">
        <v>0.626</v>
      </c>
      <c r="G16" s="19" t="n">
        <v>0.678</v>
      </c>
      <c r="H16" s="19" t="n">
        <v>0.666</v>
      </c>
      <c r="I16" s="20">
        <f>IFERROR(AVERAGE(D16:H16),"-")</f>
        <v/>
      </c>
      <c r="J16" s="19" t="n">
        <v>0.576</v>
      </c>
      <c r="K16" s="19" t="n">
        <v>0.585</v>
      </c>
      <c r="L16" s="19" t="n">
        <v>0.629</v>
      </c>
      <c r="M16" s="19" t="n">
        <v>0.675</v>
      </c>
      <c r="N16" s="19" t="n">
        <v>0.655</v>
      </c>
      <c r="O16" s="20">
        <f>IFERROR(AVERAGE(J16:N16),"-")</f>
        <v/>
      </c>
      <c r="P16" s="32">
        <f>IFERROR(O16-I16,"-")</f>
        <v/>
      </c>
    </row>
    <row r="17" ht="15" customHeight="1" s="50">
      <c r="A17" s="9" t="inlineStr">
        <is>
          <t>SPECTF</t>
        </is>
      </c>
      <c r="B17" s="9" t="inlineStr">
        <is>
          <t>boundary</t>
        </is>
      </c>
      <c r="C17" s="31" t="n">
        <v>0.5</v>
      </c>
      <c r="D17" s="19" t="n">
        <v>0.457</v>
      </c>
      <c r="E17" s="19" t="n">
        <v>0.514</v>
      </c>
      <c r="F17" s="19" t="n">
        <v>0.521</v>
      </c>
      <c r="G17" s="19" t="n">
        <v>0.509</v>
      </c>
      <c r="H17" s="19" t="n">
        <v>0.423</v>
      </c>
      <c r="I17" s="20">
        <f>IFERROR(AVERAGE(D17:H17),"-")</f>
        <v/>
      </c>
      <c r="J17" s="19" t="n">
        <v>0.453</v>
      </c>
      <c r="K17" s="19" t="n">
        <v>0.45</v>
      </c>
      <c r="L17" s="19" t="n">
        <v>0.472</v>
      </c>
      <c r="M17" s="19" t="n">
        <v>0.524</v>
      </c>
      <c r="N17" s="19" t="n">
        <v>0.461</v>
      </c>
      <c r="O17" s="20">
        <f>IFERROR(AVERAGE(J17:N17),"-")</f>
        <v/>
      </c>
      <c r="P17" s="32">
        <f>IFERROR(O17-I17,"-")</f>
        <v/>
      </c>
    </row>
    <row r="18" ht="15" customHeight="1" s="50">
      <c r="A18" s="9" t="inlineStr">
        <is>
          <t>SPECTF</t>
        </is>
      </c>
      <c r="B18" s="9" t="inlineStr">
        <is>
          <t>far</t>
        </is>
      </c>
      <c r="C18" s="31" t="n">
        <v>0.2</v>
      </c>
      <c r="D18" s="19" t="n">
        <v>0.626</v>
      </c>
      <c r="E18" s="19" t="n">
        <v>0.629</v>
      </c>
      <c r="F18" s="19" t="n">
        <v>0.607</v>
      </c>
      <c r="G18" s="19" t="n">
        <v>0.539</v>
      </c>
      <c r="H18" s="19" t="n">
        <v>0.61</v>
      </c>
      <c r="I18" s="20">
        <f>IFERROR(AVERAGE(D18:H18),"-")</f>
        <v/>
      </c>
      <c r="J18" s="19" t="n">
        <v>0.666</v>
      </c>
      <c r="K18" s="19" t="n">
        <v>0.599</v>
      </c>
      <c r="L18" s="19" t="n">
        <v>0.637</v>
      </c>
      <c r="M18" s="19" t="n">
        <v>0.58</v>
      </c>
      <c r="N18" s="19" t="n">
        <v>0.633</v>
      </c>
      <c r="O18" s="20">
        <f>IFERROR(AVERAGE(J18:N18),"-")</f>
        <v/>
      </c>
      <c r="P18" s="32">
        <f>IFERROR(O18-I18,"-")</f>
        <v/>
      </c>
    </row>
    <row r="19" ht="15" customHeight="1" s="50">
      <c r="A19" s="9" t="inlineStr">
        <is>
          <t>SPECTF</t>
        </is>
      </c>
      <c r="B19" s="9" t="inlineStr">
        <is>
          <t>far</t>
        </is>
      </c>
      <c r="C19" s="31" t="n">
        <v>0.3</v>
      </c>
      <c r="D19" s="19" t="n">
        <v>0.5580000000000001</v>
      </c>
      <c r="E19" s="19" t="n">
        <v>0.547</v>
      </c>
      <c r="F19" s="19" t="n">
        <v>0.48</v>
      </c>
      <c r="G19" s="19" t="n">
        <v>0.498</v>
      </c>
      <c r="H19" s="19" t="n">
        <v>0.5649999999999999</v>
      </c>
      <c r="I19" s="20">
        <f>IFERROR(AVERAGE(D19:H19),"-")</f>
        <v/>
      </c>
      <c r="J19" s="19" t="n">
        <v>0.599</v>
      </c>
      <c r="K19" s="19" t="n">
        <v>0.5659999999999999</v>
      </c>
      <c r="L19" s="19" t="n">
        <v>0.569</v>
      </c>
      <c r="M19" s="19" t="n">
        <v>0.573</v>
      </c>
      <c r="N19" s="19" t="n">
        <v>0.543</v>
      </c>
      <c r="O19" s="20">
        <f>IFERROR(AVERAGE(J19:N19),"-")</f>
        <v/>
      </c>
      <c r="P19" s="32">
        <f>IFERROR(O19-I19,"-")</f>
        <v/>
      </c>
    </row>
    <row r="20" ht="15" customHeight="1" s="50">
      <c r="A20" s="9" t="inlineStr">
        <is>
          <t>SPECTF</t>
        </is>
      </c>
      <c r="B20" s="9" t="inlineStr">
        <is>
          <t>far</t>
        </is>
      </c>
      <c r="C20" s="31" t="n">
        <v>0.4</v>
      </c>
      <c r="D20" s="19" t="n">
        <v>0.468</v>
      </c>
      <c r="E20" s="19" t="n">
        <v>0.45</v>
      </c>
      <c r="F20" s="19" t="n">
        <v>0.453</v>
      </c>
      <c r="G20" s="19" t="n">
        <v>0.423</v>
      </c>
      <c r="H20" s="19" t="n">
        <v>0.49</v>
      </c>
      <c r="I20" s="20">
        <f>IFERROR(AVERAGE(D20:H20),"-")</f>
        <v/>
      </c>
      <c r="J20" s="19" t="n">
        <v>0.506</v>
      </c>
      <c r="K20" s="19" t="n">
        <v>0.505</v>
      </c>
      <c r="L20" s="19" t="n">
        <v>0.494</v>
      </c>
      <c r="M20" s="19" t="n">
        <v>0.528</v>
      </c>
      <c r="N20" s="19" t="n">
        <v>0.495</v>
      </c>
      <c r="O20" s="20">
        <f>IFERROR(AVERAGE(J20:N20),"-")</f>
        <v/>
      </c>
      <c r="P20" s="32">
        <f>IFERROR(O20-I20,"-")</f>
        <v/>
      </c>
    </row>
    <row r="21" ht="15" customHeight="1" s="50">
      <c r="A21" s="9" t="inlineStr">
        <is>
          <t>SPECTF</t>
        </is>
      </c>
      <c r="B21" s="9" t="inlineStr">
        <is>
          <t>far</t>
        </is>
      </c>
      <c r="C21" s="31" t="n">
        <v>0.5</v>
      </c>
      <c r="D21" s="19" t="n">
        <v>0.49</v>
      </c>
      <c r="E21" s="19" t="n">
        <v>0.509</v>
      </c>
      <c r="F21" s="19" t="n">
        <v>0.453</v>
      </c>
      <c r="G21" s="19" t="n">
        <v>0.532</v>
      </c>
      <c r="H21" s="19" t="n">
        <v>0.5620000000000001</v>
      </c>
      <c r="I21" s="20">
        <f>IFERROR(AVERAGE(D21:H21),"-")</f>
        <v/>
      </c>
      <c r="J21" s="19" t="n">
        <v>0.498</v>
      </c>
      <c r="K21" s="19" t="n">
        <v>0.52</v>
      </c>
      <c r="L21" s="19" t="n">
        <v>0.491</v>
      </c>
      <c r="M21" s="19" t="n">
        <v>0.54</v>
      </c>
      <c r="N21" s="19" t="n">
        <v>0.498</v>
      </c>
      <c r="O21" s="20">
        <f>IFERROR(AVERAGE(J21:N21),"-")</f>
        <v/>
      </c>
      <c r="P21" s="32">
        <f>IFERROR(O21-I21,"-")</f>
        <v/>
      </c>
    </row>
    <row r="22" ht="15" customHeight="1" s="50">
      <c r="A22" s="9" t="inlineStr">
        <is>
          <t>australian</t>
        </is>
      </c>
      <c r="B22" s="9" t="inlineStr">
        <is>
          <t>(clean)</t>
        </is>
      </c>
      <c r="C22" s="31" t="n">
        <v>0</v>
      </c>
      <c r="D22" s="19" t="n">
        <v>0.832</v>
      </c>
      <c r="E22" s="19" t="n">
        <v>0.8100000000000001</v>
      </c>
      <c r="F22" s="19" t="n">
        <v>0.819</v>
      </c>
      <c r="G22" s="19" t="n">
        <v>0.8139999999999999</v>
      </c>
      <c r="H22" s="19" t="n">
        <v>0.841</v>
      </c>
      <c r="I22" s="20">
        <f>IFERROR(AVERAGE(D22:H22),"-")</f>
        <v/>
      </c>
      <c r="J22" s="19" t="n">
        <v>0.832</v>
      </c>
      <c r="K22" s="19" t="n">
        <v>0.82</v>
      </c>
      <c r="L22" s="19" t="n">
        <v>0.82</v>
      </c>
      <c r="M22" s="19" t="n">
        <v>0.833</v>
      </c>
      <c r="N22" s="19" t="n">
        <v>0.836</v>
      </c>
      <c r="O22" s="20">
        <f>IFERROR(AVERAGE(J22:N22),"-")</f>
        <v/>
      </c>
      <c r="P22" s="32">
        <f>IFERROR(O22-I22,"-")</f>
        <v/>
      </c>
    </row>
    <row r="23" ht="15" customHeight="1" s="50">
      <c r="A23" s="9" t="inlineStr">
        <is>
          <t>australian</t>
        </is>
      </c>
      <c r="B23" s="9" t="inlineStr">
        <is>
          <t>symmetric</t>
        </is>
      </c>
      <c r="C23" s="31" t="n">
        <v>0.2</v>
      </c>
      <c r="D23" s="19" t="n">
        <v>0.797</v>
      </c>
      <c r="E23" s="19" t="n">
        <v>0.786</v>
      </c>
      <c r="F23" s="19" t="n">
        <v>0.767</v>
      </c>
      <c r="G23" s="19" t="n">
        <v>0.786</v>
      </c>
      <c r="H23" s="19" t="n">
        <v>0.79</v>
      </c>
      <c r="I23" s="20">
        <f>IFERROR(AVERAGE(D23:H23),"-")</f>
        <v/>
      </c>
      <c r="J23" s="19" t="n">
        <v>0.796</v>
      </c>
      <c r="K23" s="19" t="n">
        <v>0.748</v>
      </c>
      <c r="L23" s="19" t="n">
        <v>0.757</v>
      </c>
      <c r="M23" s="19" t="n">
        <v>0.788</v>
      </c>
      <c r="N23" s="19" t="n">
        <v>0.8</v>
      </c>
      <c r="O23" s="20">
        <f>IFERROR(AVERAGE(J23:N23),"-")</f>
        <v/>
      </c>
      <c r="P23" s="32">
        <f>IFERROR(O23-I23,"-")</f>
        <v/>
      </c>
    </row>
    <row r="24" ht="15" customHeight="1" s="50">
      <c r="A24" s="9" t="inlineStr">
        <is>
          <t>australian</t>
        </is>
      </c>
      <c r="B24" s="9" t="inlineStr">
        <is>
          <t>symmetric</t>
        </is>
      </c>
      <c r="C24" s="31" t="n">
        <v>0.3</v>
      </c>
      <c r="D24" s="19" t="n">
        <v>0.738</v>
      </c>
      <c r="E24" s="19" t="n">
        <v>0.775</v>
      </c>
      <c r="F24" s="19" t="n">
        <v>0.709</v>
      </c>
      <c r="G24" s="19" t="n">
        <v>0.694</v>
      </c>
      <c r="H24" s="19" t="n">
        <v>0.778</v>
      </c>
      <c r="I24" s="20">
        <f>IFERROR(AVERAGE(D24:H24),"-")</f>
        <v/>
      </c>
      <c r="J24" s="19" t="n">
        <v>0.748</v>
      </c>
      <c r="K24" s="19" t="n">
        <v>0.754</v>
      </c>
      <c r="L24" s="19" t="n">
        <v>0.719</v>
      </c>
      <c r="M24" s="19" t="n">
        <v>0.701</v>
      </c>
      <c r="N24" s="19" t="n">
        <v>0.735</v>
      </c>
      <c r="O24" s="20">
        <f>IFERROR(AVERAGE(J24:N24),"-")</f>
        <v/>
      </c>
      <c r="P24" s="32">
        <f>IFERROR(O24-I24,"-")</f>
        <v/>
      </c>
    </row>
    <row r="25" ht="15" customHeight="1" s="50">
      <c r="A25" s="9" t="inlineStr">
        <is>
          <t>australian</t>
        </is>
      </c>
      <c r="B25" s="9" t="inlineStr">
        <is>
          <t>symmetric</t>
        </is>
      </c>
      <c r="C25" s="31" t="n">
        <v>0.4</v>
      </c>
      <c r="D25" s="19" t="n">
        <v>0.641</v>
      </c>
      <c r="E25" s="19" t="n">
        <v>0.658</v>
      </c>
      <c r="F25" s="19" t="n">
        <v>0.626</v>
      </c>
      <c r="G25" s="19" t="n">
        <v>0.648</v>
      </c>
      <c r="H25" s="19" t="n">
        <v>0.652</v>
      </c>
      <c r="I25" s="20">
        <f>IFERROR(AVERAGE(D25:H25),"-")</f>
        <v/>
      </c>
      <c r="J25" s="19" t="n">
        <v>0.648</v>
      </c>
      <c r="K25" s="19" t="n">
        <v>0.67</v>
      </c>
      <c r="L25" s="19" t="n">
        <v>0.613</v>
      </c>
      <c r="M25" s="19" t="n">
        <v>0.623</v>
      </c>
      <c r="N25" s="19" t="n">
        <v>0.668</v>
      </c>
      <c r="O25" s="20">
        <f>IFERROR(AVERAGE(J25:N25),"-")</f>
        <v/>
      </c>
      <c r="P25" s="32">
        <f>IFERROR(O25-I25,"-")</f>
        <v/>
      </c>
    </row>
    <row r="26" ht="15" customHeight="1" s="50">
      <c r="A26" s="9" t="inlineStr">
        <is>
          <t>australian</t>
        </is>
      </c>
      <c r="B26" s="9" t="inlineStr">
        <is>
          <t>symmetric</t>
        </is>
      </c>
      <c r="C26" s="31" t="n">
        <v>0.5</v>
      </c>
      <c r="D26" s="19" t="n">
        <v>0.509</v>
      </c>
      <c r="E26" s="19" t="n">
        <v>0.486</v>
      </c>
      <c r="F26" s="19" t="n">
        <v>0.459</v>
      </c>
      <c r="G26" s="19" t="n">
        <v>0.519</v>
      </c>
      <c r="H26" s="19" t="n">
        <v>0.432</v>
      </c>
      <c r="I26" s="20">
        <f>IFERROR(AVERAGE(D26:H26),"-")</f>
        <v/>
      </c>
      <c r="J26" s="19" t="n">
        <v>0.449</v>
      </c>
      <c r="K26" s="19" t="n">
        <v>0.478</v>
      </c>
      <c r="L26" s="19" t="n">
        <v>0.543</v>
      </c>
      <c r="M26" s="19" t="n">
        <v>0.525</v>
      </c>
      <c r="N26" s="19" t="n">
        <v>0.465</v>
      </c>
      <c r="O26" s="20">
        <f>IFERROR(AVERAGE(J26:N26),"-")</f>
        <v/>
      </c>
      <c r="P26" s="32">
        <f>IFERROR(O26-I26,"-")</f>
        <v/>
      </c>
    </row>
    <row r="27" ht="15" customHeight="1" s="50">
      <c r="A27" s="9" t="inlineStr">
        <is>
          <t>australian</t>
        </is>
      </c>
      <c r="B27" s="9" t="inlineStr">
        <is>
          <t>asymmetric</t>
        </is>
      </c>
      <c r="C27" s="31" t="n">
        <v>0.2</v>
      </c>
      <c r="D27" s="19" t="n">
        <v>0.778</v>
      </c>
      <c r="E27" s="19" t="n">
        <v>0.777</v>
      </c>
      <c r="F27" s="19" t="n">
        <v>0.778</v>
      </c>
      <c r="G27" s="19" t="n">
        <v>0.764</v>
      </c>
      <c r="H27" s="19" t="n">
        <v>0.774</v>
      </c>
      <c r="I27" s="20">
        <f>IFERROR(AVERAGE(D27:H27),"-")</f>
        <v/>
      </c>
      <c r="J27" s="19" t="n">
        <v>0.751</v>
      </c>
      <c r="K27" s="19" t="n">
        <v>0.761</v>
      </c>
      <c r="L27" s="19" t="n">
        <v>0.759</v>
      </c>
      <c r="M27" s="19" t="n">
        <v>0.765</v>
      </c>
      <c r="N27" s="19" t="n">
        <v>0.758</v>
      </c>
      <c r="O27" s="20">
        <f>IFERROR(AVERAGE(J27:N27),"-")</f>
        <v/>
      </c>
      <c r="P27" s="32">
        <f>IFERROR(O27-I27,"-")</f>
        <v/>
      </c>
    </row>
    <row r="28" ht="15" customHeight="1" s="50">
      <c r="A28" s="9" t="inlineStr">
        <is>
          <t>australian</t>
        </is>
      </c>
      <c r="B28" s="9" t="inlineStr">
        <is>
          <t>asymmetric</t>
        </is>
      </c>
      <c r="C28" s="31" t="n">
        <v>0.3</v>
      </c>
      <c r="D28" s="19" t="n">
        <v>0.752</v>
      </c>
      <c r="E28" s="19" t="n">
        <v>0.757</v>
      </c>
      <c r="F28" s="19" t="n">
        <v>0.741</v>
      </c>
      <c r="G28" s="19" t="n">
        <v>0.712</v>
      </c>
      <c r="H28" s="19" t="n">
        <v>0.725</v>
      </c>
      <c r="I28" s="20">
        <f>IFERROR(AVERAGE(D28:H28),"-")</f>
        <v/>
      </c>
      <c r="J28" s="19" t="n">
        <v>0.733</v>
      </c>
      <c r="K28" s="19" t="n">
        <v>0.733</v>
      </c>
      <c r="L28" s="19" t="n">
        <v>0.6929999999999999</v>
      </c>
      <c r="M28" s="19" t="n">
        <v>0.696</v>
      </c>
      <c r="N28" s="19" t="n">
        <v>0.703</v>
      </c>
      <c r="O28" s="20">
        <f>IFERROR(AVERAGE(J28:N28),"-")</f>
        <v/>
      </c>
      <c r="P28" s="32">
        <f>IFERROR(O28-I28,"-")</f>
        <v/>
      </c>
    </row>
    <row r="29" ht="15" customHeight="1" s="50">
      <c r="A29" s="9" t="inlineStr">
        <is>
          <t>australian</t>
        </is>
      </c>
      <c r="B29" s="9" t="inlineStr">
        <is>
          <t>asymmetric</t>
        </is>
      </c>
      <c r="C29" s="31" t="n">
        <v>0.4</v>
      </c>
      <c r="D29" s="19" t="n">
        <v>0.701</v>
      </c>
      <c r="E29" s="19" t="n">
        <v>0.696</v>
      </c>
      <c r="F29" s="19" t="n">
        <v>0.709</v>
      </c>
      <c r="G29" s="19" t="n">
        <v>0.678</v>
      </c>
      <c r="H29" s="19" t="n">
        <v>0.694</v>
      </c>
      <c r="I29" s="20">
        <f>IFERROR(AVERAGE(D29:H29),"-")</f>
        <v/>
      </c>
      <c r="J29" s="19" t="n">
        <v>0.675</v>
      </c>
      <c r="K29" s="19" t="n">
        <v>0.659</v>
      </c>
      <c r="L29" s="19" t="n">
        <v>0.6929999999999999</v>
      </c>
      <c r="M29" s="19" t="n">
        <v>0.67</v>
      </c>
      <c r="N29" s="19" t="n">
        <v>0.7</v>
      </c>
      <c r="O29" s="20">
        <f>IFERROR(AVERAGE(J29:N29),"-")</f>
        <v/>
      </c>
      <c r="P29" s="32">
        <f>IFERROR(O29-I29,"-")</f>
        <v/>
      </c>
    </row>
    <row r="30" ht="15" customHeight="1" s="50">
      <c r="A30" s="9" t="inlineStr">
        <is>
          <t>australian</t>
        </is>
      </c>
      <c r="B30" s="9" t="inlineStr">
        <is>
          <t>asymmetric</t>
        </is>
      </c>
      <c r="C30" s="31" t="n">
        <v>0.5</v>
      </c>
      <c r="D30" s="19" t="n">
        <v>0.6860000000000001</v>
      </c>
      <c r="E30" s="19" t="n">
        <v>0.652</v>
      </c>
      <c r="F30" s="19" t="n">
        <v>0.667</v>
      </c>
      <c r="G30" s="19" t="n">
        <v>0.661</v>
      </c>
      <c r="H30" s="19" t="n">
        <v>0.639</v>
      </c>
      <c r="I30" s="20">
        <f>IFERROR(AVERAGE(D30:H30),"-")</f>
        <v/>
      </c>
      <c r="J30" s="19" t="n">
        <v>0.636</v>
      </c>
      <c r="K30" s="19" t="n">
        <v>0.619</v>
      </c>
      <c r="L30" s="19" t="n">
        <v>0.645</v>
      </c>
      <c r="M30" s="19" t="n">
        <v>0.619</v>
      </c>
      <c r="N30" s="19" t="n">
        <v>0.626</v>
      </c>
      <c r="O30" s="20">
        <f>IFERROR(AVERAGE(J30:N30),"-")</f>
        <v/>
      </c>
      <c r="P30" s="32">
        <f>IFERROR(O30-I30,"-")</f>
        <v/>
      </c>
    </row>
    <row r="31" ht="15" customHeight="1" s="50">
      <c r="A31" s="9" t="inlineStr">
        <is>
          <t>australian</t>
        </is>
      </c>
      <c r="B31" s="9" t="inlineStr">
        <is>
          <t>boundary</t>
        </is>
      </c>
      <c r="C31" s="31" t="n">
        <v>0.2</v>
      </c>
      <c r="D31" s="19" t="n">
        <v>0.787</v>
      </c>
      <c r="E31" s="19" t="n">
        <v>0.778</v>
      </c>
      <c r="F31" s="19" t="n">
        <v>0.783</v>
      </c>
      <c r="G31" s="19" t="n">
        <v>0.783</v>
      </c>
      <c r="H31" s="19" t="n">
        <v>0.806</v>
      </c>
      <c r="I31" s="20">
        <f>IFERROR(AVERAGE(D31:H31),"-")</f>
        <v/>
      </c>
      <c r="J31" s="19" t="n">
        <v>0.8169999999999999</v>
      </c>
      <c r="K31" s="19" t="n">
        <v>0.799</v>
      </c>
      <c r="L31" s="19" t="n">
        <v>0.82</v>
      </c>
      <c r="M31" s="19" t="n">
        <v>0.799</v>
      </c>
      <c r="N31" s="19" t="n">
        <v>0.8</v>
      </c>
      <c r="O31" s="20">
        <f>IFERROR(AVERAGE(J31:N31),"-")</f>
        <v/>
      </c>
      <c r="P31" s="32">
        <f>IFERROR(O31-I31,"-")</f>
        <v/>
      </c>
    </row>
    <row r="32" ht="15" customHeight="1" s="50">
      <c r="A32" s="9" t="inlineStr">
        <is>
          <t>australian</t>
        </is>
      </c>
      <c r="B32" s="9" t="inlineStr">
        <is>
          <t>boundary</t>
        </is>
      </c>
      <c r="C32" s="31" t="n">
        <v>0.3</v>
      </c>
      <c r="D32" s="19" t="n">
        <v>0.748</v>
      </c>
      <c r="E32" s="19" t="n">
        <v>0.729</v>
      </c>
      <c r="F32" s="19" t="n">
        <v>0.723</v>
      </c>
      <c r="G32" s="19" t="n">
        <v>0.717</v>
      </c>
      <c r="H32" s="19" t="n">
        <v>0.716</v>
      </c>
      <c r="I32" s="20">
        <f>IFERROR(AVERAGE(D32:H32),"-")</f>
        <v/>
      </c>
      <c r="J32" s="19" t="n">
        <v>0.748</v>
      </c>
      <c r="K32" s="19" t="n">
        <v>0.752</v>
      </c>
      <c r="L32" s="19" t="n">
        <v>0.755</v>
      </c>
      <c r="M32" s="19" t="n">
        <v>0.748</v>
      </c>
      <c r="N32" s="19" t="n">
        <v>0.758</v>
      </c>
      <c r="O32" s="20">
        <f>IFERROR(AVERAGE(J32:N32),"-")</f>
        <v/>
      </c>
      <c r="P32" s="32">
        <f>IFERROR(O32-I32,"-")</f>
        <v/>
      </c>
    </row>
    <row r="33" ht="15" customHeight="1" s="50">
      <c r="A33" s="9" t="inlineStr">
        <is>
          <t>australian</t>
        </is>
      </c>
      <c r="B33" s="9" t="inlineStr">
        <is>
          <t>boundary</t>
        </is>
      </c>
      <c r="C33" s="31" t="n">
        <v>0.4</v>
      </c>
      <c r="D33" s="19" t="n">
        <v>0.675</v>
      </c>
      <c r="E33" s="19" t="n">
        <v>0.668</v>
      </c>
      <c r="F33" s="19" t="n">
        <v>0.645</v>
      </c>
      <c r="G33" s="19" t="n">
        <v>0.641</v>
      </c>
      <c r="H33" s="19" t="n">
        <v>0.681</v>
      </c>
      <c r="I33" s="20">
        <f>IFERROR(AVERAGE(D33:H33),"-")</f>
        <v/>
      </c>
      <c r="J33" s="19" t="n">
        <v>0.648</v>
      </c>
      <c r="K33" s="19" t="n">
        <v>0.712</v>
      </c>
      <c r="L33" s="19" t="n">
        <v>0.678</v>
      </c>
      <c r="M33" s="19" t="n">
        <v>0.639</v>
      </c>
      <c r="N33" s="19" t="n">
        <v>0.717</v>
      </c>
      <c r="O33" s="20">
        <f>IFERROR(AVERAGE(J33:N33),"-")</f>
        <v/>
      </c>
      <c r="P33" s="32">
        <f>IFERROR(O33-I33,"-")</f>
        <v/>
      </c>
    </row>
    <row r="34" ht="15" customHeight="1" s="50">
      <c r="A34" s="9" t="inlineStr">
        <is>
          <t>australian</t>
        </is>
      </c>
      <c r="B34" s="9" t="inlineStr">
        <is>
          <t>boundary</t>
        </is>
      </c>
      <c r="C34" s="31" t="n">
        <v>0.5</v>
      </c>
      <c r="D34" s="19" t="n">
        <v>0.497</v>
      </c>
      <c r="E34" s="19" t="n">
        <v>0.509</v>
      </c>
      <c r="F34" s="19" t="n">
        <v>0.548</v>
      </c>
      <c r="G34" s="19" t="n">
        <v>0.507</v>
      </c>
      <c r="H34" s="19" t="n">
        <v>0.494</v>
      </c>
      <c r="I34" s="20">
        <f>IFERROR(AVERAGE(D34:H34),"-")</f>
        <v/>
      </c>
      <c r="J34" s="19" t="n">
        <v>0.471</v>
      </c>
      <c r="K34" s="19" t="n">
        <v>0.504</v>
      </c>
      <c r="L34" s="19" t="n">
        <v>0.481</v>
      </c>
      <c r="M34" s="19" t="n">
        <v>0.462</v>
      </c>
      <c r="N34" s="19" t="n">
        <v>0.525</v>
      </c>
      <c r="O34" s="20">
        <f>IFERROR(AVERAGE(J34:N34),"-")</f>
        <v/>
      </c>
      <c r="P34" s="32">
        <f>IFERROR(O34-I34,"-")</f>
        <v/>
      </c>
    </row>
    <row r="35" ht="15" customHeight="1" s="50">
      <c r="A35" s="9" t="inlineStr">
        <is>
          <t>australian</t>
        </is>
      </c>
      <c r="B35" s="9" t="inlineStr">
        <is>
          <t>far</t>
        </is>
      </c>
      <c r="C35" s="31" t="n">
        <v>0.2</v>
      </c>
      <c r="D35" s="19" t="n">
        <v>0.771</v>
      </c>
      <c r="E35" s="19" t="n">
        <v>0.758</v>
      </c>
      <c r="F35" s="19" t="n">
        <v>0.775</v>
      </c>
      <c r="G35" s="19" t="n">
        <v>0.736</v>
      </c>
      <c r="H35" s="19" t="n">
        <v>0.765</v>
      </c>
      <c r="I35" s="20">
        <f>IFERROR(AVERAGE(D35:H35),"-")</f>
        <v/>
      </c>
      <c r="J35" s="19" t="n">
        <v>0.784</v>
      </c>
      <c r="K35" s="19" t="n">
        <v>0.751</v>
      </c>
      <c r="L35" s="19" t="n">
        <v>0.774</v>
      </c>
      <c r="M35" s="19" t="n">
        <v>0.78</v>
      </c>
      <c r="N35" s="19" t="n">
        <v>0.801</v>
      </c>
      <c r="O35" s="20">
        <f>IFERROR(AVERAGE(J35:N35),"-")</f>
        <v/>
      </c>
      <c r="P35" s="32">
        <f>IFERROR(O35-I35,"-")</f>
        <v/>
      </c>
    </row>
    <row r="36" ht="15" customHeight="1" s="50">
      <c r="A36" s="9" t="inlineStr">
        <is>
          <t>australian</t>
        </is>
      </c>
      <c r="B36" s="9" t="inlineStr">
        <is>
          <t>far</t>
        </is>
      </c>
      <c r="C36" s="31" t="n">
        <v>0.3</v>
      </c>
      <c r="D36" s="19" t="n">
        <v>0.719</v>
      </c>
      <c r="E36" s="19" t="n">
        <v>0.733</v>
      </c>
      <c r="F36" s="19" t="n">
        <v>0.6879999999999999</v>
      </c>
      <c r="G36" s="19" t="n">
        <v>0.6909999999999999</v>
      </c>
      <c r="H36" s="19" t="n">
        <v>0.723</v>
      </c>
      <c r="I36" s="20">
        <f>IFERROR(AVERAGE(D36:H36),"-")</f>
        <v/>
      </c>
      <c r="J36" s="19" t="n">
        <v>0.703</v>
      </c>
      <c r="K36" s="19" t="n">
        <v>0.735</v>
      </c>
      <c r="L36" s="19" t="n">
        <v>0.713</v>
      </c>
      <c r="M36" s="19" t="n">
        <v>0.739</v>
      </c>
      <c r="N36" s="19" t="n">
        <v>0.723</v>
      </c>
      <c r="O36" s="20">
        <f>IFERROR(AVERAGE(J36:N36),"-")</f>
        <v/>
      </c>
      <c r="P36" s="32">
        <f>IFERROR(O36-I36,"-")</f>
        <v/>
      </c>
    </row>
    <row r="37" ht="15" customHeight="1" s="50">
      <c r="A37" s="9" t="inlineStr">
        <is>
          <t>australian</t>
        </is>
      </c>
      <c r="B37" s="9" t="inlineStr">
        <is>
          <t>far</t>
        </is>
      </c>
      <c r="C37" s="31" t="n">
        <v>0.4</v>
      </c>
      <c r="D37" s="19" t="n">
        <v>0.614</v>
      </c>
      <c r="E37" s="19" t="n">
        <v>0.657</v>
      </c>
      <c r="F37" s="19" t="n">
        <v>0.635</v>
      </c>
      <c r="G37" s="19" t="n">
        <v>0.63</v>
      </c>
      <c r="H37" s="19" t="n">
        <v>0.661</v>
      </c>
      <c r="I37" s="20">
        <f>IFERROR(AVERAGE(D37:H37),"-")</f>
        <v/>
      </c>
      <c r="J37" s="19" t="n">
        <v>0.6860000000000001</v>
      </c>
      <c r="K37" s="19" t="n">
        <v>0.63</v>
      </c>
      <c r="L37" s="19" t="n">
        <v>0.665</v>
      </c>
      <c r="M37" s="19" t="n">
        <v>0.658</v>
      </c>
      <c r="N37" s="19" t="n">
        <v>0.675</v>
      </c>
      <c r="O37" s="20">
        <f>IFERROR(AVERAGE(J37:N37),"-")</f>
        <v/>
      </c>
      <c r="P37" s="32">
        <f>IFERROR(O37-I37,"-")</f>
        <v/>
      </c>
    </row>
    <row r="38" ht="15" customHeight="1" s="50">
      <c r="A38" s="9" t="inlineStr">
        <is>
          <t>australian</t>
        </is>
      </c>
      <c r="B38" s="9" t="inlineStr">
        <is>
          <t>far</t>
        </is>
      </c>
      <c r="C38" s="31" t="n">
        <v>0.5</v>
      </c>
      <c r="D38" s="19" t="n">
        <v>0.417</v>
      </c>
      <c r="E38" s="19" t="n">
        <v>0.506</v>
      </c>
      <c r="F38" s="19" t="n">
        <v>0.533</v>
      </c>
      <c r="G38" s="19" t="n">
        <v>0.506</v>
      </c>
      <c r="H38" s="19" t="n">
        <v>0.446</v>
      </c>
      <c r="I38" s="20">
        <f>IFERROR(AVERAGE(D38:H38),"-")</f>
        <v/>
      </c>
      <c r="J38" s="19" t="n">
        <v>0.457</v>
      </c>
      <c r="K38" s="19" t="n">
        <v>0.501</v>
      </c>
      <c r="L38" s="19" t="n">
        <v>0.51</v>
      </c>
      <c r="M38" s="19" t="n">
        <v>0.478</v>
      </c>
      <c r="N38" s="19" t="n">
        <v>0.478</v>
      </c>
      <c r="O38" s="20">
        <f>IFERROR(AVERAGE(J38:N38),"-")</f>
        <v/>
      </c>
      <c r="P38" s="32">
        <f>IFERROR(O38-I38,"-")</f>
        <v/>
      </c>
    </row>
    <row r="39" ht="15" customHeight="1" s="50">
      <c r="A39" s="9" t="inlineStr">
        <is>
          <t>balance_scale</t>
        </is>
      </c>
      <c r="B39" s="9" t="inlineStr">
        <is>
          <t>(clean)</t>
        </is>
      </c>
      <c r="C39" s="31" t="n">
        <v>0</v>
      </c>
      <c r="D39" s="19" t="n">
        <v>0.948</v>
      </c>
      <c r="E39" s="19" t="n">
        <v>0.944</v>
      </c>
      <c r="F39" s="19" t="n">
        <v>0.9389999999999999</v>
      </c>
      <c r="G39" s="19" t="n">
        <v>0.944</v>
      </c>
      <c r="H39" s="19" t="n">
        <v>0.925</v>
      </c>
      <c r="I39" s="20">
        <f>IFERROR(AVERAGE(D39:H39),"-")</f>
        <v/>
      </c>
      <c r="J39" s="19" t="n">
        <v>0.95</v>
      </c>
      <c r="K39" s="19" t="n">
        <v>0.95</v>
      </c>
      <c r="L39" s="19" t="n">
        <v>0.946</v>
      </c>
      <c r="M39" s="19" t="n">
        <v>0.951</v>
      </c>
      <c r="N39" s="19" t="n">
        <v>0.944</v>
      </c>
      <c r="O39" s="20">
        <f>IFERROR(AVERAGE(J39:N39),"-")</f>
        <v/>
      </c>
      <c r="P39" s="32">
        <f>IFERROR(O39-I39,"-")</f>
        <v/>
      </c>
    </row>
    <row r="40" ht="15" customHeight="1" s="50">
      <c r="A40" s="9" t="inlineStr">
        <is>
          <t>balance_scale</t>
        </is>
      </c>
      <c r="B40" s="9" t="inlineStr">
        <is>
          <t>symmetric</t>
        </is>
      </c>
      <c r="C40" s="31" t="n">
        <v>0.2</v>
      </c>
      <c r="D40" s="19" t="n">
        <v>0.9360000000000001</v>
      </c>
      <c r="E40" s="19" t="n">
        <v>0.9320000000000001</v>
      </c>
      <c r="F40" s="19" t="n">
        <v>0.92</v>
      </c>
      <c r="G40" s="19" t="n">
        <v>0.929</v>
      </c>
      <c r="H40" s="19" t="n">
        <v>0.9340000000000001</v>
      </c>
      <c r="I40" s="20">
        <f>IFERROR(AVERAGE(D40:H40),"-")</f>
        <v/>
      </c>
      <c r="J40" s="19" t="n">
        <v>0.9409999999999999</v>
      </c>
      <c r="K40" s="19" t="n">
        <v>0.95</v>
      </c>
      <c r="L40" s="19" t="n">
        <v>0.925</v>
      </c>
      <c r="M40" s="19" t="n">
        <v>0.924</v>
      </c>
      <c r="N40" s="19" t="n">
        <v>0.929</v>
      </c>
      <c r="O40" s="20">
        <f>IFERROR(AVERAGE(J40:N40),"-")</f>
        <v/>
      </c>
      <c r="P40" s="32">
        <f>IFERROR(O40-I40,"-")</f>
        <v/>
      </c>
    </row>
    <row r="41" ht="15" customHeight="1" s="50">
      <c r="A41" s="9" t="inlineStr">
        <is>
          <t>balance_scale</t>
        </is>
      </c>
      <c r="B41" s="9" t="inlineStr">
        <is>
          <t>symmetric</t>
        </is>
      </c>
      <c r="C41" s="31" t="n">
        <v>0.3</v>
      </c>
      <c r="D41" s="19" t="n">
        <v>0.859</v>
      </c>
      <c r="E41" s="19" t="n">
        <v>0.9320000000000001</v>
      </c>
      <c r="F41" s="19" t="n">
        <v>0.868</v>
      </c>
      <c r="G41" s="19" t="n">
        <v>0.92</v>
      </c>
      <c r="H41" s="19" t="n">
        <v>0.906</v>
      </c>
      <c r="I41" s="20">
        <f>IFERROR(AVERAGE(D41:H41),"-")</f>
        <v/>
      </c>
      <c r="J41" s="19" t="n">
        <v>0.88</v>
      </c>
      <c r="K41" s="19" t="n">
        <v>0.925</v>
      </c>
      <c r="L41" s="19" t="n">
        <v>0.911</v>
      </c>
      <c r="M41" s="19" t="n">
        <v>0.91</v>
      </c>
      <c r="N41" s="19" t="n">
        <v>0.91</v>
      </c>
      <c r="O41" s="20">
        <f>IFERROR(AVERAGE(J41:N41),"-")</f>
        <v/>
      </c>
      <c r="P41" s="32">
        <f>IFERROR(O41-I41,"-")</f>
        <v/>
      </c>
    </row>
    <row r="42" ht="15" customHeight="1" s="50">
      <c r="A42" s="9" t="inlineStr">
        <is>
          <t>balance_scale</t>
        </is>
      </c>
      <c r="B42" s="9" t="inlineStr">
        <is>
          <t>symmetric</t>
        </is>
      </c>
      <c r="C42" s="31" t="n">
        <v>0.4</v>
      </c>
      <c r="D42" s="19" t="n">
        <v>0.672</v>
      </c>
      <c r="E42" s="19" t="n">
        <v>0.786</v>
      </c>
      <c r="F42" s="19" t="n">
        <v>0.8179999999999999</v>
      </c>
      <c r="G42" s="19" t="n">
        <v>0.8159999999999999</v>
      </c>
      <c r="H42" s="19" t="n">
        <v>0.828</v>
      </c>
      <c r="I42" s="20">
        <f>IFERROR(AVERAGE(D42:H42),"-")</f>
        <v/>
      </c>
      <c r="J42" s="19" t="n">
        <v>0.698</v>
      </c>
      <c r="K42" s="19" t="n">
        <v>0.832</v>
      </c>
      <c r="L42" s="19" t="n">
        <v>0.8159999999999999</v>
      </c>
      <c r="M42" s="19" t="n">
        <v>0.794</v>
      </c>
      <c r="N42" s="19" t="n">
        <v>0.849</v>
      </c>
      <c r="O42" s="20">
        <f>IFERROR(AVERAGE(J42:N42),"-")</f>
        <v/>
      </c>
      <c r="P42" s="32">
        <f>IFERROR(O42-I42,"-")</f>
        <v/>
      </c>
    </row>
    <row r="43" ht="15" customHeight="1" s="50">
      <c r="A43" s="9" t="inlineStr">
        <is>
          <t>balance_scale</t>
        </is>
      </c>
      <c r="B43" s="9" t="inlineStr">
        <is>
          <t>symmetric</t>
        </is>
      </c>
      <c r="C43" s="31" t="n">
        <v>0.5</v>
      </c>
      <c r="D43" s="19" t="n">
        <v>0.477</v>
      </c>
      <c r="E43" s="19" t="n">
        <v>0.335</v>
      </c>
      <c r="F43" s="19" t="n">
        <v>0.377</v>
      </c>
      <c r="G43" s="19" t="n">
        <v>0.472</v>
      </c>
      <c r="H43" s="19" t="n">
        <v>0.462</v>
      </c>
      <c r="I43" s="20">
        <f>IFERROR(AVERAGE(D43:H43),"-")</f>
        <v/>
      </c>
      <c r="J43" s="19" t="n">
        <v>0.538</v>
      </c>
      <c r="K43" s="19" t="n">
        <v>0.491</v>
      </c>
      <c r="L43" s="19" t="n">
        <v>0.531</v>
      </c>
      <c r="M43" s="19" t="n">
        <v>0.61</v>
      </c>
      <c r="N43" s="19" t="n">
        <v>0.502</v>
      </c>
      <c r="O43" s="20">
        <f>IFERROR(AVERAGE(J43:N43),"-")</f>
        <v/>
      </c>
      <c r="P43" s="32">
        <f>IFERROR(O43-I43,"-")</f>
        <v/>
      </c>
    </row>
    <row r="44" ht="15" customHeight="1" s="50">
      <c r="A44" s="9" t="inlineStr">
        <is>
          <t>balance_scale</t>
        </is>
      </c>
      <c r="B44" s="9" t="inlineStr">
        <is>
          <t>asymmetric</t>
        </is>
      </c>
      <c r="C44" s="31" t="n">
        <v>0.2</v>
      </c>
      <c r="D44" s="19" t="n">
        <v>0.894</v>
      </c>
      <c r="E44" s="19" t="n">
        <v>0.832</v>
      </c>
      <c r="F44" s="19" t="n">
        <v>0.84</v>
      </c>
      <c r="G44" s="19" t="n">
        <v>0.847</v>
      </c>
      <c r="H44" s="19" t="n">
        <v>0.866</v>
      </c>
      <c r="I44" s="20">
        <f>IFERROR(AVERAGE(D44:H44),"-")</f>
        <v/>
      </c>
      <c r="J44" s="19" t="n">
        <v>0.846</v>
      </c>
      <c r="K44" s="19" t="n">
        <v>0.854</v>
      </c>
      <c r="L44" s="19" t="n">
        <v>0.861</v>
      </c>
      <c r="M44" s="19" t="n">
        <v>0.835</v>
      </c>
      <c r="N44" s="19" t="n">
        <v>0.878</v>
      </c>
      <c r="O44" s="20">
        <f>IFERROR(AVERAGE(J44:N44),"-")</f>
        <v/>
      </c>
      <c r="P44" s="32">
        <f>IFERROR(O44-I44,"-")</f>
        <v/>
      </c>
    </row>
    <row r="45" ht="15" customHeight="1" s="50">
      <c r="A45" s="9" t="inlineStr">
        <is>
          <t>balance_scale</t>
        </is>
      </c>
      <c r="B45" s="9" t="inlineStr">
        <is>
          <t>asymmetric</t>
        </is>
      </c>
      <c r="C45" s="31" t="n">
        <v>0.3</v>
      </c>
      <c r="D45" s="19" t="n">
        <v>0.795</v>
      </c>
      <c r="E45" s="19" t="n">
        <v>0.8110000000000001</v>
      </c>
      <c r="F45" s="19" t="n">
        <v>0.772</v>
      </c>
      <c r="G45" s="19" t="n">
        <v>0.804</v>
      </c>
      <c r="H45" s="19" t="n">
        <v>0.799</v>
      </c>
      <c r="I45" s="20">
        <f>IFERROR(AVERAGE(D45:H45),"-")</f>
        <v/>
      </c>
      <c r="J45" s="19" t="n">
        <v>0.771</v>
      </c>
      <c r="K45" s="19" t="n">
        <v>0.797</v>
      </c>
      <c r="L45" s="19" t="n">
        <v>0.786</v>
      </c>
      <c r="M45" s="19" t="n">
        <v>0.781</v>
      </c>
      <c r="N45" s="19" t="n">
        <v>0.804</v>
      </c>
      <c r="O45" s="20">
        <f>IFERROR(AVERAGE(J45:N45),"-")</f>
        <v/>
      </c>
      <c r="P45" s="32">
        <f>IFERROR(O45-I45,"-")</f>
        <v/>
      </c>
    </row>
    <row r="46" ht="15" customHeight="1" s="50">
      <c r="A46" s="9" t="inlineStr">
        <is>
          <t>balance_scale</t>
        </is>
      </c>
      <c r="B46" s="9" t="inlineStr">
        <is>
          <t>asymmetric</t>
        </is>
      </c>
      <c r="C46" s="31" t="n">
        <v>0.4</v>
      </c>
      <c r="D46" s="19" t="n">
        <v>0.74</v>
      </c>
      <c r="E46" s="19" t="n">
        <v>0.733</v>
      </c>
      <c r="F46" s="19" t="n">
        <v>0.726</v>
      </c>
      <c r="G46" s="19" t="n">
        <v>0.734</v>
      </c>
      <c r="H46" s="19" t="n">
        <v>0.748</v>
      </c>
      <c r="I46" s="20">
        <f>IFERROR(AVERAGE(D46:H46),"-")</f>
        <v/>
      </c>
      <c r="J46" s="19" t="n">
        <v>0.712</v>
      </c>
      <c r="K46" s="19" t="n">
        <v>0.705</v>
      </c>
      <c r="L46" s="19" t="n">
        <v>0.734</v>
      </c>
      <c r="M46" s="19" t="n">
        <v>0.72</v>
      </c>
      <c r="N46" s="19" t="n">
        <v>0.736</v>
      </c>
      <c r="O46" s="20">
        <f>IFERROR(AVERAGE(J46:N46),"-")</f>
        <v/>
      </c>
      <c r="P46" s="32">
        <f>IFERROR(O46-I46,"-")</f>
        <v/>
      </c>
    </row>
    <row r="47" ht="15" customHeight="1" s="50">
      <c r="A47" s="9" t="inlineStr">
        <is>
          <t>balance_scale</t>
        </is>
      </c>
      <c r="B47" s="9" t="inlineStr">
        <is>
          <t>asymmetric</t>
        </is>
      </c>
      <c r="C47" s="31" t="n">
        <v>0.5</v>
      </c>
      <c r="D47" s="19" t="n">
        <v>0.6889999999999999</v>
      </c>
      <c r="E47" s="19" t="n">
        <v>0.674</v>
      </c>
      <c r="F47" s="19" t="n">
        <v>0.67</v>
      </c>
      <c r="G47" s="19" t="n">
        <v>0.653</v>
      </c>
      <c r="H47" s="19" t="n">
        <v>0.67</v>
      </c>
      <c r="I47" s="20">
        <f>IFERROR(AVERAGE(D47:H47),"-")</f>
        <v/>
      </c>
      <c r="J47" s="19" t="n">
        <v>0.653</v>
      </c>
      <c r="K47" s="19" t="n">
        <v>0.651</v>
      </c>
      <c r="L47" s="19" t="n">
        <v>0.667</v>
      </c>
      <c r="M47" s="19" t="n">
        <v>0.656</v>
      </c>
      <c r="N47" s="19" t="n">
        <v>0.663</v>
      </c>
      <c r="O47" s="20">
        <f>IFERROR(AVERAGE(J47:N47),"-")</f>
        <v/>
      </c>
      <c r="P47" s="32">
        <f>IFERROR(O47-I47,"-")</f>
        <v/>
      </c>
    </row>
    <row r="48" ht="15" customHeight="1" s="50">
      <c r="A48" s="9" t="inlineStr">
        <is>
          <t>balance_scale</t>
        </is>
      </c>
      <c r="B48" s="9" t="inlineStr">
        <is>
          <t>boundary</t>
        </is>
      </c>
      <c r="C48" s="31" t="n">
        <v>0.2</v>
      </c>
      <c r="D48" s="19" t="n">
        <v>0.9320000000000001</v>
      </c>
      <c r="E48" s="19" t="n">
        <v>0.9340000000000001</v>
      </c>
      <c r="F48" s="19" t="n">
        <v>0.9389999999999999</v>
      </c>
      <c r="G48" s="19" t="n">
        <v>0.9340000000000001</v>
      </c>
      <c r="H48" s="19" t="n">
        <v>0.9360000000000001</v>
      </c>
      <c r="I48" s="20">
        <f>IFERROR(AVERAGE(D48:H48),"-")</f>
        <v/>
      </c>
      <c r="J48" s="19" t="n">
        <v>0.931</v>
      </c>
      <c r="K48" s="19" t="n">
        <v>0.9360000000000001</v>
      </c>
      <c r="L48" s="19" t="n">
        <v>0.9429999999999999</v>
      </c>
      <c r="M48" s="19" t="n">
        <v>0.9409999999999999</v>
      </c>
      <c r="N48" s="19" t="n">
        <v>0.9360000000000001</v>
      </c>
      <c r="O48" s="20">
        <f>IFERROR(AVERAGE(J48:N48),"-")</f>
        <v/>
      </c>
      <c r="P48" s="32">
        <f>IFERROR(O48-I48,"-")</f>
        <v/>
      </c>
    </row>
    <row r="49" ht="15" customHeight="1" s="50">
      <c r="A49" s="9" t="inlineStr">
        <is>
          <t>balance_scale</t>
        </is>
      </c>
      <c r="B49" s="9" t="inlineStr">
        <is>
          <t>boundary</t>
        </is>
      </c>
      <c r="C49" s="31" t="n">
        <v>0.3</v>
      </c>
      <c r="D49" s="19" t="n">
        <v>0.9429999999999999</v>
      </c>
      <c r="E49" s="19" t="n">
        <v>0.929</v>
      </c>
      <c r="F49" s="19" t="n">
        <v>0.927</v>
      </c>
      <c r="G49" s="19" t="n">
        <v>0.9409999999999999</v>
      </c>
      <c r="H49" s="19" t="n">
        <v>0.946</v>
      </c>
      <c r="I49" s="20">
        <f>IFERROR(AVERAGE(D49:H49),"-")</f>
        <v/>
      </c>
      <c r="J49" s="19" t="n">
        <v>0.9409999999999999</v>
      </c>
      <c r="K49" s="19" t="n">
        <v>0.9429999999999999</v>
      </c>
      <c r="L49" s="19" t="n">
        <v>0.9370000000000001</v>
      </c>
      <c r="M49" s="19" t="n">
        <v>0.9379999999999999</v>
      </c>
      <c r="N49" s="19" t="n">
        <v>0.9409999999999999</v>
      </c>
      <c r="O49" s="20">
        <f>IFERROR(AVERAGE(J49:N49),"-")</f>
        <v/>
      </c>
      <c r="P49" s="32">
        <f>IFERROR(O49-I49,"-")</f>
        <v/>
      </c>
    </row>
    <row r="50" ht="15" customHeight="1" s="50">
      <c r="A50" s="9" t="inlineStr">
        <is>
          <t>balance_scale</t>
        </is>
      </c>
      <c r="B50" s="9" t="inlineStr">
        <is>
          <t>boundary</t>
        </is>
      </c>
      <c r="C50" s="31" t="n">
        <v>0.4</v>
      </c>
      <c r="D50" s="19" t="n">
        <v>0.903</v>
      </c>
      <c r="E50" s="19" t="n">
        <v>0.9320000000000001</v>
      </c>
      <c r="F50" s="19" t="n">
        <v>0.906</v>
      </c>
      <c r="G50" s="19" t="n">
        <v>0.847</v>
      </c>
      <c r="H50" s="19" t="n">
        <v>0.925</v>
      </c>
      <c r="I50" s="20">
        <f>IFERROR(AVERAGE(D50:H50),"-")</f>
        <v/>
      </c>
      <c r="J50" s="19" t="n">
        <v>0.9320000000000001</v>
      </c>
      <c r="K50" s="19" t="n">
        <v>0.918</v>
      </c>
      <c r="L50" s="19" t="n">
        <v>0.92</v>
      </c>
      <c r="M50" s="19" t="n">
        <v>0.911</v>
      </c>
      <c r="N50" s="19" t="n">
        <v>0.944</v>
      </c>
      <c r="O50" s="20">
        <f>IFERROR(AVERAGE(J50:N50),"-")</f>
        <v/>
      </c>
      <c r="P50" s="32">
        <f>IFERROR(O50-I50,"-")</f>
        <v/>
      </c>
    </row>
    <row r="51" ht="15" customHeight="1" s="50">
      <c r="A51" s="9" t="inlineStr">
        <is>
          <t>balance_scale</t>
        </is>
      </c>
      <c r="B51" s="9" t="inlineStr">
        <is>
          <t>boundary</t>
        </is>
      </c>
      <c r="C51" s="31" t="n">
        <v>0.5</v>
      </c>
      <c r="D51" s="19" t="n">
        <v>0.411</v>
      </c>
      <c r="E51" s="19" t="n">
        <v>0.444</v>
      </c>
      <c r="F51" s="19" t="n">
        <v>0.533</v>
      </c>
      <c r="G51" s="19" t="n">
        <v>0.524</v>
      </c>
      <c r="H51" s="19" t="n">
        <v>0.634</v>
      </c>
      <c r="I51" s="20">
        <f>IFERROR(AVERAGE(D51:H51),"-")</f>
        <v/>
      </c>
      <c r="J51" s="19" t="n">
        <v>0.399</v>
      </c>
      <c r="K51" s="19" t="n">
        <v>0.465</v>
      </c>
      <c r="L51" s="19" t="n">
        <v>0.613</v>
      </c>
      <c r="M51" s="19" t="n">
        <v>0.509</v>
      </c>
      <c r="N51" s="19" t="n">
        <v>0.6909999999999999</v>
      </c>
      <c r="O51" s="20">
        <f>IFERROR(AVERAGE(J51:N51),"-")</f>
        <v/>
      </c>
      <c r="P51" s="32">
        <f>IFERROR(O51-I51,"-")</f>
        <v/>
      </c>
    </row>
    <row r="52" ht="15" customHeight="1" s="50">
      <c r="A52" s="9" t="inlineStr">
        <is>
          <t>balance_scale</t>
        </is>
      </c>
      <c r="B52" s="9" t="inlineStr">
        <is>
          <t>far</t>
        </is>
      </c>
      <c r="C52" s="31" t="n">
        <v>0.2</v>
      </c>
      <c r="D52" s="19" t="n">
        <v>0.915</v>
      </c>
      <c r="E52" s="19" t="n">
        <v>0.9340000000000001</v>
      </c>
      <c r="F52" s="19" t="n">
        <v>0.9409999999999999</v>
      </c>
      <c r="G52" s="19" t="n">
        <v>0.9360000000000001</v>
      </c>
      <c r="H52" s="19" t="n">
        <v>0.953</v>
      </c>
      <c r="I52" s="20">
        <f>IFERROR(AVERAGE(D52:H52),"-")</f>
        <v/>
      </c>
      <c r="J52" s="19" t="n">
        <v>0.9409999999999999</v>
      </c>
      <c r="K52" s="19" t="n">
        <v>0.9379999999999999</v>
      </c>
      <c r="L52" s="19" t="n">
        <v>0.9340000000000001</v>
      </c>
      <c r="M52" s="19" t="n">
        <v>0.944</v>
      </c>
      <c r="N52" s="19" t="n">
        <v>0.944</v>
      </c>
      <c r="O52" s="20">
        <f>IFERROR(AVERAGE(J52:N52),"-")</f>
        <v/>
      </c>
      <c r="P52" s="32">
        <f>IFERROR(O52-I52,"-")</f>
        <v/>
      </c>
    </row>
    <row r="53" ht="15" customHeight="1" s="50">
      <c r="A53" s="9" t="inlineStr">
        <is>
          <t>balance_scale</t>
        </is>
      </c>
      <c r="B53" s="9" t="inlineStr">
        <is>
          <t>far</t>
        </is>
      </c>
      <c r="C53" s="31" t="n">
        <v>0.3</v>
      </c>
      <c r="D53" s="19" t="n">
        <v>0.898</v>
      </c>
      <c r="E53" s="19" t="n">
        <v>0.899</v>
      </c>
      <c r="F53" s="19" t="n">
        <v>0.929</v>
      </c>
      <c r="G53" s="19" t="n">
        <v>0.88</v>
      </c>
      <c r="H53" s="19" t="n">
        <v>0.905</v>
      </c>
      <c r="I53" s="20">
        <f>IFERROR(AVERAGE(D53:H53),"-")</f>
        <v/>
      </c>
      <c r="J53" s="19" t="n">
        <v>0.899</v>
      </c>
      <c r="K53" s="19" t="n">
        <v>0.891</v>
      </c>
      <c r="L53" s="19" t="n">
        <v>0.915</v>
      </c>
      <c r="M53" s="19" t="n">
        <v>0.9429999999999999</v>
      </c>
      <c r="N53" s="19" t="n">
        <v>0.927</v>
      </c>
      <c r="O53" s="20">
        <f>IFERROR(AVERAGE(J53:N53),"-")</f>
        <v/>
      </c>
      <c r="P53" s="32">
        <f>IFERROR(O53-I53,"-")</f>
        <v/>
      </c>
    </row>
    <row r="54" ht="15" customHeight="1" s="50">
      <c r="A54" s="9" t="inlineStr">
        <is>
          <t>balance_scale</t>
        </is>
      </c>
      <c r="B54" s="9" t="inlineStr">
        <is>
          <t>far</t>
        </is>
      </c>
      <c r="C54" s="31" t="n">
        <v>0.4</v>
      </c>
      <c r="D54" s="19" t="n">
        <v>0.795</v>
      </c>
      <c r="E54" s="19" t="n">
        <v>0.771</v>
      </c>
      <c r="F54" s="19" t="n">
        <v>0.778</v>
      </c>
      <c r="G54" s="19" t="n">
        <v>0.771</v>
      </c>
      <c r="H54" s="19" t="n">
        <v>0.79</v>
      </c>
      <c r="I54" s="20">
        <f>IFERROR(AVERAGE(D54:H54),"-")</f>
        <v/>
      </c>
      <c r="J54" s="19" t="n">
        <v>0.847</v>
      </c>
      <c r="K54" s="19" t="n">
        <v>0.885</v>
      </c>
      <c r="L54" s="19" t="n">
        <v>0.847</v>
      </c>
      <c r="M54" s="19" t="n">
        <v>0.885</v>
      </c>
      <c r="N54" s="19" t="n">
        <v>0.8159999999999999</v>
      </c>
      <c r="O54" s="20">
        <f>IFERROR(AVERAGE(J54:N54),"-")</f>
        <v/>
      </c>
      <c r="P54" s="32">
        <f>IFERROR(O54-I54,"-")</f>
        <v/>
      </c>
    </row>
    <row r="55" ht="15" customHeight="1" s="50">
      <c r="A55" s="9" t="inlineStr">
        <is>
          <t>balance_scale</t>
        </is>
      </c>
      <c r="B55" s="9" t="inlineStr">
        <is>
          <t>far</t>
        </is>
      </c>
      <c r="C55" s="31" t="n">
        <v>0.5</v>
      </c>
      <c r="D55" s="19" t="n">
        <v>0.389</v>
      </c>
      <c r="E55" s="19" t="n">
        <v>0.505</v>
      </c>
      <c r="F55" s="19" t="n">
        <v>0.415</v>
      </c>
      <c r="G55" s="19" t="n">
        <v>0.575</v>
      </c>
      <c r="H55" s="19" t="n">
        <v>0.542</v>
      </c>
      <c r="I55" s="20">
        <f>IFERROR(AVERAGE(D55:H55),"-")</f>
        <v/>
      </c>
      <c r="J55" s="19" t="n">
        <v>0.507</v>
      </c>
      <c r="K55" s="19" t="n">
        <v>0.58</v>
      </c>
      <c r="L55" s="19" t="n">
        <v>0.445</v>
      </c>
      <c r="M55" s="19" t="n">
        <v>0.521</v>
      </c>
      <c r="N55" s="19" t="n">
        <v>0.502</v>
      </c>
      <c r="O55" s="20">
        <f>IFERROR(AVERAGE(J55:N55),"-")</f>
        <v/>
      </c>
      <c r="P55" s="32">
        <f>IFERROR(O55-I55,"-")</f>
        <v/>
      </c>
    </row>
    <row r="56" ht="15" customHeight="1" s="50">
      <c r="A56" s="9" t="inlineStr">
        <is>
          <t>banknote</t>
        </is>
      </c>
      <c r="B56" s="9" t="inlineStr">
        <is>
          <t>(clean)</t>
        </is>
      </c>
      <c r="C56" s="31" t="n">
        <v>0</v>
      </c>
      <c r="D56" s="19" t="n">
        <v>0.976</v>
      </c>
      <c r="E56" s="19" t="n">
        <v>0.978</v>
      </c>
      <c r="F56" s="19" t="n">
        <v>0.973</v>
      </c>
      <c r="G56" s="19" t="n">
        <v>0.977</v>
      </c>
      <c r="H56" s="19" t="n">
        <v>0.975</v>
      </c>
      <c r="I56" s="20">
        <f>IFERROR(AVERAGE(D56:H56),"-")</f>
        <v/>
      </c>
      <c r="J56" s="19" t="n">
        <v>0.983</v>
      </c>
      <c r="K56" s="19" t="n">
        <v>0.984</v>
      </c>
      <c r="L56" s="19" t="n">
        <v>0.979</v>
      </c>
      <c r="M56" s="19" t="n">
        <v>0.987</v>
      </c>
      <c r="N56" s="19" t="n">
        <v>0.985</v>
      </c>
      <c r="O56" s="20">
        <f>IFERROR(AVERAGE(J56:N56),"-")</f>
        <v/>
      </c>
      <c r="P56" s="32">
        <f>IFERROR(O56-I56,"-")</f>
        <v/>
      </c>
    </row>
    <row r="57" ht="15" customHeight="1" s="50">
      <c r="A57" s="9" t="inlineStr">
        <is>
          <t>banknote</t>
        </is>
      </c>
      <c r="B57" s="9" t="inlineStr">
        <is>
          <t>symmetric</t>
        </is>
      </c>
      <c r="C57" s="31" t="n">
        <v>0.2</v>
      </c>
      <c r="D57" s="19" t="n">
        <v>0.961</v>
      </c>
      <c r="E57" s="19" t="n">
        <v>0.98</v>
      </c>
      <c r="F57" s="19" t="n">
        <v>0.977</v>
      </c>
      <c r="G57" s="19" t="n">
        <v>0.975</v>
      </c>
      <c r="H57" s="19" t="n">
        <v>0.973</v>
      </c>
      <c r="I57" s="20">
        <f>IFERROR(AVERAGE(D57:H57),"-")</f>
        <v/>
      </c>
      <c r="J57" s="19" t="n">
        <v>0.964</v>
      </c>
      <c r="K57" s="19" t="n">
        <v>0.98</v>
      </c>
      <c r="L57" s="19" t="n">
        <v>0.978</v>
      </c>
      <c r="M57" s="19" t="n">
        <v>0.974</v>
      </c>
      <c r="N57" s="19" t="n">
        <v>0.975</v>
      </c>
      <c r="O57" s="20">
        <f>IFERROR(AVERAGE(J57:N57),"-")</f>
        <v/>
      </c>
      <c r="P57" s="32">
        <f>IFERROR(O57-I57,"-")</f>
        <v/>
      </c>
    </row>
    <row r="58" ht="15" customHeight="1" s="50">
      <c r="A58" s="9" t="inlineStr">
        <is>
          <t>banknote</t>
        </is>
      </c>
      <c r="B58" s="9" t="inlineStr">
        <is>
          <t>symmetric</t>
        </is>
      </c>
      <c r="C58" s="31" t="n">
        <v>0.3</v>
      </c>
      <c r="D58" s="19" t="n">
        <v>0.969</v>
      </c>
      <c r="E58" s="19" t="n">
        <v>0.97</v>
      </c>
      <c r="F58" s="19" t="n">
        <v>0.971</v>
      </c>
      <c r="G58" s="19" t="n">
        <v>0.969</v>
      </c>
      <c r="H58" s="19" t="n">
        <v>0.956</v>
      </c>
      <c r="I58" s="20">
        <f>IFERROR(AVERAGE(D58:H58),"-")</f>
        <v/>
      </c>
      <c r="J58" s="19" t="n">
        <v>0.972</v>
      </c>
      <c r="K58" s="19" t="n">
        <v>0.974</v>
      </c>
      <c r="L58" s="19" t="n">
        <v>0.975</v>
      </c>
      <c r="M58" s="19" t="n">
        <v>0.969</v>
      </c>
      <c r="N58" s="19" t="n">
        <v>0.967</v>
      </c>
      <c r="O58" s="20">
        <f>IFERROR(AVERAGE(J58:N58),"-")</f>
        <v/>
      </c>
      <c r="P58" s="32">
        <f>IFERROR(O58-I58,"-")</f>
        <v/>
      </c>
    </row>
    <row r="59" ht="15" customHeight="1" s="50">
      <c r="A59" s="9" t="inlineStr">
        <is>
          <t>banknote</t>
        </is>
      </c>
      <c r="B59" s="9" t="inlineStr">
        <is>
          <t>symmetric</t>
        </is>
      </c>
      <c r="C59" s="31" t="n">
        <v>0.4</v>
      </c>
      <c r="D59" s="19" t="n">
        <v>0.9399999999999999</v>
      </c>
      <c r="E59" s="19" t="n">
        <v>0.891</v>
      </c>
      <c r="F59" s="19" t="n">
        <v>0.9429999999999999</v>
      </c>
      <c r="G59" s="19" t="n">
        <v>0.945</v>
      </c>
      <c r="H59" s="19" t="n">
        <v>0.949</v>
      </c>
      <c r="I59" s="20">
        <f>IFERROR(AVERAGE(D59:H59),"-")</f>
        <v/>
      </c>
      <c r="J59" s="19" t="n">
        <v>0.95</v>
      </c>
      <c r="K59" s="19" t="n">
        <v>0.926</v>
      </c>
      <c r="L59" s="19" t="n">
        <v>0.956</v>
      </c>
      <c r="M59" s="19" t="n">
        <v>0.952</v>
      </c>
      <c r="N59" s="19" t="n">
        <v>0.969</v>
      </c>
      <c r="O59" s="20">
        <f>IFERROR(AVERAGE(J59:N59),"-")</f>
        <v/>
      </c>
      <c r="P59" s="32">
        <f>IFERROR(O59-I59,"-")</f>
        <v/>
      </c>
    </row>
    <row r="60" ht="15" customHeight="1" s="50">
      <c r="A60" s="9" t="inlineStr">
        <is>
          <t>banknote</t>
        </is>
      </c>
      <c r="B60" s="9" t="inlineStr">
        <is>
          <t>symmetric</t>
        </is>
      </c>
      <c r="C60" s="31" t="n">
        <v>0.5</v>
      </c>
      <c r="D60" s="19" t="n">
        <v>0.423</v>
      </c>
      <c r="E60" s="19" t="n">
        <v>0.474</v>
      </c>
      <c r="F60" s="19" t="n">
        <v>0.42</v>
      </c>
      <c r="G60" s="19" t="n">
        <v>0.5</v>
      </c>
      <c r="H60" s="19" t="n">
        <v>0.387</v>
      </c>
      <c r="I60" s="20">
        <f>IFERROR(AVERAGE(D60:H60),"-")</f>
        <v/>
      </c>
      <c r="J60" s="19" t="n">
        <v>0.428</v>
      </c>
      <c r="K60" s="19" t="n">
        <v>0.445</v>
      </c>
      <c r="L60" s="19" t="n">
        <v>0.46</v>
      </c>
      <c r="M60" s="19" t="n">
        <v>0.498</v>
      </c>
      <c r="N60" s="19" t="n">
        <v>0.383</v>
      </c>
      <c r="O60" s="20">
        <f>IFERROR(AVERAGE(J60:N60),"-")</f>
        <v/>
      </c>
      <c r="P60" s="32">
        <f>IFERROR(O60-I60,"-")</f>
        <v/>
      </c>
    </row>
    <row r="61" ht="15" customHeight="1" s="50">
      <c r="A61" s="9" t="inlineStr">
        <is>
          <t>banknote</t>
        </is>
      </c>
      <c r="B61" s="9" t="inlineStr">
        <is>
          <t>asymmetric</t>
        </is>
      </c>
      <c r="C61" s="31" t="n">
        <v>0.2</v>
      </c>
      <c r="D61" s="19" t="n">
        <v>0.945</v>
      </c>
      <c r="E61" s="19" t="n">
        <v>0.948</v>
      </c>
      <c r="F61" s="19" t="n">
        <v>0.918</v>
      </c>
      <c r="G61" s="19" t="n">
        <v>0.9419999999999999</v>
      </c>
      <c r="H61" s="19" t="n">
        <v>0.953</v>
      </c>
      <c r="I61" s="20">
        <f>IFERROR(AVERAGE(D61:H61),"-")</f>
        <v/>
      </c>
      <c r="J61" s="19" t="n">
        <v>0.9409999999999999</v>
      </c>
      <c r="K61" s="19" t="n">
        <v>0.945</v>
      </c>
      <c r="L61" s="19" t="n">
        <v>0.948</v>
      </c>
      <c r="M61" s="19" t="n">
        <v>0.9419999999999999</v>
      </c>
      <c r="N61" s="19" t="n">
        <v>0.945</v>
      </c>
      <c r="O61" s="20">
        <f>IFERROR(AVERAGE(J61:N61),"-")</f>
        <v/>
      </c>
      <c r="P61" s="32">
        <f>IFERROR(O61-I61,"-")</f>
        <v/>
      </c>
    </row>
    <row r="62" ht="15" customHeight="1" s="50">
      <c r="A62" s="9" t="inlineStr">
        <is>
          <t>banknote</t>
        </is>
      </c>
      <c r="B62" s="9" t="inlineStr">
        <is>
          <t>asymmetric</t>
        </is>
      </c>
      <c r="C62" s="31" t="n">
        <v>0.3</v>
      </c>
      <c r="D62" s="19" t="n">
        <v>0.9409999999999999</v>
      </c>
      <c r="E62" s="19" t="n">
        <v>0.9399999999999999</v>
      </c>
      <c r="F62" s="19" t="n">
        <v>0.9429999999999999</v>
      </c>
      <c r="G62" s="19" t="n">
        <v>0.945</v>
      </c>
      <c r="H62" s="19" t="n">
        <v>0.929</v>
      </c>
      <c r="I62" s="20">
        <f>IFERROR(AVERAGE(D62:H62),"-")</f>
        <v/>
      </c>
      <c r="J62" s="19" t="n">
        <v>0.923</v>
      </c>
      <c r="K62" s="19" t="n">
        <v>0.9320000000000001</v>
      </c>
      <c r="L62" s="19" t="n">
        <v>0.924</v>
      </c>
      <c r="M62" s="19" t="n">
        <v>0.913</v>
      </c>
      <c r="N62" s="19" t="n">
        <v>0.917</v>
      </c>
      <c r="O62" s="20">
        <f>IFERROR(AVERAGE(J62:N62),"-")</f>
        <v/>
      </c>
      <c r="P62" s="32">
        <f>IFERROR(O62-I62,"-")</f>
        <v/>
      </c>
    </row>
    <row r="63" ht="15" customHeight="1" s="50">
      <c r="A63" s="9" t="inlineStr">
        <is>
          <t>banknote</t>
        </is>
      </c>
      <c r="B63" s="9" t="inlineStr">
        <is>
          <t>asymmetric</t>
        </is>
      </c>
      <c r="C63" s="31" t="n">
        <v>0.4</v>
      </c>
      <c r="D63" s="19" t="n">
        <v>0.896</v>
      </c>
      <c r="E63" s="19" t="n">
        <v>0.908</v>
      </c>
      <c r="F63" s="19" t="n">
        <v>0.894</v>
      </c>
      <c r="G63" s="19" t="n">
        <v>0.911</v>
      </c>
      <c r="H63" s="19" t="n">
        <v>0.881</v>
      </c>
      <c r="I63" s="20">
        <f>IFERROR(AVERAGE(D63:H63),"-")</f>
        <v/>
      </c>
      <c r="J63" s="19" t="n">
        <v>0.855</v>
      </c>
      <c r="K63" s="19" t="n">
        <v>0.858</v>
      </c>
      <c r="L63" s="19" t="n">
        <v>0.848</v>
      </c>
      <c r="M63" s="19" t="n">
        <v>0.851</v>
      </c>
      <c r="N63" s="19" t="n">
        <v>0.841</v>
      </c>
      <c r="O63" s="20">
        <f>IFERROR(AVERAGE(J63:N63),"-")</f>
        <v/>
      </c>
      <c r="P63" s="32">
        <f>IFERROR(O63-I63,"-")</f>
        <v/>
      </c>
    </row>
    <row r="64" ht="15" customHeight="1" s="50">
      <c r="A64" s="9" t="inlineStr">
        <is>
          <t>banknote</t>
        </is>
      </c>
      <c r="B64" s="9" t="inlineStr">
        <is>
          <t>asymmetric</t>
        </is>
      </c>
      <c r="C64" s="31" t="n">
        <v>0.5</v>
      </c>
      <c r="D64" s="19" t="n">
        <v>0.714</v>
      </c>
      <c r="E64" s="19" t="n">
        <v>0.6889999999999999</v>
      </c>
      <c r="F64" s="19" t="n">
        <v>0.727</v>
      </c>
      <c r="G64" s="19" t="n">
        <v>0.6840000000000001</v>
      </c>
      <c r="H64" s="19" t="n">
        <v>0.724</v>
      </c>
      <c r="I64" s="20">
        <f>IFERROR(AVERAGE(D64:H64),"-")</f>
        <v/>
      </c>
      <c r="J64" s="19" t="n">
        <v>0.694</v>
      </c>
      <c r="K64" s="19" t="n">
        <v>0.671</v>
      </c>
      <c r="L64" s="19" t="n">
        <v>0.716</v>
      </c>
      <c r="M64" s="19" t="n">
        <v>0.6870000000000001</v>
      </c>
      <c r="N64" s="19" t="n">
        <v>0.701</v>
      </c>
      <c r="O64" s="20">
        <f>IFERROR(AVERAGE(J64:N64),"-")</f>
        <v/>
      </c>
      <c r="P64" s="32">
        <f>IFERROR(O64-I64,"-")</f>
        <v/>
      </c>
    </row>
    <row r="65" ht="15" customHeight="1" s="50">
      <c r="A65" s="9" t="inlineStr">
        <is>
          <t>banknote</t>
        </is>
      </c>
      <c r="B65" s="9" t="inlineStr">
        <is>
          <t>boundary</t>
        </is>
      </c>
      <c r="C65" s="31" t="n">
        <v>0.2</v>
      </c>
      <c r="D65" s="19" t="n">
        <v>0.924</v>
      </c>
      <c r="E65" s="19" t="n">
        <v>0.953</v>
      </c>
      <c r="F65" s="19" t="n">
        <v>0.9429999999999999</v>
      </c>
      <c r="G65" s="19" t="n">
        <v>0.9320000000000001</v>
      </c>
      <c r="H65" s="19" t="n">
        <v>0.9389999999999999</v>
      </c>
      <c r="I65" s="20">
        <f>IFERROR(AVERAGE(D65:H65),"-")</f>
        <v/>
      </c>
      <c r="J65" s="19" t="n">
        <v>0.9399999999999999</v>
      </c>
      <c r="K65" s="19" t="n">
        <v>0.957</v>
      </c>
      <c r="L65" s="19" t="n">
        <v>0.945</v>
      </c>
      <c r="M65" s="19" t="n">
        <v>0.9340000000000001</v>
      </c>
      <c r="N65" s="19" t="n">
        <v>0.931</v>
      </c>
      <c r="O65" s="20">
        <f>IFERROR(AVERAGE(J65:N65),"-")</f>
        <v/>
      </c>
      <c r="P65" s="32">
        <f>IFERROR(O65-I65,"-")</f>
        <v/>
      </c>
    </row>
    <row r="66" ht="15" customHeight="1" s="50">
      <c r="A66" s="9" t="inlineStr">
        <is>
          <t>banknote</t>
        </is>
      </c>
      <c r="B66" s="9" t="inlineStr">
        <is>
          <t>boundary</t>
        </is>
      </c>
      <c r="C66" s="31" t="n">
        <v>0.3</v>
      </c>
      <c r="D66" s="19" t="n">
        <v>0.882</v>
      </c>
      <c r="E66" s="19" t="n">
        <v>0.875</v>
      </c>
      <c r="F66" s="19" t="n">
        <v>0.847</v>
      </c>
      <c r="G66" s="19" t="n">
        <v>0.864</v>
      </c>
      <c r="H66" s="19" t="n">
        <v>0.861</v>
      </c>
      <c r="I66" s="20">
        <f>IFERROR(AVERAGE(D66:H66),"-")</f>
        <v/>
      </c>
      <c r="J66" s="19" t="n">
        <v>0.884</v>
      </c>
      <c r="K66" s="19" t="n">
        <v>0.872</v>
      </c>
      <c r="L66" s="19" t="n">
        <v>0.851</v>
      </c>
      <c r="M66" s="19" t="n">
        <v>0.869</v>
      </c>
      <c r="N66" s="19" t="n">
        <v>0.866</v>
      </c>
      <c r="O66" s="20">
        <f>IFERROR(AVERAGE(J66:N66),"-")</f>
        <v/>
      </c>
      <c r="P66" s="32">
        <f>IFERROR(O66-I66,"-")</f>
        <v/>
      </c>
    </row>
    <row r="67" ht="15" customHeight="1" s="50">
      <c r="A67" s="9" t="inlineStr">
        <is>
          <t>banknote</t>
        </is>
      </c>
      <c r="B67" s="9" t="inlineStr">
        <is>
          <t>boundary</t>
        </is>
      </c>
      <c r="C67" s="31" t="n">
        <v>0.4</v>
      </c>
      <c r="D67" s="19" t="n">
        <v>0.888</v>
      </c>
      <c r="E67" s="19" t="n">
        <v>0.871</v>
      </c>
      <c r="F67" s="19" t="n">
        <v>0.838</v>
      </c>
      <c r="G67" s="19" t="n">
        <v>0.851</v>
      </c>
      <c r="H67" s="19" t="n">
        <v>0.835</v>
      </c>
      <c r="I67" s="20">
        <f>IFERROR(AVERAGE(D67:H67),"-")</f>
        <v/>
      </c>
      <c r="J67" s="19" t="n">
        <v>0.883</v>
      </c>
      <c r="K67" s="19" t="n">
        <v>0.875</v>
      </c>
      <c r="L67" s="19" t="n">
        <v>0.865</v>
      </c>
      <c r="M67" s="19" t="n">
        <v>0.873</v>
      </c>
      <c r="N67" s="19" t="n">
        <v>0.855</v>
      </c>
      <c r="O67" s="20">
        <f>IFERROR(AVERAGE(J67:N67),"-")</f>
        <v/>
      </c>
      <c r="P67" s="32">
        <f>IFERROR(O67-I67,"-")</f>
        <v/>
      </c>
    </row>
    <row r="68" ht="15" customHeight="1" s="50">
      <c r="A68" s="9" t="inlineStr">
        <is>
          <t>banknote</t>
        </is>
      </c>
      <c r="B68" s="9" t="inlineStr">
        <is>
          <t>boundary</t>
        </is>
      </c>
      <c r="C68" s="31" t="n">
        <v>0.5</v>
      </c>
      <c r="D68" s="19" t="n">
        <v>0.582</v>
      </c>
      <c r="E68" s="19" t="n">
        <v>0.41</v>
      </c>
      <c r="F68" s="19" t="n">
        <v>0.466</v>
      </c>
      <c r="G68" s="19" t="n">
        <v>0.416</v>
      </c>
      <c r="H68" s="19" t="n">
        <v>0.597</v>
      </c>
      <c r="I68" s="20">
        <f>IFERROR(AVERAGE(D68:H68),"-")</f>
        <v/>
      </c>
      <c r="J68" s="19" t="n">
        <v>0.593</v>
      </c>
      <c r="K68" s="19" t="n">
        <v>0.445</v>
      </c>
      <c r="L68" s="19" t="n">
        <v>0.435</v>
      </c>
      <c r="M68" s="19" t="n">
        <v>0.366</v>
      </c>
      <c r="N68" s="19" t="n">
        <v>0.574</v>
      </c>
      <c r="O68" s="20">
        <f>IFERROR(AVERAGE(J68:N68),"-")</f>
        <v/>
      </c>
      <c r="P68" s="32">
        <f>IFERROR(O68-I68,"-")</f>
        <v/>
      </c>
    </row>
    <row r="69" ht="15" customHeight="1" s="50">
      <c r="A69" s="9" t="inlineStr">
        <is>
          <t>banknote</t>
        </is>
      </c>
      <c r="B69" s="9" t="inlineStr">
        <is>
          <t>far</t>
        </is>
      </c>
      <c r="C69" s="31" t="n">
        <v>0.2</v>
      </c>
      <c r="D69" s="19" t="n">
        <v>0.859</v>
      </c>
      <c r="E69" s="19" t="n">
        <v>0.902</v>
      </c>
      <c r="F69" s="19" t="n">
        <v>0.928</v>
      </c>
      <c r="G69" s="19" t="n">
        <v>0.845</v>
      </c>
      <c r="H69" s="19" t="n">
        <v>0.888</v>
      </c>
      <c r="I69" s="20">
        <f>IFERROR(AVERAGE(D69:H69),"-")</f>
        <v/>
      </c>
      <c r="J69" s="19" t="n">
        <v>0.917</v>
      </c>
      <c r="K69" s="19" t="n">
        <v>0.9419999999999999</v>
      </c>
      <c r="L69" s="19" t="n">
        <v>0.953</v>
      </c>
      <c r="M69" s="19" t="n">
        <v>0.929</v>
      </c>
      <c r="N69" s="19" t="n">
        <v>0.961</v>
      </c>
      <c r="O69" s="20">
        <f>IFERROR(AVERAGE(J69:N69),"-")</f>
        <v/>
      </c>
      <c r="P69" s="32">
        <f>IFERROR(O69-I69,"-")</f>
        <v/>
      </c>
    </row>
    <row r="70" ht="15" customHeight="1" s="50">
      <c r="A70" s="9" t="inlineStr">
        <is>
          <t>banknote</t>
        </is>
      </c>
      <c r="B70" s="9" t="inlineStr">
        <is>
          <t>far</t>
        </is>
      </c>
      <c r="C70" s="31" t="n">
        <v>0.3</v>
      </c>
      <c r="D70" s="19" t="n">
        <v>0.903</v>
      </c>
      <c r="E70" s="19" t="n">
        <v>0.856</v>
      </c>
      <c r="F70" s="19" t="n">
        <v>0.857</v>
      </c>
      <c r="G70" s="19" t="n">
        <v>0.925</v>
      </c>
      <c r="H70" s="19" t="n">
        <v>0.954</v>
      </c>
      <c r="I70" s="20">
        <f>IFERROR(AVERAGE(D70:H70),"-")</f>
        <v/>
      </c>
      <c r="J70" s="19" t="n">
        <v>0.9350000000000001</v>
      </c>
      <c r="K70" s="19" t="n">
        <v>0.924</v>
      </c>
      <c r="L70" s="19" t="n">
        <v>0.9350000000000001</v>
      </c>
      <c r="M70" s="19" t="n">
        <v>0.968</v>
      </c>
      <c r="N70" s="19" t="n">
        <v>0.969</v>
      </c>
      <c r="O70" s="20">
        <f>IFERROR(AVERAGE(J70:N70),"-")</f>
        <v/>
      </c>
      <c r="P70" s="32">
        <f>IFERROR(O70-I70,"-")</f>
        <v/>
      </c>
    </row>
    <row r="71" ht="15" customHeight="1" s="50">
      <c r="A71" s="9" t="inlineStr">
        <is>
          <t>banknote</t>
        </is>
      </c>
      <c r="B71" s="9" t="inlineStr">
        <is>
          <t>far</t>
        </is>
      </c>
      <c r="C71" s="31" t="n">
        <v>0.4</v>
      </c>
      <c r="D71" s="19" t="n">
        <v>0.792</v>
      </c>
      <c r="E71" s="19" t="n">
        <v>0.736</v>
      </c>
      <c r="F71" s="19" t="n">
        <v>0.82</v>
      </c>
      <c r="G71" s="19" t="n">
        <v>0.887</v>
      </c>
      <c r="H71" s="19" t="n">
        <v>0.829</v>
      </c>
      <c r="I71" s="20">
        <f>IFERROR(AVERAGE(D71:H71),"-")</f>
        <v/>
      </c>
      <c r="J71" s="19" t="n">
        <v>0.873</v>
      </c>
      <c r="K71" s="19" t="n">
        <v>0.8179999999999999</v>
      </c>
      <c r="L71" s="19" t="n">
        <v>0.859</v>
      </c>
      <c r="M71" s="19" t="n">
        <v>0.947</v>
      </c>
      <c r="N71" s="19" t="n">
        <v>0.911</v>
      </c>
      <c r="O71" s="20">
        <f>IFERROR(AVERAGE(J71:N71),"-")</f>
        <v/>
      </c>
      <c r="P71" s="32">
        <f>IFERROR(O71-I71,"-")</f>
        <v/>
      </c>
    </row>
    <row r="72" ht="15" customHeight="1" s="50">
      <c r="A72" s="9" t="inlineStr">
        <is>
          <t>banknote</t>
        </is>
      </c>
      <c r="B72" s="9" t="inlineStr">
        <is>
          <t>far</t>
        </is>
      </c>
      <c r="C72" s="31" t="n">
        <v>0.5</v>
      </c>
      <c r="D72" s="19" t="n">
        <v>0.434</v>
      </c>
      <c r="E72" s="19" t="n">
        <v>0.423</v>
      </c>
      <c r="F72" s="19" t="n">
        <v>0.525</v>
      </c>
      <c r="G72" s="19" t="n">
        <v>0.522</v>
      </c>
      <c r="H72" s="19" t="n">
        <v>0.413</v>
      </c>
      <c r="I72" s="20">
        <f>IFERROR(AVERAGE(D72:H72),"-")</f>
        <v/>
      </c>
      <c r="J72" s="19" t="n">
        <v>0.449</v>
      </c>
      <c r="K72" s="19" t="n">
        <v>0.445</v>
      </c>
      <c r="L72" s="19" t="n">
        <v>0.5</v>
      </c>
      <c r="M72" s="19" t="n">
        <v>0.535</v>
      </c>
      <c r="N72" s="19" t="n">
        <v>0.424</v>
      </c>
      <c r="O72" s="20">
        <f>IFERROR(AVERAGE(J72:N72),"-")</f>
        <v/>
      </c>
      <c r="P72" s="32">
        <f>IFERROR(O72-I72,"-")</f>
        <v/>
      </c>
    </row>
    <row r="73" ht="15" customHeight="1" s="50">
      <c r="A73" s="9" t="inlineStr">
        <is>
          <t>breast_cancer</t>
        </is>
      </c>
      <c r="B73" s="9" t="inlineStr">
        <is>
          <t>(clean)</t>
        </is>
      </c>
      <c r="C73" s="31" t="n">
        <v>0</v>
      </c>
      <c r="D73" s="19" t="n">
        <v>0.951</v>
      </c>
      <c r="E73" s="19" t="n">
        <v>0.953</v>
      </c>
      <c r="F73" s="19" t="n">
        <v>0.9370000000000001</v>
      </c>
      <c r="G73" s="19" t="n">
        <v>0.949</v>
      </c>
      <c r="H73" s="19" t="n">
        <v>0.958</v>
      </c>
      <c r="I73" s="20">
        <f>IFERROR(AVERAGE(D73:H73),"-")</f>
        <v/>
      </c>
      <c r="J73" s="19" t="n">
        <v>0.956</v>
      </c>
      <c r="K73" s="19" t="n">
        <v>0.961</v>
      </c>
      <c r="L73" s="19" t="n">
        <v>0.956</v>
      </c>
      <c r="M73" s="19" t="n">
        <v>0.953</v>
      </c>
      <c r="N73" s="19" t="n">
        <v>0.958</v>
      </c>
      <c r="O73" s="20">
        <f>IFERROR(AVERAGE(J73:N73),"-")</f>
        <v/>
      </c>
      <c r="P73" s="32">
        <f>IFERROR(O73-I73,"-")</f>
        <v/>
      </c>
    </row>
    <row r="74" ht="15" customHeight="1" s="50">
      <c r="A74" s="9" t="inlineStr">
        <is>
          <t>breast_cancer</t>
        </is>
      </c>
      <c r="B74" s="9" t="inlineStr">
        <is>
          <t>symmetric</t>
        </is>
      </c>
      <c r="C74" s="31" t="n">
        <v>0.2</v>
      </c>
      <c r="D74" s="19" t="n">
        <v>0.83</v>
      </c>
      <c r="E74" s="19" t="n">
        <v>0.844</v>
      </c>
      <c r="F74" s="19" t="n">
        <v>0.847</v>
      </c>
      <c r="G74" s="19" t="n">
        <v>0.849</v>
      </c>
      <c r="H74" s="19" t="n">
        <v>0.858</v>
      </c>
      <c r="I74" s="20">
        <f>IFERROR(AVERAGE(D74:H74),"-")</f>
        <v/>
      </c>
      <c r="J74" s="19" t="n">
        <v>0.9</v>
      </c>
      <c r="K74" s="19" t="n">
        <v>0.919</v>
      </c>
      <c r="L74" s="19" t="n">
        <v>0.898</v>
      </c>
      <c r="M74" s="19" t="n">
        <v>0.905</v>
      </c>
      <c r="N74" s="19" t="n">
        <v>0.909</v>
      </c>
      <c r="O74" s="20">
        <f>IFERROR(AVERAGE(J74:N74),"-")</f>
        <v/>
      </c>
      <c r="P74" s="32">
        <f>IFERROR(O74-I74,"-")</f>
        <v/>
      </c>
    </row>
    <row r="75" ht="15" customHeight="1" s="50">
      <c r="A75" s="9" t="inlineStr">
        <is>
          <t>breast_cancer</t>
        </is>
      </c>
      <c r="B75" s="9" t="inlineStr">
        <is>
          <t>symmetric</t>
        </is>
      </c>
      <c r="C75" s="31" t="n">
        <v>0.3</v>
      </c>
      <c r="D75" s="19" t="n">
        <v>0.758</v>
      </c>
      <c r="E75" s="19" t="n">
        <v>0.8149999999999999</v>
      </c>
      <c r="F75" s="19" t="n">
        <v>0.729</v>
      </c>
      <c r="G75" s="19" t="n">
        <v>0.773</v>
      </c>
      <c r="H75" s="19" t="n">
        <v>0.794</v>
      </c>
      <c r="I75" s="20">
        <f>IFERROR(AVERAGE(D75:H75),"-")</f>
        <v/>
      </c>
      <c r="J75" s="19" t="n">
        <v>0.895</v>
      </c>
      <c r="K75" s="19" t="n">
        <v>0.854</v>
      </c>
      <c r="L75" s="19" t="n">
        <v>0.859</v>
      </c>
      <c r="M75" s="19" t="n">
        <v>0.833</v>
      </c>
      <c r="N75" s="19" t="n">
        <v>0.888</v>
      </c>
      <c r="O75" s="20">
        <f>IFERROR(AVERAGE(J75:N75),"-")</f>
        <v/>
      </c>
      <c r="P75" s="32">
        <f>IFERROR(O75-I75,"-")</f>
        <v/>
      </c>
    </row>
    <row r="76" ht="15" customHeight="1" s="50">
      <c r="A76" s="9" t="inlineStr">
        <is>
          <t>breast_cancer</t>
        </is>
      </c>
      <c r="B76" s="9" t="inlineStr">
        <is>
          <t>symmetric</t>
        </is>
      </c>
      <c r="C76" s="31" t="n">
        <v>0.4</v>
      </c>
      <c r="D76" s="19" t="n">
        <v>0.649</v>
      </c>
      <c r="E76" s="19" t="n">
        <v>0.645</v>
      </c>
      <c r="F76" s="19" t="n">
        <v>0.655</v>
      </c>
      <c r="G76" s="19" t="n">
        <v>0.6889999999999999</v>
      </c>
      <c r="H76" s="19" t="n">
        <v>0.604</v>
      </c>
      <c r="I76" s="20">
        <f>IFERROR(AVERAGE(D76:H76),"-")</f>
        <v/>
      </c>
      <c r="J76" s="19" t="n">
        <v>0.751</v>
      </c>
      <c r="K76" s="19" t="n">
        <v>0.724</v>
      </c>
      <c r="L76" s="19" t="n">
        <v>0.8070000000000001</v>
      </c>
      <c r="M76" s="19" t="n">
        <v>0.768</v>
      </c>
      <c r="N76" s="19" t="n">
        <v>0.771</v>
      </c>
      <c r="O76" s="20">
        <f>IFERROR(AVERAGE(J76:N76),"-")</f>
        <v/>
      </c>
      <c r="P76" s="32">
        <f>IFERROR(O76-I76,"-")</f>
        <v/>
      </c>
    </row>
    <row r="77" ht="15" customHeight="1" s="50">
      <c r="A77" s="9" t="inlineStr">
        <is>
          <t>breast_cancer</t>
        </is>
      </c>
      <c r="B77" s="9" t="inlineStr">
        <is>
          <t>symmetric</t>
        </is>
      </c>
      <c r="C77" s="31" t="n">
        <v>0.5</v>
      </c>
      <c r="D77" s="19" t="n">
        <v>0.527</v>
      </c>
      <c r="E77" s="19" t="n">
        <v>0.541</v>
      </c>
      <c r="F77" s="19" t="n">
        <v>0.497</v>
      </c>
      <c r="G77" s="19" t="n">
        <v>0.475</v>
      </c>
      <c r="H77" s="19" t="n">
        <v>0.487</v>
      </c>
      <c r="I77" s="20">
        <f>IFERROR(AVERAGE(D77:H77),"-")</f>
        <v/>
      </c>
      <c r="J77" s="19" t="n">
        <v>0.547</v>
      </c>
      <c r="K77" s="19" t="n">
        <v>0.494</v>
      </c>
      <c r="L77" s="19" t="n">
        <v>0.533</v>
      </c>
      <c r="M77" s="19" t="n">
        <v>0.508</v>
      </c>
      <c r="N77" s="19" t="n">
        <v>0.539</v>
      </c>
      <c r="O77" s="20">
        <f>IFERROR(AVERAGE(J77:N77),"-")</f>
        <v/>
      </c>
      <c r="P77" s="32">
        <f>IFERROR(O77-I77,"-")</f>
        <v/>
      </c>
    </row>
    <row r="78" ht="15" customHeight="1" s="50">
      <c r="A78" s="9" t="inlineStr">
        <is>
          <t>breast_cancer</t>
        </is>
      </c>
      <c r="B78" s="9" t="inlineStr">
        <is>
          <t>asymmetric</t>
        </is>
      </c>
      <c r="C78" s="31" t="n">
        <v>0.2</v>
      </c>
      <c r="D78" s="19" t="n">
        <v>0.875</v>
      </c>
      <c r="E78" s="19" t="n">
        <v>0.884</v>
      </c>
      <c r="F78" s="19" t="n">
        <v>0.868</v>
      </c>
      <c r="G78" s="19" t="n">
        <v>0.884</v>
      </c>
      <c r="H78" s="19" t="n">
        <v>0.898</v>
      </c>
      <c r="I78" s="20">
        <f>IFERROR(AVERAGE(D78:H78),"-")</f>
        <v/>
      </c>
      <c r="J78" s="19" t="n">
        <v>0.898</v>
      </c>
      <c r="K78" s="19" t="n">
        <v>0.9</v>
      </c>
      <c r="L78" s="19" t="n">
        <v>0.886</v>
      </c>
      <c r="M78" s="19" t="n">
        <v>0.909</v>
      </c>
      <c r="N78" s="19" t="n">
        <v>0.907</v>
      </c>
      <c r="O78" s="20">
        <f>IFERROR(AVERAGE(J78:N78),"-")</f>
        <v/>
      </c>
      <c r="P78" s="32">
        <f>IFERROR(O78-I78,"-")</f>
        <v/>
      </c>
    </row>
    <row r="79" ht="15" customHeight="1" s="50">
      <c r="A79" s="9" t="inlineStr">
        <is>
          <t>breast_cancer</t>
        </is>
      </c>
      <c r="B79" s="9" t="inlineStr">
        <is>
          <t>asymmetric</t>
        </is>
      </c>
      <c r="C79" s="31" t="n">
        <v>0.3</v>
      </c>
      <c r="D79" s="19" t="n">
        <v>0.847</v>
      </c>
      <c r="E79" s="19" t="n">
        <v>0.859</v>
      </c>
      <c r="F79" s="19" t="n">
        <v>0.847</v>
      </c>
      <c r="G79" s="19" t="n">
        <v>0.8169999999999999</v>
      </c>
      <c r="H79" s="19" t="n">
        <v>0.861</v>
      </c>
      <c r="I79" s="20">
        <f>IFERROR(AVERAGE(D79:H79),"-")</f>
        <v/>
      </c>
      <c r="J79" s="19" t="n">
        <v>0.868</v>
      </c>
      <c r="K79" s="19" t="n">
        <v>0.87</v>
      </c>
      <c r="L79" s="19" t="n">
        <v>0.891</v>
      </c>
      <c r="M79" s="19" t="n">
        <v>0.868</v>
      </c>
      <c r="N79" s="19" t="n">
        <v>0.858</v>
      </c>
      <c r="O79" s="20">
        <f>IFERROR(AVERAGE(J79:N79),"-")</f>
        <v/>
      </c>
      <c r="P79" s="32">
        <f>IFERROR(O79-I79,"-")</f>
        <v/>
      </c>
    </row>
    <row r="80" ht="15" customHeight="1" s="50">
      <c r="A80" s="9" t="inlineStr">
        <is>
          <t>breast_cancer</t>
        </is>
      </c>
      <c r="B80" s="9" t="inlineStr">
        <is>
          <t>asymmetric</t>
        </is>
      </c>
      <c r="C80" s="31" t="n">
        <v>0.4</v>
      </c>
      <c r="D80" s="19" t="n">
        <v>0.822</v>
      </c>
      <c r="E80" s="19" t="n">
        <v>0.8169999999999999</v>
      </c>
      <c r="F80" s="19" t="n">
        <v>0.822</v>
      </c>
      <c r="G80" s="19" t="n">
        <v>0.784</v>
      </c>
      <c r="H80" s="19" t="n">
        <v>0.805</v>
      </c>
      <c r="I80" s="20">
        <f>IFERROR(AVERAGE(D80:H80),"-")</f>
        <v/>
      </c>
      <c r="J80" s="19" t="n">
        <v>0.83</v>
      </c>
      <c r="K80" s="19" t="n">
        <v>0.833</v>
      </c>
      <c r="L80" s="19" t="n">
        <v>0.798</v>
      </c>
      <c r="M80" s="19" t="n">
        <v>0.8169999999999999</v>
      </c>
      <c r="N80" s="19" t="n">
        <v>0.819</v>
      </c>
      <c r="O80" s="20">
        <f>IFERROR(AVERAGE(J80:N80),"-")</f>
        <v/>
      </c>
      <c r="P80" s="32">
        <f>IFERROR(O80-I80,"-")</f>
        <v/>
      </c>
    </row>
    <row r="81" ht="15" customHeight="1" s="50">
      <c r="A81" s="9" t="inlineStr">
        <is>
          <t>breast_cancer</t>
        </is>
      </c>
      <c r="B81" s="9" t="inlineStr">
        <is>
          <t>asymmetric</t>
        </is>
      </c>
      <c r="C81" s="31" t="n">
        <v>0.5</v>
      </c>
      <c r="D81" s="19" t="n">
        <v>0.749</v>
      </c>
      <c r="E81" s="19" t="n">
        <v>0.735</v>
      </c>
      <c r="F81" s="19" t="n">
        <v>0.749</v>
      </c>
      <c r="G81" s="19" t="n">
        <v>0.759</v>
      </c>
      <c r="H81" s="19" t="n">
        <v>0.754</v>
      </c>
      <c r="I81" s="20">
        <f>IFERROR(AVERAGE(D81:H81),"-")</f>
        <v/>
      </c>
      <c r="J81" s="19" t="n">
        <v>0.772</v>
      </c>
      <c r="K81" s="19" t="n">
        <v>0.786</v>
      </c>
      <c r="L81" s="19" t="n">
        <v>0.74</v>
      </c>
      <c r="M81" s="19" t="n">
        <v>0.765</v>
      </c>
      <c r="N81" s="19" t="n">
        <v>0.759</v>
      </c>
      <c r="O81" s="20">
        <f>IFERROR(AVERAGE(J81:N81),"-")</f>
        <v/>
      </c>
      <c r="P81" s="32">
        <f>IFERROR(O81-I81,"-")</f>
        <v/>
      </c>
    </row>
    <row r="82" ht="15" customHeight="1" s="50">
      <c r="A82" s="9" t="inlineStr">
        <is>
          <t>breast_cancer</t>
        </is>
      </c>
      <c r="B82" s="9" t="inlineStr">
        <is>
          <t>boundary</t>
        </is>
      </c>
      <c r="C82" s="31" t="n">
        <v>0.2</v>
      </c>
      <c r="D82" s="19" t="n">
        <v>0.837</v>
      </c>
      <c r="E82" s="19" t="n">
        <v>0.845</v>
      </c>
      <c r="F82" s="19" t="n">
        <v>0.838</v>
      </c>
      <c r="G82" s="19" t="n">
        <v>0.845</v>
      </c>
      <c r="H82" s="19" t="n">
        <v>0.835</v>
      </c>
      <c r="I82" s="20">
        <f>IFERROR(AVERAGE(D82:H82),"-")</f>
        <v/>
      </c>
      <c r="J82" s="19" t="n">
        <v>0.905</v>
      </c>
      <c r="K82" s="19" t="n">
        <v>0.891</v>
      </c>
      <c r="L82" s="19" t="n">
        <v>0.9</v>
      </c>
      <c r="M82" s="19" t="n">
        <v>0.909</v>
      </c>
      <c r="N82" s="19" t="n">
        <v>0.896</v>
      </c>
      <c r="O82" s="20">
        <f>IFERROR(AVERAGE(J82:N82),"-")</f>
        <v/>
      </c>
      <c r="P82" s="32">
        <f>IFERROR(O82-I82,"-")</f>
        <v/>
      </c>
    </row>
    <row r="83" ht="15" customHeight="1" s="50">
      <c r="A83" s="9" t="inlineStr">
        <is>
          <t>breast_cancer</t>
        </is>
      </c>
      <c r="B83" s="9" t="inlineStr">
        <is>
          <t>boundary</t>
        </is>
      </c>
      <c r="C83" s="31" t="n">
        <v>0.3</v>
      </c>
      <c r="D83" s="19" t="n">
        <v>0.789</v>
      </c>
      <c r="E83" s="19" t="n">
        <v>0.801</v>
      </c>
      <c r="F83" s="19" t="n">
        <v>0.8080000000000001</v>
      </c>
      <c r="G83" s="19" t="n">
        <v>0.803</v>
      </c>
      <c r="H83" s="19" t="n">
        <v>0.8070000000000001</v>
      </c>
      <c r="I83" s="20">
        <f>IFERROR(AVERAGE(D83:H83),"-")</f>
        <v/>
      </c>
      <c r="J83" s="19" t="n">
        <v>0.858</v>
      </c>
      <c r="K83" s="19" t="n">
        <v>0.868</v>
      </c>
      <c r="L83" s="19" t="n">
        <v>0.858</v>
      </c>
      <c r="M83" s="19" t="n">
        <v>0.826</v>
      </c>
      <c r="N83" s="19" t="n">
        <v>0.838</v>
      </c>
      <c r="O83" s="20">
        <f>IFERROR(AVERAGE(J83:N83),"-")</f>
        <v/>
      </c>
      <c r="P83" s="32">
        <f>IFERROR(O83-I83,"-")</f>
        <v/>
      </c>
    </row>
    <row r="84" ht="15" customHeight="1" s="50">
      <c r="A84" s="9" t="inlineStr">
        <is>
          <t>breast_cancer</t>
        </is>
      </c>
      <c r="B84" s="9" t="inlineStr">
        <is>
          <t>boundary</t>
        </is>
      </c>
      <c r="C84" s="31" t="n">
        <v>0.4</v>
      </c>
      <c r="D84" s="19" t="n">
        <v>0.706</v>
      </c>
      <c r="E84" s="19" t="n">
        <v>0.696</v>
      </c>
      <c r="F84" s="19" t="n">
        <v>0.654</v>
      </c>
      <c r="G84" s="19" t="n">
        <v>0.694</v>
      </c>
      <c r="H84" s="19" t="n">
        <v>0.698</v>
      </c>
      <c r="I84" s="20">
        <f>IFERROR(AVERAGE(D84:H84),"-")</f>
        <v/>
      </c>
      <c r="J84" s="19" t="n">
        <v>0.713</v>
      </c>
      <c r="K84" s="19" t="n">
        <v>0.6850000000000001</v>
      </c>
      <c r="L84" s="19" t="n">
        <v>0.717</v>
      </c>
      <c r="M84" s="19" t="n">
        <v>0.701</v>
      </c>
      <c r="N84" s="19" t="n">
        <v>0.6850000000000001</v>
      </c>
      <c r="O84" s="20">
        <f>IFERROR(AVERAGE(J84:N84),"-")</f>
        <v/>
      </c>
      <c r="P84" s="32">
        <f>IFERROR(O84-I84,"-")</f>
        <v/>
      </c>
    </row>
    <row r="85" ht="15" customHeight="1" s="50">
      <c r="A85" s="9" t="inlineStr">
        <is>
          <t>breast_cancer</t>
        </is>
      </c>
      <c r="B85" s="9" t="inlineStr">
        <is>
          <t>boundary</t>
        </is>
      </c>
      <c r="C85" s="31" t="n">
        <v>0.5</v>
      </c>
      <c r="D85" s="19" t="n">
        <v>0.499</v>
      </c>
      <c r="E85" s="19" t="n">
        <v>0.529</v>
      </c>
      <c r="F85" s="19" t="n">
        <v>0.526</v>
      </c>
      <c r="G85" s="19" t="n">
        <v>0.505</v>
      </c>
      <c r="H85" s="19" t="n">
        <v>0.482</v>
      </c>
      <c r="I85" s="20">
        <f>IFERROR(AVERAGE(D85:H85),"-")</f>
        <v/>
      </c>
      <c r="J85" s="19" t="n">
        <v>0.52</v>
      </c>
      <c r="K85" s="19" t="n">
        <v>0.458</v>
      </c>
      <c r="L85" s="19" t="n">
        <v>0.515</v>
      </c>
      <c r="M85" s="19" t="n">
        <v>0.543</v>
      </c>
      <c r="N85" s="19" t="n">
        <v>0.555</v>
      </c>
      <c r="O85" s="20">
        <f>IFERROR(AVERAGE(J85:N85),"-")</f>
        <v/>
      </c>
      <c r="P85" s="32">
        <f>IFERROR(O85-I85,"-")</f>
        <v/>
      </c>
    </row>
    <row r="86" ht="15" customHeight="1" s="50">
      <c r="A86" s="9" t="inlineStr">
        <is>
          <t>breast_cancer</t>
        </is>
      </c>
      <c r="B86" s="9" t="inlineStr">
        <is>
          <t>far</t>
        </is>
      </c>
      <c r="C86" s="31" t="n">
        <v>0.2</v>
      </c>
      <c r="D86" s="19" t="n">
        <v>0.789</v>
      </c>
      <c r="E86" s="19" t="n">
        <v>0.779</v>
      </c>
      <c r="F86" s="19" t="n">
        <v>0.766</v>
      </c>
      <c r="G86" s="19" t="n">
        <v>0.8139999999999999</v>
      </c>
      <c r="H86" s="19" t="n">
        <v>0.83</v>
      </c>
      <c r="I86" s="20">
        <f>IFERROR(AVERAGE(D86:H86),"-")</f>
        <v/>
      </c>
      <c r="J86" s="19" t="n">
        <v>0.84</v>
      </c>
      <c r="K86" s="19" t="n">
        <v>0.845</v>
      </c>
      <c r="L86" s="19" t="n">
        <v>0.8139999999999999</v>
      </c>
      <c r="M86" s="19" t="n">
        <v>0.852</v>
      </c>
      <c r="N86" s="19" t="n">
        <v>0.851</v>
      </c>
      <c r="O86" s="20">
        <f>IFERROR(AVERAGE(J86:N86),"-")</f>
        <v/>
      </c>
      <c r="P86" s="32">
        <f>IFERROR(O86-I86,"-")</f>
        <v/>
      </c>
    </row>
    <row r="87" ht="15" customHeight="1" s="50">
      <c r="A87" s="9" t="inlineStr">
        <is>
          <t>breast_cancer</t>
        </is>
      </c>
      <c r="B87" s="9" t="inlineStr">
        <is>
          <t>far</t>
        </is>
      </c>
      <c r="C87" s="31" t="n">
        <v>0.3</v>
      </c>
      <c r="D87" s="19" t="n">
        <v>0.754</v>
      </c>
      <c r="E87" s="19" t="n">
        <v>0.715</v>
      </c>
      <c r="F87" s="19" t="n">
        <v>0.71</v>
      </c>
      <c r="G87" s="19" t="n">
        <v>0.706</v>
      </c>
      <c r="H87" s="19" t="n">
        <v>0.768</v>
      </c>
      <c r="I87" s="20">
        <f>IFERROR(AVERAGE(D87:H87),"-")</f>
        <v/>
      </c>
      <c r="J87" s="19" t="n">
        <v>0.791</v>
      </c>
      <c r="K87" s="19" t="n">
        <v>0.779</v>
      </c>
      <c r="L87" s="19" t="n">
        <v>0.796</v>
      </c>
      <c r="M87" s="19" t="n">
        <v>0.8070000000000001</v>
      </c>
      <c r="N87" s="19" t="n">
        <v>0.789</v>
      </c>
      <c r="O87" s="20">
        <f>IFERROR(AVERAGE(J87:N87),"-")</f>
        <v/>
      </c>
      <c r="P87" s="32">
        <f>IFERROR(O87-I87,"-")</f>
        <v/>
      </c>
    </row>
    <row r="88" ht="15" customHeight="1" s="50">
      <c r="A88" s="9" t="inlineStr">
        <is>
          <t>breast_cancer</t>
        </is>
      </c>
      <c r="B88" s="9" t="inlineStr">
        <is>
          <t>far</t>
        </is>
      </c>
      <c r="C88" s="31" t="n">
        <v>0.4</v>
      </c>
      <c r="D88" s="19" t="n">
        <v>0.64</v>
      </c>
      <c r="E88" s="19" t="n">
        <v>0.698</v>
      </c>
      <c r="F88" s="19" t="n">
        <v>0.647</v>
      </c>
      <c r="G88" s="19" t="n">
        <v>0.635</v>
      </c>
      <c r="H88" s="19" t="n">
        <v>0.622</v>
      </c>
      <c r="I88" s="20">
        <f>IFERROR(AVERAGE(D88:H88),"-")</f>
        <v/>
      </c>
      <c r="J88" s="19" t="n">
        <v>0.6919999999999999</v>
      </c>
      <c r="K88" s="19" t="n">
        <v>0.712</v>
      </c>
      <c r="L88" s="19" t="n">
        <v>0.74</v>
      </c>
      <c r="M88" s="19" t="n">
        <v>0.705</v>
      </c>
      <c r="N88" s="19" t="n">
        <v>0.722</v>
      </c>
      <c r="O88" s="20">
        <f>IFERROR(AVERAGE(J88:N88),"-")</f>
        <v/>
      </c>
      <c r="P88" s="32">
        <f>IFERROR(O88-I88,"-")</f>
        <v/>
      </c>
    </row>
    <row r="89" ht="15" customHeight="1" s="50">
      <c r="A89" s="9" t="inlineStr">
        <is>
          <t>breast_cancer</t>
        </is>
      </c>
      <c r="B89" s="9" t="inlineStr">
        <is>
          <t>far</t>
        </is>
      </c>
      <c r="C89" s="31" t="n">
        <v>0.5</v>
      </c>
      <c r="D89" s="19" t="n">
        <v>0.46</v>
      </c>
      <c r="E89" s="19" t="n">
        <v>0.536</v>
      </c>
      <c r="F89" s="19" t="n">
        <v>0.5620000000000001</v>
      </c>
      <c r="G89" s="19" t="n">
        <v>0.496</v>
      </c>
      <c r="H89" s="19" t="n">
        <v>0.453</v>
      </c>
      <c r="I89" s="20">
        <f>IFERROR(AVERAGE(D89:H89),"-")</f>
        <v/>
      </c>
      <c r="J89" s="19" t="n">
        <v>0.418</v>
      </c>
      <c r="K89" s="19" t="n">
        <v>0.45</v>
      </c>
      <c r="L89" s="19" t="n">
        <v>0.492</v>
      </c>
      <c r="M89" s="19" t="n">
        <v>0.445</v>
      </c>
      <c r="N89" s="19" t="n">
        <v>0.513</v>
      </c>
      <c r="O89" s="20">
        <f>IFERROR(AVERAGE(J89:N89),"-")</f>
        <v/>
      </c>
      <c r="P89" s="32">
        <f>IFERROR(O89-I89,"-")</f>
        <v/>
      </c>
    </row>
    <row r="90" ht="15" customHeight="1" s="50">
      <c r="A90" s="9" t="inlineStr">
        <is>
          <t>german</t>
        </is>
      </c>
      <c r="B90" s="9" t="inlineStr">
        <is>
          <t>(clean)</t>
        </is>
      </c>
      <c r="C90" s="31" t="n">
        <v>0</v>
      </c>
      <c r="D90" s="19" t="n">
        <v>0.726</v>
      </c>
      <c r="E90" s="19" t="n">
        <v>0.733</v>
      </c>
      <c r="F90" s="19" t="n">
        <v>0.725</v>
      </c>
      <c r="G90" s="19" t="n">
        <v>0.721</v>
      </c>
      <c r="H90" s="19" t="n">
        <v>0.716</v>
      </c>
      <c r="I90" s="20">
        <f>IFERROR(AVERAGE(D90:H90),"-")</f>
        <v/>
      </c>
      <c r="J90" s="19" t="n">
        <v>0.714</v>
      </c>
      <c r="K90" s="19" t="n">
        <v>0.728</v>
      </c>
      <c r="L90" s="19" t="n">
        <v>0.727</v>
      </c>
      <c r="M90" s="19" t="n">
        <v>0.717</v>
      </c>
      <c r="N90" s="19" t="n">
        <v>0.726</v>
      </c>
      <c r="O90" s="20">
        <f>IFERROR(AVERAGE(J90:N90),"-")</f>
        <v/>
      </c>
      <c r="P90" s="32">
        <f>IFERROR(O90-I90,"-")</f>
        <v/>
      </c>
    </row>
    <row r="91" ht="15" customHeight="1" s="50">
      <c r="A91" s="9" t="inlineStr">
        <is>
          <t>german</t>
        </is>
      </c>
      <c r="B91" s="9" t="inlineStr">
        <is>
          <t>symmetric</t>
        </is>
      </c>
      <c r="C91" s="31" t="n">
        <v>0.2</v>
      </c>
      <c r="D91" s="19" t="n">
        <v>0.696</v>
      </c>
      <c r="E91" s="19" t="n">
        <v>0.696</v>
      </c>
      <c r="F91" s="19" t="n">
        <v>0.694</v>
      </c>
      <c r="G91" s="19" t="n">
        <v>0.679</v>
      </c>
      <c r="H91" s="19" t="n">
        <v>0.673</v>
      </c>
      <c r="I91" s="20">
        <f>IFERROR(AVERAGE(D91:H91),"-")</f>
        <v/>
      </c>
      <c r="J91" s="19" t="n">
        <v>0.675</v>
      </c>
      <c r="K91" s="19" t="n">
        <v>0.6860000000000001</v>
      </c>
      <c r="L91" s="19" t="n">
        <v>0.663</v>
      </c>
      <c r="M91" s="19" t="n">
        <v>0.6860000000000001</v>
      </c>
      <c r="N91" s="19" t="n">
        <v>0.656</v>
      </c>
      <c r="O91" s="20">
        <f>IFERROR(AVERAGE(J91:N91),"-")</f>
        <v/>
      </c>
      <c r="P91" s="32">
        <f>IFERROR(O91-I91,"-")</f>
        <v/>
      </c>
    </row>
    <row r="92" ht="15" customHeight="1" s="50">
      <c r="A92" s="9" t="inlineStr">
        <is>
          <t>german</t>
        </is>
      </c>
      <c r="B92" s="9" t="inlineStr">
        <is>
          <t>symmetric</t>
        </is>
      </c>
      <c r="C92" s="31" t="n">
        <v>0.3</v>
      </c>
      <c r="D92" s="19" t="n">
        <v>0.647</v>
      </c>
      <c r="E92" s="19" t="n">
        <v>0.651</v>
      </c>
      <c r="F92" s="19" t="n">
        <v>0.651</v>
      </c>
      <c r="G92" s="19" t="n">
        <v>0.611</v>
      </c>
      <c r="H92" s="19" t="n">
        <v>0.657</v>
      </c>
      <c r="I92" s="20">
        <f>IFERROR(AVERAGE(D92:H92),"-")</f>
        <v/>
      </c>
      <c r="J92" s="19" t="n">
        <v>0.65</v>
      </c>
      <c r="K92" s="19" t="n">
        <v>0.658</v>
      </c>
      <c r="L92" s="19" t="n">
        <v>0.633</v>
      </c>
      <c r="M92" s="19" t="n">
        <v>0.611</v>
      </c>
      <c r="N92" s="19" t="n">
        <v>0.622</v>
      </c>
      <c r="O92" s="20">
        <f>IFERROR(AVERAGE(J92:N92),"-")</f>
        <v/>
      </c>
      <c r="P92" s="32">
        <f>IFERROR(O92-I92,"-")</f>
        <v/>
      </c>
    </row>
    <row r="93" ht="15" customHeight="1" s="50">
      <c r="A93" s="9" t="inlineStr">
        <is>
          <t>german</t>
        </is>
      </c>
      <c r="B93" s="9" t="inlineStr">
        <is>
          <t>symmetric</t>
        </is>
      </c>
      <c r="C93" s="31" t="n">
        <v>0.4</v>
      </c>
      <c r="D93" s="19" t="n">
        <v>0.594</v>
      </c>
      <c r="E93" s="19" t="n">
        <v>0.577</v>
      </c>
      <c r="F93" s="19" t="n">
        <v>0.618</v>
      </c>
      <c r="G93" s="19" t="n">
        <v>0.573</v>
      </c>
      <c r="H93" s="19" t="n">
        <v>0.556</v>
      </c>
      <c r="I93" s="20">
        <f>IFERROR(AVERAGE(D93:H93),"-")</f>
        <v/>
      </c>
      <c r="J93" s="19" t="n">
        <v>0.58</v>
      </c>
      <c r="K93" s="19" t="n">
        <v>0.571</v>
      </c>
      <c r="L93" s="19" t="n">
        <v>0.583</v>
      </c>
      <c r="M93" s="19" t="n">
        <v>0.582</v>
      </c>
      <c r="N93" s="19" t="n">
        <v>0.52</v>
      </c>
      <c r="O93" s="20">
        <f>IFERROR(AVERAGE(J93:N93),"-")</f>
        <v/>
      </c>
      <c r="P93" s="32">
        <f>IFERROR(O93-I93,"-")</f>
        <v/>
      </c>
    </row>
    <row r="94" ht="15" customHeight="1" s="50">
      <c r="A94" s="9" t="inlineStr">
        <is>
          <t>german</t>
        </is>
      </c>
      <c r="B94" s="9" t="inlineStr">
        <is>
          <t>symmetric</t>
        </is>
      </c>
      <c r="C94" s="31" t="n">
        <v>0.5</v>
      </c>
      <c r="D94" s="19" t="n">
        <v>0.492</v>
      </c>
      <c r="E94" s="19" t="n">
        <v>0.5600000000000001</v>
      </c>
      <c r="F94" s="19" t="n">
        <v>0.51</v>
      </c>
      <c r="G94" s="19" t="n">
        <v>0.473</v>
      </c>
      <c r="H94" s="19" t="n">
        <v>0.496</v>
      </c>
      <c r="I94" s="20">
        <f>IFERROR(AVERAGE(D94:H94),"-")</f>
        <v/>
      </c>
      <c r="J94" s="19" t="n">
        <v>0.486</v>
      </c>
      <c r="K94" s="19" t="n">
        <v>0.527</v>
      </c>
      <c r="L94" s="19" t="n">
        <v>0.511</v>
      </c>
      <c r="M94" s="19" t="n">
        <v>0.484</v>
      </c>
      <c r="N94" s="19" t="n">
        <v>0.48</v>
      </c>
      <c r="O94" s="20">
        <f>IFERROR(AVERAGE(J94:N94),"-")</f>
        <v/>
      </c>
      <c r="P94" s="32">
        <f>IFERROR(O94-I94,"-")</f>
        <v/>
      </c>
    </row>
    <row r="95" ht="15" customHeight="1" s="50">
      <c r="A95" s="9" t="inlineStr">
        <is>
          <t>german</t>
        </is>
      </c>
      <c r="B95" s="9" t="inlineStr">
        <is>
          <t>asymmetric</t>
        </is>
      </c>
      <c r="C95" s="31" t="n">
        <v>0.2</v>
      </c>
      <c r="D95" s="19" t="n">
        <v>0.709</v>
      </c>
      <c r="E95" s="19" t="n">
        <v>0.727</v>
      </c>
      <c r="F95" s="19" t="n">
        <v>0.735</v>
      </c>
      <c r="G95" s="19" t="n">
        <v>0.723</v>
      </c>
      <c r="H95" s="19" t="n">
        <v>0.712</v>
      </c>
      <c r="I95" s="20">
        <f>IFERROR(AVERAGE(D95:H95),"-")</f>
        <v/>
      </c>
      <c r="J95" s="19" t="n">
        <v>0.716</v>
      </c>
      <c r="K95" s="19" t="n">
        <v>0.721</v>
      </c>
      <c r="L95" s="19" t="n">
        <v>0.732</v>
      </c>
      <c r="M95" s="19" t="n">
        <v>0.708</v>
      </c>
      <c r="N95" s="19" t="n">
        <v>0.723</v>
      </c>
      <c r="O95" s="20">
        <f>IFERROR(AVERAGE(J95:N95),"-")</f>
        <v/>
      </c>
      <c r="P95" s="32">
        <f>IFERROR(O95-I95,"-")</f>
        <v/>
      </c>
    </row>
    <row r="96" ht="15" customHeight="1" s="50">
      <c r="A96" s="9" t="inlineStr">
        <is>
          <t>german</t>
        </is>
      </c>
      <c r="B96" s="9" t="inlineStr">
        <is>
          <t>asymmetric</t>
        </is>
      </c>
      <c r="C96" s="31" t="n">
        <v>0.3</v>
      </c>
      <c r="D96" s="19" t="n">
        <v>0.716</v>
      </c>
      <c r="E96" s="19" t="n">
        <v>0.722</v>
      </c>
      <c r="F96" s="19" t="n">
        <v>0.721</v>
      </c>
      <c r="G96" s="19" t="n">
        <v>0.717</v>
      </c>
      <c r="H96" s="19" t="n">
        <v>0.708</v>
      </c>
      <c r="I96" s="20">
        <f>IFERROR(AVERAGE(D96:H96),"-")</f>
        <v/>
      </c>
      <c r="J96" s="19" t="n">
        <v>0.727</v>
      </c>
      <c r="K96" s="19" t="n">
        <v>0.704</v>
      </c>
      <c r="L96" s="19" t="n">
        <v>0.716</v>
      </c>
      <c r="M96" s="19" t="n">
        <v>0.714</v>
      </c>
      <c r="N96" s="19" t="n">
        <v>0.72</v>
      </c>
      <c r="O96" s="20">
        <f>IFERROR(AVERAGE(J96:N96),"-")</f>
        <v/>
      </c>
      <c r="P96" s="32">
        <f>IFERROR(O96-I96,"-")</f>
        <v/>
      </c>
    </row>
    <row r="97" ht="15" customHeight="1" s="50">
      <c r="A97" s="9" t="inlineStr">
        <is>
          <t>german</t>
        </is>
      </c>
      <c r="B97" s="9" t="inlineStr">
        <is>
          <t>asymmetric</t>
        </is>
      </c>
      <c r="C97" s="31" t="n">
        <v>0.4</v>
      </c>
      <c r="D97" s="19" t="n">
        <v>0.715</v>
      </c>
      <c r="E97" s="19" t="n">
        <v>0.71</v>
      </c>
      <c r="F97" s="19" t="n">
        <v>0.707</v>
      </c>
      <c r="G97" s="19" t="n">
        <v>0.705</v>
      </c>
      <c r="H97" s="19" t="n">
        <v>0.709</v>
      </c>
      <c r="I97" s="20">
        <f>IFERROR(AVERAGE(D97:H97),"-")</f>
        <v/>
      </c>
      <c r="J97" s="19" t="n">
        <v>0.718</v>
      </c>
      <c r="K97" s="19" t="n">
        <v>0.718</v>
      </c>
      <c r="L97" s="19" t="n">
        <v>0.714</v>
      </c>
      <c r="M97" s="19" t="n">
        <v>0.696</v>
      </c>
      <c r="N97" s="19" t="n">
        <v>0.708</v>
      </c>
      <c r="O97" s="20">
        <f>IFERROR(AVERAGE(J97:N97),"-")</f>
        <v/>
      </c>
      <c r="P97" s="32">
        <f>IFERROR(O97-I97,"-")</f>
        <v/>
      </c>
    </row>
    <row r="98" ht="15" customHeight="1" s="50">
      <c r="A98" s="9" t="inlineStr">
        <is>
          <t>german</t>
        </is>
      </c>
      <c r="B98" s="9" t="inlineStr">
        <is>
          <t>asymmetric</t>
        </is>
      </c>
      <c r="C98" s="31" t="n">
        <v>0.5</v>
      </c>
      <c r="D98" s="19" t="n">
        <v>0.711</v>
      </c>
      <c r="E98" s="19" t="n">
        <v>0.721</v>
      </c>
      <c r="F98" s="19" t="n">
        <v>0.711</v>
      </c>
      <c r="G98" s="19" t="n">
        <v>0.706</v>
      </c>
      <c r="H98" s="19" t="n">
        <v>0.702</v>
      </c>
      <c r="I98" s="20">
        <f>IFERROR(AVERAGE(D98:H98),"-")</f>
        <v/>
      </c>
      <c r="J98" s="19" t="n">
        <v>0.704</v>
      </c>
      <c r="K98" s="19" t="n">
        <v>0.712</v>
      </c>
      <c r="L98" s="19" t="n">
        <v>0.715</v>
      </c>
      <c r="M98" s="19" t="n">
        <v>0.711</v>
      </c>
      <c r="N98" s="19" t="n">
        <v>0.718</v>
      </c>
      <c r="O98" s="20">
        <f>IFERROR(AVERAGE(J98:N98),"-")</f>
        <v/>
      </c>
      <c r="P98" s="32">
        <f>IFERROR(O98-I98,"-")</f>
        <v/>
      </c>
    </row>
    <row r="99" ht="15" customHeight="1" s="50">
      <c r="A99" s="9" t="inlineStr">
        <is>
          <t>german</t>
        </is>
      </c>
      <c r="B99" s="9" t="inlineStr">
        <is>
          <t>boundary</t>
        </is>
      </c>
      <c r="C99" s="31" t="n">
        <v>0.2</v>
      </c>
      <c r="D99" s="19" t="n">
        <v>0.72</v>
      </c>
      <c r="E99" s="19" t="n">
        <v>0.72</v>
      </c>
      <c r="F99" s="19" t="n">
        <v>0.708</v>
      </c>
      <c r="G99" s="19" t="n">
        <v>0.71</v>
      </c>
      <c r="H99" s="19" t="n">
        <v>0.695</v>
      </c>
      <c r="I99" s="20">
        <f>IFERROR(AVERAGE(D99:H99),"-")</f>
        <v/>
      </c>
      <c r="J99" s="19" t="n">
        <v>0.717</v>
      </c>
      <c r="K99" s="19" t="n">
        <v>0.721</v>
      </c>
      <c r="L99" s="19" t="n">
        <v>0.71</v>
      </c>
      <c r="M99" s="19" t="n">
        <v>0.703</v>
      </c>
      <c r="N99" s="19" t="n">
        <v>0.6899999999999999</v>
      </c>
      <c r="O99" s="20">
        <f>IFERROR(AVERAGE(J99:N99),"-")</f>
        <v/>
      </c>
      <c r="P99" s="32">
        <f>IFERROR(O99-I99,"-")</f>
        <v/>
      </c>
    </row>
    <row r="100" ht="15" customHeight="1" s="50">
      <c r="A100" s="9" t="inlineStr">
        <is>
          <t>german</t>
        </is>
      </c>
      <c r="B100" s="9" t="inlineStr">
        <is>
          <t>boundary</t>
        </is>
      </c>
      <c r="C100" s="31" t="n">
        <v>0.3</v>
      </c>
      <c r="D100" s="19" t="n">
        <v>0.698</v>
      </c>
      <c r="E100" s="19" t="n">
        <v>0.699</v>
      </c>
      <c r="F100" s="19" t="n">
        <v>0.698</v>
      </c>
      <c r="G100" s="19" t="n">
        <v>0.694</v>
      </c>
      <c r="H100" s="19" t="n">
        <v>0.7</v>
      </c>
      <c r="I100" s="20">
        <f>IFERROR(AVERAGE(D100:H100),"-")</f>
        <v/>
      </c>
      <c r="J100" s="19" t="n">
        <v>0.6909999999999999</v>
      </c>
      <c r="K100" s="19" t="n">
        <v>0.6929999999999999</v>
      </c>
      <c r="L100" s="19" t="n">
        <v>0.7</v>
      </c>
      <c r="M100" s="19" t="n">
        <v>0.6919999999999999</v>
      </c>
      <c r="N100" s="19" t="n">
        <v>0.714</v>
      </c>
      <c r="O100" s="20">
        <f>IFERROR(AVERAGE(J100:N100),"-")</f>
        <v/>
      </c>
      <c r="P100" s="32">
        <f>IFERROR(O100-I100,"-")</f>
        <v/>
      </c>
    </row>
    <row r="101" ht="15" customHeight="1" s="50">
      <c r="A101" s="9" t="inlineStr">
        <is>
          <t>german</t>
        </is>
      </c>
      <c r="B101" s="9" t="inlineStr">
        <is>
          <t>boundary</t>
        </is>
      </c>
      <c r="C101" s="31" t="n">
        <v>0.4</v>
      </c>
      <c r="D101" s="19" t="n">
        <v>0.702</v>
      </c>
      <c r="E101" s="19" t="n">
        <v>0.679</v>
      </c>
      <c r="F101" s="19" t="n">
        <v>0.6899999999999999</v>
      </c>
      <c r="G101" s="19" t="n">
        <v>0.6830000000000001</v>
      </c>
      <c r="H101" s="19" t="n">
        <v>0.671</v>
      </c>
      <c r="I101" s="20">
        <f>IFERROR(AVERAGE(D101:H101),"-")</f>
        <v/>
      </c>
      <c r="J101" s="19" t="n">
        <v>0.6929999999999999</v>
      </c>
      <c r="K101" s="19" t="n">
        <v>0.665</v>
      </c>
      <c r="L101" s="19" t="n">
        <v>0.6909999999999999</v>
      </c>
      <c r="M101" s="19" t="n">
        <v>0.671</v>
      </c>
      <c r="N101" s="19" t="n">
        <v>0.652</v>
      </c>
      <c r="O101" s="20">
        <f>IFERROR(AVERAGE(J101:N101),"-")</f>
        <v/>
      </c>
      <c r="P101" s="32">
        <f>IFERROR(O101-I101,"-")</f>
        <v/>
      </c>
    </row>
    <row r="102" ht="15" customHeight="1" s="50">
      <c r="A102" s="9" t="inlineStr">
        <is>
          <t>german</t>
        </is>
      </c>
      <c r="B102" s="9" t="inlineStr">
        <is>
          <t>boundary</t>
        </is>
      </c>
      <c r="C102" s="31" t="n">
        <v>0.5</v>
      </c>
      <c r="D102" s="19" t="n">
        <v>0.487</v>
      </c>
      <c r="E102" s="19" t="n">
        <v>0.507</v>
      </c>
      <c r="F102" s="19" t="n">
        <v>0.48</v>
      </c>
      <c r="G102" s="19" t="n">
        <v>0.514</v>
      </c>
      <c r="H102" s="19" t="n">
        <v>0.473</v>
      </c>
      <c r="I102" s="20">
        <f>IFERROR(AVERAGE(D102:H102),"-")</f>
        <v/>
      </c>
      <c r="J102" s="19" t="n">
        <v>0.499</v>
      </c>
      <c r="K102" s="19" t="n">
        <v>0.508</v>
      </c>
      <c r="L102" s="19" t="n">
        <v>0.473</v>
      </c>
      <c r="M102" s="19" t="n">
        <v>0.515</v>
      </c>
      <c r="N102" s="19" t="n">
        <v>0.465</v>
      </c>
      <c r="O102" s="20">
        <f>IFERROR(AVERAGE(J102:N102),"-")</f>
        <v/>
      </c>
      <c r="P102" s="32">
        <f>IFERROR(O102-I102,"-")</f>
        <v/>
      </c>
    </row>
    <row r="103" ht="15" customHeight="1" s="50">
      <c r="A103" s="9" t="inlineStr">
        <is>
          <t>german</t>
        </is>
      </c>
      <c r="B103" s="9" t="inlineStr">
        <is>
          <t>far</t>
        </is>
      </c>
      <c r="C103" s="31" t="n">
        <v>0.2</v>
      </c>
      <c r="D103" s="19" t="n">
        <v>0.681</v>
      </c>
      <c r="E103" s="19" t="n">
        <v>0.701</v>
      </c>
      <c r="F103" s="19" t="n">
        <v>0.6850000000000001</v>
      </c>
      <c r="G103" s="19" t="n">
        <v>0.6889999999999999</v>
      </c>
      <c r="H103" s="19" t="n">
        <v>0.6879999999999999</v>
      </c>
      <c r="I103" s="20">
        <f>IFERROR(AVERAGE(D103:H103),"-")</f>
        <v/>
      </c>
      <c r="J103" s="19" t="n">
        <v>0.66</v>
      </c>
      <c r="K103" s="19" t="n">
        <v>0.6919999999999999</v>
      </c>
      <c r="L103" s="19" t="n">
        <v>0.6850000000000001</v>
      </c>
      <c r="M103" s="19" t="n">
        <v>0.67</v>
      </c>
      <c r="N103" s="19" t="n">
        <v>0.676</v>
      </c>
      <c r="O103" s="20">
        <f>IFERROR(AVERAGE(J103:N103),"-")</f>
        <v/>
      </c>
      <c r="P103" s="32">
        <f>IFERROR(O103-I103,"-")</f>
        <v/>
      </c>
    </row>
    <row r="104" ht="15" customHeight="1" s="50">
      <c r="A104" s="9" t="inlineStr">
        <is>
          <t>german</t>
        </is>
      </c>
      <c r="B104" s="9" t="inlineStr">
        <is>
          <t>far</t>
        </is>
      </c>
      <c r="C104" s="31" t="n">
        <v>0.3</v>
      </c>
      <c r="D104" s="19" t="n">
        <v>0.657</v>
      </c>
      <c r="E104" s="19" t="n">
        <v>0.666</v>
      </c>
      <c r="F104" s="19" t="n">
        <v>0.653</v>
      </c>
      <c r="G104" s="19" t="n">
        <v>0.638</v>
      </c>
      <c r="H104" s="19" t="n">
        <v>0.6830000000000001</v>
      </c>
      <c r="I104" s="20">
        <f>IFERROR(AVERAGE(D104:H104),"-")</f>
        <v/>
      </c>
      <c r="J104" s="19" t="n">
        <v>0.636</v>
      </c>
      <c r="K104" s="19" t="n">
        <v>0.661</v>
      </c>
      <c r="L104" s="19" t="n">
        <v>0.645</v>
      </c>
      <c r="M104" s="19" t="n">
        <v>0.625</v>
      </c>
      <c r="N104" s="19" t="n">
        <v>0.66</v>
      </c>
      <c r="O104" s="20">
        <f>IFERROR(AVERAGE(J104:N104),"-")</f>
        <v/>
      </c>
      <c r="P104" s="32">
        <f>IFERROR(O104-I104,"-")</f>
        <v/>
      </c>
    </row>
    <row r="105" ht="15" customHeight="1" s="50">
      <c r="A105" s="9" t="inlineStr">
        <is>
          <t>german</t>
        </is>
      </c>
      <c r="B105" s="9" t="inlineStr">
        <is>
          <t>far</t>
        </is>
      </c>
      <c r="C105" s="31" t="n">
        <v>0.4</v>
      </c>
      <c r="D105" s="19" t="n">
        <v>0.608</v>
      </c>
      <c r="E105" s="19" t="n">
        <v>0.5580000000000001</v>
      </c>
      <c r="F105" s="19" t="n">
        <v>0.5580000000000001</v>
      </c>
      <c r="G105" s="19" t="n">
        <v>0.5620000000000001</v>
      </c>
      <c r="H105" s="19" t="n">
        <v>0.613</v>
      </c>
      <c r="I105" s="20">
        <f>IFERROR(AVERAGE(D105:H105),"-")</f>
        <v/>
      </c>
      <c r="J105" s="19" t="n">
        <v>0.629</v>
      </c>
      <c r="K105" s="19" t="n">
        <v>0.575</v>
      </c>
      <c r="L105" s="19" t="n">
        <v>0.5669999999999999</v>
      </c>
      <c r="M105" s="19" t="n">
        <v>0.576</v>
      </c>
      <c r="N105" s="19" t="n">
        <v>0.613</v>
      </c>
      <c r="O105" s="20">
        <f>IFERROR(AVERAGE(J105:N105),"-")</f>
        <v/>
      </c>
      <c r="P105" s="32">
        <f>IFERROR(O105-I105,"-")</f>
        <v/>
      </c>
    </row>
    <row r="106" ht="15" customHeight="1" s="50">
      <c r="A106" s="9" t="inlineStr">
        <is>
          <t>german</t>
        </is>
      </c>
      <c r="B106" s="9" t="inlineStr">
        <is>
          <t>far</t>
        </is>
      </c>
      <c r="C106" s="31" t="n">
        <v>0.5</v>
      </c>
      <c r="D106" s="19" t="n">
        <v>0.458</v>
      </c>
      <c r="E106" s="19" t="n">
        <v>0.522</v>
      </c>
      <c r="F106" s="19" t="n">
        <v>0.494</v>
      </c>
      <c r="G106" s="19" t="n">
        <v>0.505</v>
      </c>
      <c r="H106" s="19" t="n">
        <v>0.511</v>
      </c>
      <c r="I106" s="20">
        <f>IFERROR(AVERAGE(D106:H106),"-")</f>
        <v/>
      </c>
      <c r="J106" s="19" t="n">
        <v>0.476</v>
      </c>
      <c r="K106" s="19" t="n">
        <v>0.526</v>
      </c>
      <c r="L106" s="19" t="n">
        <v>0.478</v>
      </c>
      <c r="M106" s="19" t="n">
        <v>0.504</v>
      </c>
      <c r="N106" s="19" t="n">
        <v>0.502</v>
      </c>
      <c r="O106" s="20">
        <f>IFERROR(AVERAGE(J106:N106),"-")</f>
        <v/>
      </c>
      <c r="P106" s="32">
        <f>IFERROR(O106-I106,"-")</f>
        <v/>
      </c>
    </row>
    <row r="107" ht="15" customHeight="1" s="50">
      <c r="A107" s="9" t="inlineStr">
        <is>
          <t>haberman</t>
        </is>
      </c>
      <c r="B107" s="9" t="inlineStr">
        <is>
          <t>(clean)</t>
        </is>
      </c>
      <c r="C107" s="31" t="n">
        <v>0</v>
      </c>
      <c r="D107" s="19" t="n">
        <v>0.745</v>
      </c>
      <c r="E107" s="19" t="n">
        <v>0.755</v>
      </c>
      <c r="F107" s="19" t="n">
        <v>0.748</v>
      </c>
      <c r="G107" s="19" t="n">
        <v>0.749</v>
      </c>
      <c r="H107" s="19" t="n">
        <v>0.758</v>
      </c>
      <c r="I107" s="20">
        <f>IFERROR(AVERAGE(D107:H107),"-")</f>
        <v/>
      </c>
      <c r="J107" s="19" t="n">
        <v>0.739</v>
      </c>
      <c r="K107" s="19" t="n">
        <v>0.745</v>
      </c>
      <c r="L107" s="19" t="n">
        <v>0.752</v>
      </c>
      <c r="M107" s="19" t="n">
        <v>0.745</v>
      </c>
      <c r="N107" s="19" t="n">
        <v>0.752</v>
      </c>
      <c r="O107" s="20">
        <f>IFERROR(AVERAGE(J107:N107),"-")</f>
        <v/>
      </c>
      <c r="P107" s="32">
        <f>IFERROR(O107-I107,"-")</f>
        <v/>
      </c>
    </row>
    <row r="108" ht="15" customHeight="1" s="50">
      <c r="A108" s="9" t="inlineStr">
        <is>
          <t>haberman</t>
        </is>
      </c>
      <c r="B108" s="9" t="inlineStr">
        <is>
          <t>symmetric</t>
        </is>
      </c>
      <c r="C108" s="31" t="n">
        <v>0.2</v>
      </c>
      <c r="D108" s="19" t="n">
        <v>0.735</v>
      </c>
      <c r="E108" s="19" t="n">
        <v>0.745</v>
      </c>
      <c r="F108" s="19" t="n">
        <v>0.742</v>
      </c>
      <c r="G108" s="19" t="n">
        <v>0.745</v>
      </c>
      <c r="H108" s="19" t="n">
        <v>0.725</v>
      </c>
      <c r="I108" s="20">
        <f>IFERROR(AVERAGE(D108:H108),"-")</f>
        <v/>
      </c>
      <c r="J108" s="19" t="n">
        <v>0.748</v>
      </c>
      <c r="K108" s="19" t="n">
        <v>0.755</v>
      </c>
      <c r="L108" s="19" t="n">
        <v>0.752</v>
      </c>
      <c r="M108" s="19" t="n">
        <v>0.732</v>
      </c>
      <c r="N108" s="19" t="n">
        <v>0.716</v>
      </c>
      <c r="O108" s="20">
        <f>IFERROR(AVERAGE(J108:N108),"-")</f>
        <v/>
      </c>
      <c r="P108" s="32">
        <f>IFERROR(O108-I108,"-")</f>
        <v/>
      </c>
    </row>
    <row r="109" ht="15" customHeight="1" s="50">
      <c r="A109" s="9" t="inlineStr">
        <is>
          <t>haberman</t>
        </is>
      </c>
      <c r="B109" s="9" t="inlineStr">
        <is>
          <t>symmetric</t>
        </is>
      </c>
      <c r="C109" s="31" t="n">
        <v>0.3</v>
      </c>
      <c r="D109" s="19" t="n">
        <v>0.738</v>
      </c>
      <c r="E109" s="19" t="n">
        <v>0.735</v>
      </c>
      <c r="F109" s="19" t="n">
        <v>0.696</v>
      </c>
      <c r="G109" s="19" t="n">
        <v>0.719</v>
      </c>
      <c r="H109" s="19" t="n">
        <v>0.667</v>
      </c>
      <c r="I109" s="20">
        <f>IFERROR(AVERAGE(D109:H109),"-")</f>
        <v/>
      </c>
      <c r="J109" s="19" t="n">
        <v>0.752</v>
      </c>
      <c r="K109" s="19" t="n">
        <v>0.732</v>
      </c>
      <c r="L109" s="19" t="n">
        <v>0.748</v>
      </c>
      <c r="M109" s="19" t="n">
        <v>0.722</v>
      </c>
      <c r="N109" s="19" t="n">
        <v>0.67</v>
      </c>
      <c r="O109" s="20">
        <f>IFERROR(AVERAGE(J109:N109),"-")</f>
        <v/>
      </c>
      <c r="P109" s="32">
        <f>IFERROR(O109-I109,"-")</f>
        <v/>
      </c>
    </row>
    <row r="110" ht="15" customHeight="1" s="50">
      <c r="A110" s="9" t="inlineStr">
        <is>
          <t>haberman</t>
        </is>
      </c>
      <c r="B110" s="9" t="inlineStr">
        <is>
          <t>symmetric</t>
        </is>
      </c>
      <c r="C110" s="31" t="n">
        <v>0.4</v>
      </c>
      <c r="D110" s="19" t="n">
        <v>0.619</v>
      </c>
      <c r="E110" s="19" t="n">
        <v>0.644</v>
      </c>
      <c r="F110" s="19" t="n">
        <v>0.602</v>
      </c>
      <c r="G110" s="19" t="n">
        <v>0.6929999999999999</v>
      </c>
      <c r="H110" s="19" t="n">
        <v>0.631</v>
      </c>
      <c r="I110" s="20">
        <f>IFERROR(AVERAGE(D110:H110),"-")</f>
        <v/>
      </c>
      <c r="J110" s="19" t="n">
        <v>0.589</v>
      </c>
      <c r="K110" s="19" t="n">
        <v>0.644</v>
      </c>
      <c r="L110" s="19" t="n">
        <v>0.64</v>
      </c>
      <c r="M110" s="19" t="n">
        <v>0.7</v>
      </c>
      <c r="N110" s="19" t="n">
        <v>0.631</v>
      </c>
      <c r="O110" s="20">
        <f>IFERROR(AVERAGE(J110:N110),"-")</f>
        <v/>
      </c>
      <c r="P110" s="32">
        <f>IFERROR(O110-I110,"-")</f>
        <v/>
      </c>
    </row>
    <row r="111" ht="15" customHeight="1" s="50">
      <c r="A111" s="9" t="inlineStr">
        <is>
          <t>haberman</t>
        </is>
      </c>
      <c r="B111" s="9" t="inlineStr">
        <is>
          <t>symmetric</t>
        </is>
      </c>
      <c r="C111" s="31" t="n">
        <v>0.5</v>
      </c>
      <c r="D111" s="19" t="n">
        <v>0.481</v>
      </c>
      <c r="E111" s="19" t="n">
        <v>0.481</v>
      </c>
      <c r="F111" s="19" t="n">
        <v>0.5590000000000001</v>
      </c>
      <c r="G111" s="19" t="n">
        <v>0.382</v>
      </c>
      <c r="H111" s="19" t="n">
        <v>0.634</v>
      </c>
      <c r="I111" s="20">
        <f>IFERROR(AVERAGE(D111:H111),"-")</f>
        <v/>
      </c>
      <c r="J111" s="19" t="n">
        <v>0.347</v>
      </c>
      <c r="K111" s="19" t="n">
        <v>0.488</v>
      </c>
      <c r="L111" s="19" t="n">
        <v>0.5620000000000001</v>
      </c>
      <c r="M111" s="19" t="n">
        <v>0.486</v>
      </c>
      <c r="N111" s="19" t="n">
        <v>0.63</v>
      </c>
      <c r="O111" s="20">
        <f>IFERROR(AVERAGE(J111:N111),"-")</f>
        <v/>
      </c>
      <c r="P111" s="32">
        <f>IFERROR(O111-I111,"-")</f>
        <v/>
      </c>
    </row>
    <row r="112" ht="15" customHeight="1" s="50">
      <c r="A112" s="9" t="inlineStr">
        <is>
          <t>haberman</t>
        </is>
      </c>
      <c r="B112" s="9" t="inlineStr">
        <is>
          <t>asymmetric</t>
        </is>
      </c>
      <c r="C112" s="31" t="n">
        <v>0.2</v>
      </c>
      <c r="D112" s="19" t="n">
        <v>0.748</v>
      </c>
      <c r="E112" s="19" t="n">
        <v>0.735</v>
      </c>
      <c r="F112" s="19" t="n">
        <v>0.719</v>
      </c>
      <c r="G112" s="19" t="n">
        <v>0.732</v>
      </c>
      <c r="H112" s="19" t="n">
        <v>0.738</v>
      </c>
      <c r="I112" s="20">
        <f>IFERROR(AVERAGE(D112:H112),"-")</f>
        <v/>
      </c>
      <c r="J112" s="19" t="n">
        <v>0.742</v>
      </c>
      <c r="K112" s="19" t="n">
        <v>0.739</v>
      </c>
      <c r="L112" s="19" t="n">
        <v>0.716</v>
      </c>
      <c r="M112" s="19" t="n">
        <v>0.745</v>
      </c>
      <c r="N112" s="19" t="n">
        <v>0.722</v>
      </c>
      <c r="O112" s="20">
        <f>IFERROR(AVERAGE(J112:N112),"-")</f>
        <v/>
      </c>
      <c r="P112" s="32">
        <f>IFERROR(O112-I112,"-")</f>
        <v/>
      </c>
    </row>
    <row r="113" ht="15" customHeight="1" s="50">
      <c r="A113" s="9" t="inlineStr">
        <is>
          <t>haberman</t>
        </is>
      </c>
      <c r="B113" s="9" t="inlineStr">
        <is>
          <t>asymmetric</t>
        </is>
      </c>
      <c r="C113" s="31" t="n">
        <v>0.3</v>
      </c>
      <c r="D113" s="19" t="n">
        <v>0.716</v>
      </c>
      <c r="E113" s="19" t="n">
        <v>0.628</v>
      </c>
      <c r="F113" s="19" t="n">
        <v>0.614</v>
      </c>
      <c r="G113" s="19" t="n">
        <v>0.667</v>
      </c>
      <c r="H113" s="19" t="n">
        <v>0.591</v>
      </c>
      <c r="I113" s="20">
        <f>IFERROR(AVERAGE(D113:H113),"-")</f>
        <v/>
      </c>
      <c r="J113" s="19" t="n">
        <v>0.663</v>
      </c>
      <c r="K113" s="19" t="n">
        <v>0.605</v>
      </c>
      <c r="L113" s="19" t="n">
        <v>0.634</v>
      </c>
      <c r="M113" s="19" t="n">
        <v>0.68</v>
      </c>
      <c r="N113" s="19" t="n">
        <v>0.611</v>
      </c>
      <c r="O113" s="20">
        <f>IFERROR(AVERAGE(J113:N113),"-")</f>
        <v/>
      </c>
      <c r="P113" s="32">
        <f>IFERROR(O113-I113,"-")</f>
        <v/>
      </c>
    </row>
    <row r="114" ht="15" customHeight="1" s="50">
      <c r="A114" s="9" t="inlineStr">
        <is>
          <t>haberman</t>
        </is>
      </c>
      <c r="B114" s="9" t="inlineStr">
        <is>
          <t>asymmetric</t>
        </is>
      </c>
      <c r="C114" s="31" t="n">
        <v>0.4</v>
      </c>
      <c r="D114" s="19" t="n">
        <v>0.481</v>
      </c>
      <c r="E114" s="19" t="n">
        <v>0.513</v>
      </c>
      <c r="F114" s="19" t="n">
        <v>0.483</v>
      </c>
      <c r="G114" s="19" t="n">
        <v>0.362</v>
      </c>
      <c r="H114" s="19" t="n">
        <v>0.503</v>
      </c>
      <c r="I114" s="20">
        <f>IFERROR(AVERAGE(D114:H114),"-")</f>
        <v/>
      </c>
      <c r="J114" s="19" t="n">
        <v>0.428</v>
      </c>
      <c r="K114" s="19" t="n">
        <v>0.444</v>
      </c>
      <c r="L114" s="19" t="n">
        <v>0.477</v>
      </c>
      <c r="M114" s="19" t="n">
        <v>0.392</v>
      </c>
      <c r="N114" s="19" t="n">
        <v>0.526</v>
      </c>
      <c r="O114" s="20">
        <f>IFERROR(AVERAGE(J114:N114),"-")</f>
        <v/>
      </c>
      <c r="P114" s="32">
        <f>IFERROR(O114-I114,"-")</f>
        <v/>
      </c>
    </row>
    <row r="115" ht="15" customHeight="1" s="50">
      <c r="A115" s="9" t="inlineStr">
        <is>
          <t>haberman</t>
        </is>
      </c>
      <c r="B115" s="9" t="inlineStr">
        <is>
          <t>asymmetric</t>
        </is>
      </c>
      <c r="C115" s="31" t="n">
        <v>0.5</v>
      </c>
      <c r="D115" s="19" t="n">
        <v>0.313</v>
      </c>
      <c r="E115" s="19" t="n">
        <v>0.265</v>
      </c>
      <c r="F115" s="19" t="n">
        <v>0.297</v>
      </c>
      <c r="G115" s="19" t="n">
        <v>0.297</v>
      </c>
      <c r="H115" s="19" t="n">
        <v>0.274</v>
      </c>
      <c r="I115" s="20">
        <f>IFERROR(AVERAGE(D115:H115),"-")</f>
        <v/>
      </c>
      <c r="J115" s="19" t="n">
        <v>0.32</v>
      </c>
      <c r="K115" s="19" t="n">
        <v>0.3</v>
      </c>
      <c r="L115" s="19" t="n">
        <v>0.317</v>
      </c>
      <c r="M115" s="19" t="n">
        <v>0.294</v>
      </c>
      <c r="N115" s="19" t="n">
        <v>0.297</v>
      </c>
      <c r="O115" s="20">
        <f>IFERROR(AVERAGE(J115:N115),"-")</f>
        <v/>
      </c>
      <c r="P115" s="32">
        <f>IFERROR(O115-I115,"-")</f>
        <v/>
      </c>
    </row>
    <row r="116" ht="15" customHeight="1" s="50">
      <c r="A116" s="9" t="inlineStr">
        <is>
          <t>haberman</t>
        </is>
      </c>
      <c r="B116" s="9" t="inlineStr">
        <is>
          <t>boundary</t>
        </is>
      </c>
      <c r="C116" s="31" t="n">
        <v>0.2</v>
      </c>
      <c r="D116" s="19" t="n">
        <v>0.755</v>
      </c>
      <c r="E116" s="19" t="n">
        <v>0.726</v>
      </c>
      <c r="F116" s="19" t="n">
        <v>0.739</v>
      </c>
      <c r="G116" s="19" t="n">
        <v>0.742</v>
      </c>
      <c r="H116" s="19" t="n">
        <v>0.742</v>
      </c>
      <c r="I116" s="20">
        <f>IFERROR(AVERAGE(D116:H116),"-")</f>
        <v/>
      </c>
      <c r="J116" s="19" t="n">
        <v>0.745</v>
      </c>
      <c r="K116" s="19" t="n">
        <v>0.726</v>
      </c>
      <c r="L116" s="19" t="n">
        <v>0.735</v>
      </c>
      <c r="M116" s="19" t="n">
        <v>0.748</v>
      </c>
      <c r="N116" s="19" t="n">
        <v>0.745</v>
      </c>
      <c r="O116" s="20">
        <f>IFERROR(AVERAGE(J116:N116),"-")</f>
        <v/>
      </c>
      <c r="P116" s="32">
        <f>IFERROR(O116-I116,"-")</f>
        <v/>
      </c>
    </row>
    <row r="117" ht="15" customHeight="1" s="50">
      <c r="A117" s="9" t="inlineStr">
        <is>
          <t>haberman</t>
        </is>
      </c>
      <c r="B117" s="9" t="inlineStr">
        <is>
          <t>boundary</t>
        </is>
      </c>
      <c r="C117" s="31" t="n">
        <v>0.3</v>
      </c>
      <c r="D117" s="19" t="n">
        <v>0.6899999999999999</v>
      </c>
      <c r="E117" s="19" t="n">
        <v>0.6860000000000001</v>
      </c>
      <c r="F117" s="19" t="n">
        <v>0.67</v>
      </c>
      <c r="G117" s="19" t="n">
        <v>0.755</v>
      </c>
      <c r="H117" s="19" t="n">
        <v>0.6929999999999999</v>
      </c>
      <c r="I117" s="20">
        <f>IFERROR(AVERAGE(D117:H117),"-")</f>
        <v/>
      </c>
      <c r="J117" s="19" t="n">
        <v>0.68</v>
      </c>
      <c r="K117" s="19" t="n">
        <v>0.716</v>
      </c>
      <c r="L117" s="19" t="n">
        <v>0.6830000000000001</v>
      </c>
      <c r="M117" s="19" t="n">
        <v>0.745</v>
      </c>
      <c r="N117" s="19" t="n">
        <v>0.696</v>
      </c>
      <c r="O117" s="20">
        <f>IFERROR(AVERAGE(J117:N117),"-")</f>
        <v/>
      </c>
      <c r="P117" s="32">
        <f>IFERROR(O117-I117,"-")</f>
        <v/>
      </c>
    </row>
    <row r="118" ht="15" customHeight="1" s="50">
      <c r="A118" s="9" t="inlineStr">
        <is>
          <t>haberman</t>
        </is>
      </c>
      <c r="B118" s="9" t="inlineStr">
        <is>
          <t>boundary</t>
        </is>
      </c>
      <c r="C118" s="31" t="n">
        <v>0.4</v>
      </c>
      <c r="D118" s="19" t="n">
        <v>0.641</v>
      </c>
      <c r="E118" s="19" t="n">
        <v>0.621</v>
      </c>
      <c r="F118" s="19" t="n">
        <v>0.667</v>
      </c>
      <c r="G118" s="19" t="n">
        <v>0.647</v>
      </c>
      <c r="H118" s="19" t="n">
        <v>0.621</v>
      </c>
      <c r="I118" s="20">
        <f>IFERROR(AVERAGE(D118:H118),"-")</f>
        <v/>
      </c>
      <c r="J118" s="19" t="n">
        <v>0.637</v>
      </c>
      <c r="K118" s="19" t="n">
        <v>0.618</v>
      </c>
      <c r="L118" s="19" t="n">
        <v>0.6860000000000001</v>
      </c>
      <c r="M118" s="19" t="n">
        <v>0.637</v>
      </c>
      <c r="N118" s="19" t="n">
        <v>0.647</v>
      </c>
      <c r="O118" s="20">
        <f>IFERROR(AVERAGE(J118:N118),"-")</f>
        <v/>
      </c>
      <c r="P118" s="32">
        <f>IFERROR(O118-I118,"-")</f>
        <v/>
      </c>
    </row>
    <row r="119" ht="15" customHeight="1" s="50">
      <c r="A119" s="9" t="inlineStr">
        <is>
          <t>haberman</t>
        </is>
      </c>
      <c r="B119" s="9" t="inlineStr">
        <is>
          <t>boundary</t>
        </is>
      </c>
      <c r="C119" s="31" t="n">
        <v>0.5</v>
      </c>
      <c r="D119" s="19" t="n">
        <v>0.494</v>
      </c>
      <c r="E119" s="19" t="n">
        <v>0.491</v>
      </c>
      <c r="F119" s="19" t="n">
        <v>0.527</v>
      </c>
      <c r="G119" s="19" t="n">
        <v>0.51</v>
      </c>
      <c r="H119" s="19" t="n">
        <v>0.425</v>
      </c>
      <c r="I119" s="20">
        <f>IFERROR(AVERAGE(D119:H119),"-")</f>
        <v/>
      </c>
      <c r="J119" s="19" t="n">
        <v>0.49</v>
      </c>
      <c r="K119" s="19" t="n">
        <v>0.527</v>
      </c>
      <c r="L119" s="19" t="n">
        <v>0.605</v>
      </c>
      <c r="M119" s="19" t="n">
        <v>0.455</v>
      </c>
      <c r="N119" s="19" t="n">
        <v>0.526</v>
      </c>
      <c r="O119" s="20">
        <f>IFERROR(AVERAGE(J119:N119),"-")</f>
        <v/>
      </c>
      <c r="P119" s="32">
        <f>IFERROR(O119-I119,"-")</f>
        <v/>
      </c>
    </row>
    <row r="120" ht="15" customHeight="1" s="50">
      <c r="A120" s="9" t="inlineStr">
        <is>
          <t>haberman</t>
        </is>
      </c>
      <c r="B120" s="9" t="inlineStr">
        <is>
          <t>far</t>
        </is>
      </c>
      <c r="C120" s="31" t="n">
        <v>0.2</v>
      </c>
      <c r="D120" s="19" t="n">
        <v>0.722</v>
      </c>
      <c r="E120" s="19" t="n">
        <v>0.748</v>
      </c>
      <c r="F120" s="19" t="n">
        <v>0.729</v>
      </c>
      <c r="G120" s="19" t="n">
        <v>0.709</v>
      </c>
      <c r="H120" s="19" t="n">
        <v>0.729</v>
      </c>
      <c r="I120" s="20">
        <f>IFERROR(AVERAGE(D120:H120),"-")</f>
        <v/>
      </c>
      <c r="J120" s="19" t="n">
        <v>0.725</v>
      </c>
      <c r="K120" s="19" t="n">
        <v>0.768</v>
      </c>
      <c r="L120" s="19" t="n">
        <v>0.712</v>
      </c>
      <c r="M120" s="19" t="n">
        <v>0.739</v>
      </c>
      <c r="N120" s="19" t="n">
        <v>0.729</v>
      </c>
      <c r="O120" s="20">
        <f>IFERROR(AVERAGE(J120:N120),"-")</f>
        <v/>
      </c>
      <c r="P120" s="32">
        <f>IFERROR(O120-I120,"-")</f>
        <v/>
      </c>
    </row>
    <row r="121" ht="15" customHeight="1" s="50">
      <c r="A121" s="9" t="inlineStr">
        <is>
          <t>haberman</t>
        </is>
      </c>
      <c r="B121" s="9" t="inlineStr">
        <is>
          <t>far</t>
        </is>
      </c>
      <c r="C121" s="31" t="n">
        <v>0.3</v>
      </c>
      <c r="D121" s="19" t="n">
        <v>0.719</v>
      </c>
      <c r="E121" s="19" t="n">
        <v>0.709</v>
      </c>
      <c r="F121" s="19" t="n">
        <v>0.722</v>
      </c>
      <c r="G121" s="19" t="n">
        <v>0.6860000000000001</v>
      </c>
      <c r="H121" s="19" t="n">
        <v>0.748</v>
      </c>
      <c r="I121" s="20">
        <f>IFERROR(AVERAGE(D121:H121),"-")</f>
        <v/>
      </c>
      <c r="J121" s="19" t="n">
        <v>0.735</v>
      </c>
      <c r="K121" s="19" t="n">
        <v>0.712</v>
      </c>
      <c r="L121" s="19" t="n">
        <v>0.732</v>
      </c>
      <c r="M121" s="19" t="n">
        <v>0.742</v>
      </c>
      <c r="N121" s="19" t="n">
        <v>0.745</v>
      </c>
      <c r="O121" s="20">
        <f>IFERROR(AVERAGE(J121:N121),"-")</f>
        <v/>
      </c>
      <c r="P121" s="32">
        <f>IFERROR(O121-I121,"-")</f>
        <v/>
      </c>
    </row>
    <row r="122" ht="15" customHeight="1" s="50">
      <c r="A122" s="9" t="inlineStr">
        <is>
          <t>haberman</t>
        </is>
      </c>
      <c r="B122" s="9" t="inlineStr">
        <is>
          <t>far</t>
        </is>
      </c>
      <c r="C122" s="31" t="n">
        <v>0.4</v>
      </c>
      <c r="D122" s="19" t="n">
        <v>0.674</v>
      </c>
      <c r="E122" s="19" t="n">
        <v>0.604</v>
      </c>
      <c r="F122" s="19" t="n">
        <v>0.634</v>
      </c>
      <c r="G122" s="19" t="n">
        <v>0.676</v>
      </c>
      <c r="H122" s="19" t="n">
        <v>0.585</v>
      </c>
      <c r="I122" s="20">
        <f>IFERROR(AVERAGE(D122:H122),"-")</f>
        <v/>
      </c>
      <c r="J122" s="19" t="n">
        <v>0.742</v>
      </c>
      <c r="K122" s="19" t="n">
        <v>0.65</v>
      </c>
      <c r="L122" s="19" t="n">
        <v>0.617</v>
      </c>
      <c r="M122" s="19" t="n">
        <v>0.631</v>
      </c>
      <c r="N122" s="19" t="n">
        <v>0.581</v>
      </c>
      <c r="O122" s="20">
        <f>IFERROR(AVERAGE(J122:N122),"-")</f>
        <v/>
      </c>
      <c r="P122" s="32">
        <f>IFERROR(O122-I122,"-")</f>
        <v/>
      </c>
    </row>
    <row r="123" ht="15" customHeight="1" s="50">
      <c r="A123" s="9" t="inlineStr">
        <is>
          <t>haberman</t>
        </is>
      </c>
      <c r="B123" s="9" t="inlineStr">
        <is>
          <t>far</t>
        </is>
      </c>
      <c r="C123" s="31" t="n">
        <v>0.5</v>
      </c>
      <c r="D123" s="19" t="n">
        <v>0.543</v>
      </c>
      <c r="E123" s="19" t="n">
        <v>0.571</v>
      </c>
      <c r="F123" s="19" t="n">
        <v>0.431</v>
      </c>
      <c r="G123" s="19" t="n">
        <v>0.444</v>
      </c>
      <c r="H123" s="19" t="n">
        <v>0.457</v>
      </c>
      <c r="I123" s="20">
        <f>IFERROR(AVERAGE(D123:H123),"-")</f>
        <v/>
      </c>
      <c r="J123" s="19" t="n">
        <v>0.497</v>
      </c>
      <c r="K123" s="19" t="n">
        <v>0.5649999999999999</v>
      </c>
      <c r="L123" s="19" t="n">
        <v>0.474</v>
      </c>
      <c r="M123" s="19" t="n">
        <v>0.451</v>
      </c>
      <c r="N123" s="19" t="n">
        <v>0.474</v>
      </c>
      <c r="O123" s="20">
        <f>IFERROR(AVERAGE(J123:N123),"-")</f>
        <v/>
      </c>
      <c r="P123" s="32">
        <f>IFERROR(O123-I123,"-")</f>
        <v/>
      </c>
    </row>
    <row r="124" ht="15" customHeight="1" s="50">
      <c r="A124" s="9" t="inlineStr">
        <is>
          <t>heart</t>
        </is>
      </c>
      <c r="B124" s="9" t="inlineStr">
        <is>
          <t>(clean)</t>
        </is>
      </c>
      <c r="C124" s="31" t="n">
        <v>0</v>
      </c>
      <c r="D124" s="19" t="n">
        <v>0.794</v>
      </c>
      <c r="E124" s="19" t="n">
        <v>0.8179999999999999</v>
      </c>
      <c r="F124" s="19" t="n">
        <v>0.775</v>
      </c>
      <c r="G124" s="19" t="n">
        <v>0.828</v>
      </c>
      <c r="H124" s="19" t="n">
        <v>0.838</v>
      </c>
      <c r="I124" s="20">
        <f>IFERROR(AVERAGE(D124:H124),"-")</f>
        <v/>
      </c>
      <c r="J124" s="19" t="n">
        <v>0.8179999999999999</v>
      </c>
      <c r="K124" s="19" t="n">
        <v>0.822</v>
      </c>
      <c r="L124" s="19" t="n">
        <v>0.795</v>
      </c>
      <c r="M124" s="19" t="n">
        <v>0.798</v>
      </c>
      <c r="N124" s="19" t="n">
        <v>0.8179999999999999</v>
      </c>
      <c r="O124" s="20">
        <f>IFERROR(AVERAGE(J124:N124),"-")</f>
        <v/>
      </c>
      <c r="P124" s="32">
        <f>IFERROR(O124-I124,"-")</f>
        <v/>
      </c>
    </row>
    <row r="125" ht="15" customHeight="1" s="50">
      <c r="A125" s="9" t="inlineStr">
        <is>
          <t>heart</t>
        </is>
      </c>
      <c r="B125" s="9" t="inlineStr">
        <is>
          <t>symmetric</t>
        </is>
      </c>
      <c r="C125" s="31" t="n">
        <v>0.2</v>
      </c>
      <c r="D125" s="19" t="n">
        <v>0.717</v>
      </c>
      <c r="E125" s="19" t="n">
        <v>0.724</v>
      </c>
      <c r="F125" s="19" t="n">
        <v>0.761</v>
      </c>
      <c r="G125" s="19" t="n">
        <v>0.727</v>
      </c>
      <c r="H125" s="19" t="n">
        <v>0.805</v>
      </c>
      <c r="I125" s="20">
        <f>IFERROR(AVERAGE(D125:H125),"-")</f>
        <v/>
      </c>
      <c r="J125" s="19" t="n">
        <v>0.727</v>
      </c>
      <c r="K125" s="19" t="n">
        <v>0.771</v>
      </c>
      <c r="L125" s="19" t="n">
        <v>0.741</v>
      </c>
      <c r="M125" s="19" t="n">
        <v>0.764</v>
      </c>
      <c r="N125" s="19" t="n">
        <v>0.794</v>
      </c>
      <c r="O125" s="20">
        <f>IFERROR(AVERAGE(J125:N125),"-")</f>
        <v/>
      </c>
      <c r="P125" s="32">
        <f>IFERROR(O125-I125,"-")</f>
        <v/>
      </c>
    </row>
    <row r="126" ht="15" customHeight="1" s="50">
      <c r="A126" s="9" t="inlineStr">
        <is>
          <t>heart</t>
        </is>
      </c>
      <c r="B126" s="9" t="inlineStr">
        <is>
          <t>symmetric</t>
        </is>
      </c>
      <c r="C126" s="31" t="n">
        <v>0.3</v>
      </c>
      <c r="D126" s="19" t="n">
        <v>0.741</v>
      </c>
      <c r="E126" s="19" t="n">
        <v>0.6870000000000001</v>
      </c>
      <c r="F126" s="19" t="n">
        <v>0.711</v>
      </c>
      <c r="G126" s="19" t="n">
        <v>0.6899999999999999</v>
      </c>
      <c r="H126" s="19" t="n">
        <v>0.68</v>
      </c>
      <c r="I126" s="20">
        <f>IFERROR(AVERAGE(D126:H126),"-")</f>
        <v/>
      </c>
      <c r="J126" s="19" t="n">
        <v>0.72</v>
      </c>
      <c r="K126" s="19" t="n">
        <v>0.704</v>
      </c>
      <c r="L126" s="19" t="n">
        <v>0.788</v>
      </c>
      <c r="M126" s="19" t="n">
        <v>0.724</v>
      </c>
      <c r="N126" s="19" t="n">
        <v>0.727</v>
      </c>
      <c r="O126" s="20">
        <f>IFERROR(AVERAGE(J126:N126),"-")</f>
        <v/>
      </c>
      <c r="P126" s="32">
        <f>IFERROR(O126-I126,"-")</f>
        <v/>
      </c>
    </row>
    <row r="127" ht="15" customHeight="1" s="50">
      <c r="A127" s="9" t="inlineStr">
        <is>
          <t>heart</t>
        </is>
      </c>
      <c r="B127" s="9" t="inlineStr">
        <is>
          <t>symmetric</t>
        </is>
      </c>
      <c r="C127" s="31" t="n">
        <v>0.4</v>
      </c>
      <c r="D127" s="19" t="n">
        <v>0.606</v>
      </c>
      <c r="E127" s="19" t="n">
        <v>0.613</v>
      </c>
      <c r="F127" s="19" t="n">
        <v>0.603</v>
      </c>
      <c r="G127" s="19" t="n">
        <v>0.613</v>
      </c>
      <c r="H127" s="19" t="n">
        <v>0.653</v>
      </c>
      <c r="I127" s="20">
        <f>IFERROR(AVERAGE(D127:H127),"-")</f>
        <v/>
      </c>
      <c r="J127" s="19" t="n">
        <v>0.556</v>
      </c>
      <c r="K127" s="19" t="n">
        <v>0.633</v>
      </c>
      <c r="L127" s="19" t="n">
        <v>0.587</v>
      </c>
      <c r="M127" s="19" t="n">
        <v>0.633</v>
      </c>
      <c r="N127" s="19" t="n">
        <v>0.673</v>
      </c>
      <c r="O127" s="20">
        <f>IFERROR(AVERAGE(J127:N127),"-")</f>
        <v/>
      </c>
      <c r="P127" s="32">
        <f>IFERROR(O127-I127,"-")</f>
        <v/>
      </c>
    </row>
    <row r="128" ht="15" customHeight="1" s="50">
      <c r="A128" s="9" t="inlineStr">
        <is>
          <t>heart</t>
        </is>
      </c>
      <c r="B128" s="9" t="inlineStr">
        <is>
          <t>symmetric</t>
        </is>
      </c>
      <c r="C128" s="31" t="n">
        <v>0.5</v>
      </c>
      <c r="D128" s="19" t="n">
        <v>0.441</v>
      </c>
      <c r="E128" s="19" t="n">
        <v>0.434</v>
      </c>
      <c r="F128" s="19" t="n">
        <v>0.555</v>
      </c>
      <c r="G128" s="19" t="n">
        <v>0.478</v>
      </c>
      <c r="H128" s="19" t="n">
        <v>0.522</v>
      </c>
      <c r="I128" s="20">
        <f>IFERROR(AVERAGE(D128:H128),"-")</f>
        <v/>
      </c>
      <c r="J128" s="19" t="n">
        <v>0.522</v>
      </c>
      <c r="K128" s="19" t="n">
        <v>0.484</v>
      </c>
      <c r="L128" s="19" t="n">
        <v>0.492</v>
      </c>
      <c r="M128" s="19" t="n">
        <v>0.596</v>
      </c>
      <c r="N128" s="19" t="n">
        <v>0.421</v>
      </c>
      <c r="O128" s="20">
        <f>IFERROR(AVERAGE(J128:N128),"-")</f>
        <v/>
      </c>
      <c r="P128" s="32">
        <f>IFERROR(O128-I128,"-")</f>
        <v/>
      </c>
    </row>
    <row r="129" ht="15" customHeight="1" s="50">
      <c r="A129" s="9" t="inlineStr">
        <is>
          <t>heart</t>
        </is>
      </c>
      <c r="B129" s="9" t="inlineStr">
        <is>
          <t>asymmetric</t>
        </is>
      </c>
      <c r="C129" s="31" t="n">
        <v>0.2</v>
      </c>
      <c r="D129" s="19" t="n">
        <v>0.757</v>
      </c>
      <c r="E129" s="19" t="n">
        <v>0.747</v>
      </c>
      <c r="F129" s="19" t="n">
        <v>0.761</v>
      </c>
      <c r="G129" s="19" t="n">
        <v>0.747</v>
      </c>
      <c r="H129" s="19" t="n">
        <v>0.781</v>
      </c>
      <c r="I129" s="20">
        <f>IFERROR(AVERAGE(D129:H129),"-")</f>
        <v/>
      </c>
      <c r="J129" s="19" t="n">
        <v>0.757</v>
      </c>
      <c r="K129" s="19" t="n">
        <v>0.754</v>
      </c>
      <c r="L129" s="19" t="n">
        <v>0.761</v>
      </c>
      <c r="M129" s="19" t="n">
        <v>0.761</v>
      </c>
      <c r="N129" s="19" t="n">
        <v>0.761</v>
      </c>
      <c r="O129" s="20">
        <f>IFERROR(AVERAGE(J129:N129),"-")</f>
        <v/>
      </c>
      <c r="P129" s="32">
        <f>IFERROR(O129-I129,"-")</f>
        <v/>
      </c>
    </row>
    <row r="130" ht="15" customHeight="1" s="50">
      <c r="A130" s="9" t="inlineStr">
        <is>
          <t>heart</t>
        </is>
      </c>
      <c r="B130" s="9" t="inlineStr">
        <is>
          <t>asymmetric</t>
        </is>
      </c>
      <c r="C130" s="31" t="n">
        <v>0.3</v>
      </c>
      <c r="D130" s="19" t="n">
        <v>0.717</v>
      </c>
      <c r="E130" s="19" t="n">
        <v>0.737</v>
      </c>
      <c r="F130" s="19" t="n">
        <v>0.718</v>
      </c>
      <c r="G130" s="19" t="n">
        <v>0.74</v>
      </c>
      <c r="H130" s="19" t="n">
        <v>0.781</v>
      </c>
      <c r="I130" s="20">
        <f>IFERROR(AVERAGE(D130:H130),"-")</f>
        <v/>
      </c>
      <c r="J130" s="19" t="n">
        <v>0.734</v>
      </c>
      <c r="K130" s="19" t="n">
        <v>0.717</v>
      </c>
      <c r="L130" s="19" t="n">
        <v>0.791</v>
      </c>
      <c r="M130" s="19" t="n">
        <v>0.717</v>
      </c>
      <c r="N130" s="19" t="n">
        <v>0.727</v>
      </c>
      <c r="O130" s="20">
        <f>IFERROR(AVERAGE(J130:N130),"-")</f>
        <v/>
      </c>
      <c r="P130" s="32">
        <f>IFERROR(O130-I130,"-")</f>
        <v/>
      </c>
    </row>
    <row r="131" ht="15" customHeight="1" s="50">
      <c r="A131" s="9" t="inlineStr">
        <is>
          <t>heart</t>
        </is>
      </c>
      <c r="B131" s="9" t="inlineStr">
        <is>
          <t>asymmetric</t>
        </is>
      </c>
      <c r="C131" s="31" t="n">
        <v>0.4</v>
      </c>
      <c r="D131" s="19" t="n">
        <v>0.68</v>
      </c>
      <c r="E131" s="19" t="n">
        <v>0.673</v>
      </c>
      <c r="F131" s="19" t="n">
        <v>0.664</v>
      </c>
      <c r="G131" s="19" t="n">
        <v>0.704</v>
      </c>
      <c r="H131" s="19" t="n">
        <v>0.694</v>
      </c>
      <c r="I131" s="20">
        <f>IFERROR(AVERAGE(D131:H131),"-")</f>
        <v/>
      </c>
      <c r="J131" s="19" t="n">
        <v>0.677</v>
      </c>
      <c r="K131" s="19" t="n">
        <v>0.674</v>
      </c>
      <c r="L131" s="19" t="n">
        <v>0.7</v>
      </c>
      <c r="M131" s="19" t="n">
        <v>0.711</v>
      </c>
      <c r="N131" s="19" t="n">
        <v>0.72</v>
      </c>
      <c r="O131" s="20">
        <f>IFERROR(AVERAGE(J131:N131),"-")</f>
        <v/>
      </c>
      <c r="P131" s="32">
        <f>IFERROR(O131-I131,"-")</f>
        <v/>
      </c>
    </row>
    <row r="132" ht="15" customHeight="1" s="50">
      <c r="A132" s="9" t="inlineStr">
        <is>
          <t>heart</t>
        </is>
      </c>
      <c r="B132" s="9" t="inlineStr">
        <is>
          <t>asymmetric</t>
        </is>
      </c>
      <c r="C132" s="31" t="n">
        <v>0.5</v>
      </c>
      <c r="D132" s="19" t="n">
        <v>0.582</v>
      </c>
      <c r="E132" s="19" t="n">
        <v>0.596</v>
      </c>
      <c r="F132" s="19" t="n">
        <v>0.67</v>
      </c>
      <c r="G132" s="19" t="n">
        <v>0.659</v>
      </c>
      <c r="H132" s="19" t="n">
        <v>0.643</v>
      </c>
      <c r="I132" s="20">
        <f>IFERROR(AVERAGE(D132:H132),"-")</f>
        <v/>
      </c>
      <c r="J132" s="19" t="n">
        <v>0.633</v>
      </c>
      <c r="K132" s="19" t="n">
        <v>0.619</v>
      </c>
      <c r="L132" s="19" t="n">
        <v>0.61</v>
      </c>
      <c r="M132" s="19" t="n">
        <v>0.636</v>
      </c>
      <c r="N132" s="19" t="n">
        <v>0.619</v>
      </c>
      <c r="O132" s="20">
        <f>IFERROR(AVERAGE(J132:N132),"-")</f>
        <v/>
      </c>
      <c r="P132" s="32">
        <f>IFERROR(O132-I132,"-")</f>
        <v/>
      </c>
    </row>
    <row r="133" ht="15" customHeight="1" s="50">
      <c r="A133" s="9" t="inlineStr">
        <is>
          <t>heart</t>
        </is>
      </c>
      <c r="B133" s="9" t="inlineStr">
        <is>
          <t>boundary</t>
        </is>
      </c>
      <c r="C133" s="31" t="n">
        <v>0.2</v>
      </c>
      <c r="D133" s="19" t="n">
        <v>0.794</v>
      </c>
      <c r="E133" s="19" t="n">
        <v>0.734</v>
      </c>
      <c r="F133" s="19" t="n">
        <v>0.741</v>
      </c>
      <c r="G133" s="19" t="n">
        <v>0.784</v>
      </c>
      <c r="H133" s="19" t="n">
        <v>0.791</v>
      </c>
      <c r="I133" s="20">
        <f>IFERROR(AVERAGE(D133:H133),"-")</f>
        <v/>
      </c>
      <c r="J133" s="19" t="n">
        <v>0.8080000000000001</v>
      </c>
      <c r="K133" s="19" t="n">
        <v>0.788</v>
      </c>
      <c r="L133" s="19" t="n">
        <v>0.795</v>
      </c>
      <c r="M133" s="19" t="n">
        <v>0.805</v>
      </c>
      <c r="N133" s="19" t="n">
        <v>0.835</v>
      </c>
      <c r="O133" s="20">
        <f>IFERROR(AVERAGE(J133:N133),"-")</f>
        <v/>
      </c>
      <c r="P133" s="32">
        <f>IFERROR(O133-I133,"-")</f>
        <v/>
      </c>
    </row>
    <row r="134" ht="15" customHeight="1" s="50">
      <c r="A134" s="9" t="inlineStr">
        <is>
          <t>heart</t>
        </is>
      </c>
      <c r="B134" s="9" t="inlineStr">
        <is>
          <t>boundary</t>
        </is>
      </c>
      <c r="C134" s="31" t="n">
        <v>0.3</v>
      </c>
      <c r="D134" s="19" t="n">
        <v>0.737</v>
      </c>
      <c r="E134" s="19" t="n">
        <v>0.738</v>
      </c>
      <c r="F134" s="19" t="n">
        <v>0.704</v>
      </c>
      <c r="G134" s="19" t="n">
        <v>0.774</v>
      </c>
      <c r="H134" s="19" t="n">
        <v>0.744</v>
      </c>
      <c r="I134" s="20">
        <f>IFERROR(AVERAGE(D134:H134),"-")</f>
        <v/>
      </c>
      <c r="J134" s="19" t="n">
        <v>0.781</v>
      </c>
      <c r="K134" s="19" t="n">
        <v>0.755</v>
      </c>
      <c r="L134" s="19" t="n">
        <v>0.761</v>
      </c>
      <c r="M134" s="19" t="n">
        <v>0.805</v>
      </c>
      <c r="N134" s="19" t="n">
        <v>0.757</v>
      </c>
      <c r="O134" s="20">
        <f>IFERROR(AVERAGE(J134:N134),"-")</f>
        <v/>
      </c>
      <c r="P134" s="32">
        <f>IFERROR(O134-I134,"-")</f>
        <v/>
      </c>
    </row>
    <row r="135" ht="15" customHeight="1" s="50">
      <c r="A135" s="9" t="inlineStr">
        <is>
          <t>heart</t>
        </is>
      </c>
      <c r="B135" s="9" t="inlineStr">
        <is>
          <t>boundary</t>
        </is>
      </c>
      <c r="C135" s="31" t="n">
        <v>0.4</v>
      </c>
      <c r="D135" s="19" t="n">
        <v>0.707</v>
      </c>
      <c r="E135" s="19" t="n">
        <v>0.721</v>
      </c>
      <c r="F135" s="19" t="n">
        <v>0.6840000000000001</v>
      </c>
      <c r="G135" s="19" t="n">
        <v>0.6899999999999999</v>
      </c>
      <c r="H135" s="19" t="n">
        <v>0.623</v>
      </c>
      <c r="I135" s="20">
        <f>IFERROR(AVERAGE(D135:H135),"-")</f>
        <v/>
      </c>
      <c r="J135" s="19" t="n">
        <v>0.734</v>
      </c>
      <c r="K135" s="19" t="n">
        <v>0.667</v>
      </c>
      <c r="L135" s="19" t="n">
        <v>0.6870000000000001</v>
      </c>
      <c r="M135" s="19" t="n">
        <v>0.6870000000000001</v>
      </c>
      <c r="N135" s="19" t="n">
        <v>0.67</v>
      </c>
      <c r="O135" s="20">
        <f>IFERROR(AVERAGE(J135:N135),"-")</f>
        <v/>
      </c>
      <c r="P135" s="32">
        <f>IFERROR(O135-I135,"-")</f>
        <v/>
      </c>
    </row>
    <row r="136" ht="15" customHeight="1" s="50">
      <c r="A136" s="9" t="inlineStr">
        <is>
          <t>heart</t>
        </is>
      </c>
      <c r="B136" s="9" t="inlineStr">
        <is>
          <t>boundary</t>
        </is>
      </c>
      <c r="C136" s="31" t="n">
        <v>0.5</v>
      </c>
      <c r="D136" s="19" t="n">
        <v>0.549</v>
      </c>
      <c r="E136" s="19" t="n">
        <v>0.518</v>
      </c>
      <c r="F136" s="19" t="n">
        <v>0.484</v>
      </c>
      <c r="G136" s="19" t="n">
        <v>0.482</v>
      </c>
      <c r="H136" s="19" t="n">
        <v>0.488</v>
      </c>
      <c r="I136" s="20">
        <f>IFERROR(AVERAGE(D136:H136),"-")</f>
        <v/>
      </c>
      <c r="J136" s="19" t="n">
        <v>0.546</v>
      </c>
      <c r="K136" s="19" t="n">
        <v>0.448</v>
      </c>
      <c r="L136" s="19" t="n">
        <v>0.524</v>
      </c>
      <c r="M136" s="19" t="n">
        <v>0.518</v>
      </c>
      <c r="N136" s="19" t="n">
        <v>0.495</v>
      </c>
      <c r="O136" s="20">
        <f>IFERROR(AVERAGE(J136:N136),"-")</f>
        <v/>
      </c>
      <c r="P136" s="32">
        <f>IFERROR(O136-I136,"-")</f>
        <v/>
      </c>
    </row>
    <row r="137" ht="15" customHeight="1" s="50">
      <c r="A137" s="9" t="inlineStr">
        <is>
          <t>heart</t>
        </is>
      </c>
      <c r="B137" s="9" t="inlineStr">
        <is>
          <t>far</t>
        </is>
      </c>
      <c r="C137" s="31" t="n">
        <v>0.2</v>
      </c>
      <c r="D137" s="19" t="n">
        <v>0.737</v>
      </c>
      <c r="E137" s="19" t="n">
        <v>0.704</v>
      </c>
      <c r="F137" s="19" t="n">
        <v>0.728</v>
      </c>
      <c r="G137" s="19" t="n">
        <v>0.734</v>
      </c>
      <c r="H137" s="19" t="n">
        <v>0.721</v>
      </c>
      <c r="I137" s="20">
        <f>IFERROR(AVERAGE(D137:H137),"-")</f>
        <v/>
      </c>
      <c r="J137" s="19" t="n">
        <v>0.731</v>
      </c>
      <c r="K137" s="19" t="n">
        <v>0.737</v>
      </c>
      <c r="L137" s="19" t="n">
        <v>0.761</v>
      </c>
      <c r="M137" s="19" t="n">
        <v>0.754</v>
      </c>
      <c r="N137" s="19" t="n">
        <v>0.747</v>
      </c>
      <c r="O137" s="20">
        <f>IFERROR(AVERAGE(J137:N137),"-")</f>
        <v/>
      </c>
      <c r="P137" s="32">
        <f>IFERROR(O137-I137,"-")</f>
        <v/>
      </c>
    </row>
    <row r="138" ht="15" customHeight="1" s="50">
      <c r="A138" s="9" t="inlineStr">
        <is>
          <t>heart</t>
        </is>
      </c>
      <c r="B138" s="9" t="inlineStr">
        <is>
          <t>far</t>
        </is>
      </c>
      <c r="C138" s="31" t="n">
        <v>0.3</v>
      </c>
      <c r="D138" s="19" t="n">
        <v>0.636</v>
      </c>
      <c r="E138" s="19" t="n">
        <v>0.647</v>
      </c>
      <c r="F138" s="19" t="n">
        <v>0.633</v>
      </c>
      <c r="G138" s="19" t="n">
        <v>0.6860000000000001</v>
      </c>
      <c r="H138" s="19" t="n">
        <v>0.663</v>
      </c>
      <c r="I138" s="20">
        <f>IFERROR(AVERAGE(D138:H138),"-")</f>
        <v/>
      </c>
      <c r="J138" s="19" t="n">
        <v>0.731</v>
      </c>
      <c r="K138" s="19" t="n">
        <v>0.637</v>
      </c>
      <c r="L138" s="19" t="n">
        <v>0.741</v>
      </c>
      <c r="M138" s="19" t="n">
        <v>0.6870000000000001</v>
      </c>
      <c r="N138" s="19" t="n">
        <v>0.727</v>
      </c>
      <c r="O138" s="20">
        <f>IFERROR(AVERAGE(J138:N138),"-")</f>
        <v/>
      </c>
      <c r="P138" s="32">
        <f>IFERROR(O138-I138,"-")</f>
        <v/>
      </c>
    </row>
    <row r="139" ht="15" customHeight="1" s="50">
      <c r="A139" s="9" t="inlineStr">
        <is>
          <t>heart</t>
        </is>
      </c>
      <c r="B139" s="9" t="inlineStr">
        <is>
          <t>far</t>
        </is>
      </c>
      <c r="C139" s="31" t="n">
        <v>0.4</v>
      </c>
      <c r="D139" s="19" t="n">
        <v>0.67</v>
      </c>
      <c r="E139" s="19" t="n">
        <v>0.589</v>
      </c>
      <c r="F139" s="19" t="n">
        <v>0.597</v>
      </c>
      <c r="G139" s="19" t="n">
        <v>0.545</v>
      </c>
      <c r="H139" s="19" t="n">
        <v>0.623</v>
      </c>
      <c r="I139" s="20">
        <f>IFERROR(AVERAGE(D139:H139),"-")</f>
        <v/>
      </c>
      <c r="J139" s="19" t="n">
        <v>0.673</v>
      </c>
      <c r="K139" s="19" t="n">
        <v>0.569</v>
      </c>
      <c r="L139" s="19" t="n">
        <v>0.569</v>
      </c>
      <c r="M139" s="19" t="n">
        <v>0.63</v>
      </c>
      <c r="N139" s="19" t="n">
        <v>0.677</v>
      </c>
      <c r="O139" s="20">
        <f>IFERROR(AVERAGE(J139:N139),"-")</f>
        <v/>
      </c>
      <c r="P139" s="32">
        <f>IFERROR(O139-I139,"-")</f>
        <v/>
      </c>
    </row>
    <row r="140" ht="15" customHeight="1" s="50">
      <c r="A140" s="9" t="inlineStr">
        <is>
          <t>heart</t>
        </is>
      </c>
      <c r="B140" s="9" t="inlineStr">
        <is>
          <t>far</t>
        </is>
      </c>
      <c r="C140" s="31" t="n">
        <v>0.5</v>
      </c>
      <c r="D140" s="19" t="n">
        <v>0.435</v>
      </c>
      <c r="E140" s="19" t="n">
        <v>0.509</v>
      </c>
      <c r="F140" s="19" t="n">
        <v>0.512</v>
      </c>
      <c r="G140" s="19" t="n">
        <v>0.518</v>
      </c>
      <c r="H140" s="19" t="n">
        <v>0.5620000000000001</v>
      </c>
      <c r="I140" s="20">
        <f>IFERROR(AVERAGE(D140:H140),"-")</f>
        <v/>
      </c>
      <c r="J140" s="19" t="n">
        <v>0.444</v>
      </c>
      <c r="K140" s="19" t="n">
        <v>0.438</v>
      </c>
      <c r="L140" s="19" t="n">
        <v>0.502</v>
      </c>
      <c r="M140" s="19" t="n">
        <v>0.485</v>
      </c>
      <c r="N140" s="19" t="n">
        <v>0.458</v>
      </c>
      <c r="O140" s="20">
        <f>IFERROR(AVERAGE(J140:N140),"-")</f>
        <v/>
      </c>
      <c r="P140" s="32">
        <f>IFERROR(O140-I140,"-")</f>
        <v/>
      </c>
    </row>
    <row r="141" ht="15" customHeight="1" s="50">
      <c r="A141" s="9" t="inlineStr">
        <is>
          <t>ionosphere</t>
        </is>
      </c>
      <c r="B141" s="9" t="inlineStr">
        <is>
          <t>(clean)</t>
        </is>
      </c>
      <c r="C141" s="31" t="n">
        <v>0</v>
      </c>
      <c r="D141" s="19" t="n">
        <v>0.8149999999999999</v>
      </c>
      <c r="E141" s="19" t="n">
        <v>0.775</v>
      </c>
      <c r="F141" s="19" t="n">
        <v>0.758</v>
      </c>
      <c r="G141" s="19" t="n">
        <v>0.729</v>
      </c>
      <c r="H141" s="19" t="n">
        <v>0.855</v>
      </c>
      <c r="I141" s="20">
        <f>IFERROR(AVERAGE(D141:H141),"-")</f>
        <v/>
      </c>
      <c r="J141" s="19" t="n">
        <v>0.838</v>
      </c>
      <c r="K141" s="19" t="n">
        <v>0.82</v>
      </c>
      <c r="L141" s="19" t="n">
        <v>0.837</v>
      </c>
      <c r="M141" s="19" t="n">
        <v>0.806</v>
      </c>
      <c r="N141" s="19" t="n">
        <v>0.801</v>
      </c>
      <c r="O141" s="20">
        <f>IFERROR(AVERAGE(J141:N141),"-")</f>
        <v/>
      </c>
      <c r="P141" s="32">
        <f>IFERROR(O141-I141,"-")</f>
        <v/>
      </c>
    </row>
    <row r="142" ht="15" customHeight="1" s="50">
      <c r="A142" s="9" t="inlineStr">
        <is>
          <t>ionosphere</t>
        </is>
      </c>
      <c r="B142" s="9" t="inlineStr">
        <is>
          <t>symmetric</t>
        </is>
      </c>
      <c r="C142" s="31" t="n">
        <v>0.2</v>
      </c>
      <c r="D142" s="19" t="n">
        <v>0.832</v>
      </c>
      <c r="E142" s="19" t="n">
        <v>0.749</v>
      </c>
      <c r="F142" s="19" t="n">
        <v>0.789</v>
      </c>
      <c r="G142" s="19" t="n">
        <v>0.789</v>
      </c>
      <c r="H142" s="19" t="n">
        <v>0.786</v>
      </c>
      <c r="I142" s="20">
        <f>IFERROR(AVERAGE(D142:H142),"-")</f>
        <v/>
      </c>
      <c r="J142" s="19" t="n">
        <v>0.769</v>
      </c>
      <c r="K142" s="19" t="n">
        <v>0.766</v>
      </c>
      <c r="L142" s="19" t="n">
        <v>0.8120000000000001</v>
      </c>
      <c r="M142" s="19" t="n">
        <v>0.804</v>
      </c>
      <c r="N142" s="19" t="n">
        <v>0.775</v>
      </c>
      <c r="O142" s="20">
        <f>IFERROR(AVERAGE(J142:N142),"-")</f>
        <v/>
      </c>
      <c r="P142" s="32">
        <f>IFERROR(O142-I142,"-")</f>
        <v/>
      </c>
    </row>
    <row r="143" ht="15" customHeight="1" s="50">
      <c r="A143" s="9" t="inlineStr">
        <is>
          <t>ionosphere</t>
        </is>
      </c>
      <c r="B143" s="9" t="inlineStr">
        <is>
          <t>symmetric</t>
        </is>
      </c>
      <c r="C143" s="31" t="n">
        <v>0.3</v>
      </c>
      <c r="D143" s="19" t="n">
        <v>0.752</v>
      </c>
      <c r="E143" s="19" t="n">
        <v>0.715</v>
      </c>
      <c r="F143" s="19" t="n">
        <v>0.798</v>
      </c>
      <c r="G143" s="19" t="n">
        <v>0.709</v>
      </c>
      <c r="H143" s="19" t="n">
        <v>0.735</v>
      </c>
      <c r="I143" s="20">
        <f>IFERROR(AVERAGE(D143:H143),"-")</f>
        <v/>
      </c>
      <c r="J143" s="19" t="n">
        <v>0.732</v>
      </c>
      <c r="K143" s="19" t="n">
        <v>0.729</v>
      </c>
      <c r="L143" s="19" t="n">
        <v>0.786</v>
      </c>
      <c r="M143" s="19" t="n">
        <v>0.758</v>
      </c>
      <c r="N143" s="19" t="n">
        <v>0.758</v>
      </c>
      <c r="O143" s="20">
        <f>IFERROR(AVERAGE(J143:N143),"-")</f>
        <v/>
      </c>
      <c r="P143" s="32">
        <f>IFERROR(O143-I143,"-")</f>
        <v/>
      </c>
    </row>
    <row r="144" ht="15" customHeight="1" s="50">
      <c r="A144" s="9" t="inlineStr">
        <is>
          <t>ionosphere</t>
        </is>
      </c>
      <c r="B144" s="9" t="inlineStr">
        <is>
          <t>symmetric</t>
        </is>
      </c>
      <c r="C144" s="31" t="n">
        <v>0.4</v>
      </c>
      <c r="D144" s="19" t="n">
        <v>0.6870000000000001</v>
      </c>
      <c r="E144" s="19" t="n">
        <v>0.627</v>
      </c>
      <c r="F144" s="19" t="n">
        <v>0.601</v>
      </c>
      <c r="G144" s="19" t="n">
        <v>0.635</v>
      </c>
      <c r="H144" s="19" t="n">
        <v>0.664</v>
      </c>
      <c r="I144" s="20">
        <f>IFERROR(AVERAGE(D144:H144),"-")</f>
        <v/>
      </c>
      <c r="J144" s="19" t="n">
        <v>0.65</v>
      </c>
      <c r="K144" s="19" t="n">
        <v>0.587</v>
      </c>
      <c r="L144" s="19" t="n">
        <v>0.744</v>
      </c>
      <c r="M144" s="19" t="n">
        <v>0.638</v>
      </c>
      <c r="N144" s="19" t="n">
        <v>0.67</v>
      </c>
      <c r="O144" s="20">
        <f>IFERROR(AVERAGE(J144:N144),"-")</f>
        <v/>
      </c>
      <c r="P144" s="32">
        <f>IFERROR(O144-I144,"-")</f>
        <v/>
      </c>
    </row>
    <row r="145" ht="15" customHeight="1" s="50">
      <c r="A145" s="9" t="inlineStr">
        <is>
          <t>ionosphere</t>
        </is>
      </c>
      <c r="B145" s="9" t="inlineStr">
        <is>
          <t>symmetric</t>
        </is>
      </c>
      <c r="C145" s="31" t="n">
        <v>0.5</v>
      </c>
      <c r="D145" s="19" t="n">
        <v>0.493</v>
      </c>
      <c r="E145" s="19" t="n">
        <v>0.556</v>
      </c>
      <c r="F145" s="19" t="n">
        <v>0.501</v>
      </c>
      <c r="G145" s="19" t="n">
        <v>0.536</v>
      </c>
      <c r="H145" s="19" t="n">
        <v>0.524</v>
      </c>
      <c r="I145" s="20">
        <f>IFERROR(AVERAGE(D145:H145),"-")</f>
        <v/>
      </c>
      <c r="J145" s="19" t="n">
        <v>0.556</v>
      </c>
      <c r="K145" s="19" t="n">
        <v>0.5580000000000001</v>
      </c>
      <c r="L145" s="19" t="n">
        <v>0.501</v>
      </c>
      <c r="M145" s="19" t="n">
        <v>0.544</v>
      </c>
      <c r="N145" s="19" t="n">
        <v>0.502</v>
      </c>
      <c r="O145" s="20">
        <f>IFERROR(AVERAGE(J145:N145),"-")</f>
        <v/>
      </c>
      <c r="P145" s="32">
        <f>IFERROR(O145-I145,"-")</f>
        <v/>
      </c>
    </row>
    <row r="146" ht="15" customHeight="1" s="50">
      <c r="A146" s="9" t="inlineStr">
        <is>
          <t>ionosphere</t>
        </is>
      </c>
      <c r="B146" s="9" t="inlineStr">
        <is>
          <t>asymmetric</t>
        </is>
      </c>
      <c r="C146" s="31" t="n">
        <v>0.2</v>
      </c>
      <c r="D146" s="19" t="n">
        <v>0.786</v>
      </c>
      <c r="E146" s="19" t="n">
        <v>0.786</v>
      </c>
      <c r="F146" s="19" t="n">
        <v>0.6840000000000001</v>
      </c>
      <c r="G146" s="19" t="n">
        <v>0.738</v>
      </c>
      <c r="H146" s="19" t="n">
        <v>0.8120000000000001</v>
      </c>
      <c r="I146" s="20">
        <f>IFERROR(AVERAGE(D146:H146),"-")</f>
        <v/>
      </c>
      <c r="J146" s="19" t="n">
        <v>0.8120000000000001</v>
      </c>
      <c r="K146" s="19" t="n">
        <v>0.803</v>
      </c>
      <c r="L146" s="19" t="n">
        <v>0.727</v>
      </c>
      <c r="M146" s="19" t="n">
        <v>0.795</v>
      </c>
      <c r="N146" s="19" t="n">
        <v>0.778</v>
      </c>
      <c r="O146" s="20">
        <f>IFERROR(AVERAGE(J146:N146),"-")</f>
        <v/>
      </c>
      <c r="P146" s="32">
        <f>IFERROR(O146-I146,"-")</f>
        <v/>
      </c>
    </row>
    <row r="147" ht="15" customHeight="1" s="50">
      <c r="A147" s="9" t="inlineStr">
        <is>
          <t>ionosphere</t>
        </is>
      </c>
      <c r="B147" s="9" t="inlineStr">
        <is>
          <t>asymmetric</t>
        </is>
      </c>
      <c r="C147" s="31" t="n">
        <v>0.3</v>
      </c>
      <c r="D147" s="19" t="n">
        <v>0.8120000000000001</v>
      </c>
      <c r="E147" s="19" t="n">
        <v>0.792</v>
      </c>
      <c r="F147" s="19" t="n">
        <v>0.73</v>
      </c>
      <c r="G147" s="19" t="n">
        <v>0.735</v>
      </c>
      <c r="H147" s="19" t="n">
        <v>0.792</v>
      </c>
      <c r="I147" s="20">
        <f>IFERROR(AVERAGE(D147:H147),"-")</f>
        <v/>
      </c>
      <c r="J147" s="19" t="n">
        <v>0.783</v>
      </c>
      <c r="K147" s="19" t="n">
        <v>0.792</v>
      </c>
      <c r="L147" s="19" t="n">
        <v>0.786</v>
      </c>
      <c r="M147" s="19" t="n">
        <v>0.789</v>
      </c>
      <c r="N147" s="19" t="n">
        <v>0.795</v>
      </c>
      <c r="O147" s="20">
        <f>IFERROR(AVERAGE(J147:N147),"-")</f>
        <v/>
      </c>
      <c r="P147" s="32">
        <f>IFERROR(O147-I147,"-")</f>
        <v/>
      </c>
    </row>
    <row r="148" ht="15" customHeight="1" s="50">
      <c r="A148" s="9" t="inlineStr">
        <is>
          <t>ionosphere</t>
        </is>
      </c>
      <c r="B148" s="9" t="inlineStr">
        <is>
          <t>asymmetric</t>
        </is>
      </c>
      <c r="C148" s="31" t="n">
        <v>0.4</v>
      </c>
      <c r="D148" s="19" t="n">
        <v>0.724</v>
      </c>
      <c r="E148" s="19" t="n">
        <v>0.755</v>
      </c>
      <c r="F148" s="19" t="n">
        <v>0.723</v>
      </c>
      <c r="G148" s="19" t="n">
        <v>0.783</v>
      </c>
      <c r="H148" s="19" t="n">
        <v>0.752</v>
      </c>
      <c r="I148" s="20">
        <f>IFERROR(AVERAGE(D148:H148),"-")</f>
        <v/>
      </c>
      <c r="J148" s="19" t="n">
        <v>0.755</v>
      </c>
      <c r="K148" s="19" t="n">
        <v>0.8090000000000001</v>
      </c>
      <c r="L148" s="19" t="n">
        <v>0.758</v>
      </c>
      <c r="M148" s="19" t="n">
        <v>0.784</v>
      </c>
      <c r="N148" s="19" t="n">
        <v>0.755</v>
      </c>
      <c r="O148" s="20">
        <f>IFERROR(AVERAGE(J148:N148),"-")</f>
        <v/>
      </c>
      <c r="P148" s="32">
        <f>IFERROR(O148-I148,"-")</f>
        <v/>
      </c>
    </row>
    <row r="149" ht="15" customHeight="1" s="50">
      <c r="A149" s="9" t="inlineStr">
        <is>
          <t>ionosphere</t>
        </is>
      </c>
      <c r="B149" s="9" t="inlineStr">
        <is>
          <t>asymmetric</t>
        </is>
      </c>
      <c r="C149" s="31" t="n">
        <v>0.5</v>
      </c>
      <c r="D149" s="19" t="n">
        <v>0.721</v>
      </c>
      <c r="E149" s="19" t="n">
        <v>0.718</v>
      </c>
      <c r="F149" s="19" t="n">
        <v>0.744</v>
      </c>
      <c r="G149" s="19" t="n">
        <v>0.729</v>
      </c>
      <c r="H149" s="19" t="n">
        <v>0.721</v>
      </c>
      <c r="I149" s="20">
        <f>IFERROR(AVERAGE(D149:H149),"-")</f>
        <v/>
      </c>
      <c r="J149" s="19" t="n">
        <v>0.755</v>
      </c>
      <c r="K149" s="19" t="n">
        <v>0.755</v>
      </c>
      <c r="L149" s="19" t="n">
        <v>0.769</v>
      </c>
      <c r="M149" s="19" t="n">
        <v>0.738</v>
      </c>
      <c r="N149" s="19" t="n">
        <v>0.772</v>
      </c>
      <c r="O149" s="20">
        <f>IFERROR(AVERAGE(J149:N149),"-")</f>
        <v/>
      </c>
      <c r="P149" s="32">
        <f>IFERROR(O149-I149,"-")</f>
        <v/>
      </c>
    </row>
    <row r="150" ht="15" customHeight="1" s="50">
      <c r="A150" s="9" t="inlineStr">
        <is>
          <t>ionosphere</t>
        </is>
      </c>
      <c r="B150" s="9" t="inlineStr">
        <is>
          <t>boundary</t>
        </is>
      </c>
      <c r="C150" s="31" t="n">
        <v>0.2</v>
      </c>
      <c r="D150" s="19" t="n">
        <v>0.824</v>
      </c>
      <c r="E150" s="19" t="n">
        <v>0.8179999999999999</v>
      </c>
      <c r="F150" s="19" t="n">
        <v>0.778</v>
      </c>
      <c r="G150" s="19" t="n">
        <v>0.832</v>
      </c>
      <c r="H150" s="19" t="n">
        <v>0.8120000000000001</v>
      </c>
      <c r="I150" s="20">
        <f>IFERROR(AVERAGE(D150:H150),"-")</f>
        <v/>
      </c>
      <c r="J150" s="19" t="n">
        <v>0.801</v>
      </c>
      <c r="K150" s="19" t="n">
        <v>0.789</v>
      </c>
      <c r="L150" s="19" t="n">
        <v>0.775</v>
      </c>
      <c r="M150" s="19" t="n">
        <v>0.803</v>
      </c>
      <c r="N150" s="19" t="n">
        <v>0.832</v>
      </c>
      <c r="O150" s="20">
        <f>IFERROR(AVERAGE(J150:N150),"-")</f>
        <v/>
      </c>
      <c r="P150" s="32">
        <f>IFERROR(O150-I150,"-")</f>
        <v/>
      </c>
    </row>
    <row r="151" ht="15" customHeight="1" s="50">
      <c r="A151" s="9" t="inlineStr">
        <is>
          <t>ionosphere</t>
        </is>
      </c>
      <c r="B151" s="9" t="inlineStr">
        <is>
          <t>boundary</t>
        </is>
      </c>
      <c r="C151" s="31" t="n">
        <v>0.3</v>
      </c>
      <c r="D151" s="19" t="n">
        <v>0.758</v>
      </c>
      <c r="E151" s="19" t="n">
        <v>0.752</v>
      </c>
      <c r="F151" s="19" t="n">
        <v>0.786</v>
      </c>
      <c r="G151" s="19" t="n">
        <v>0.769</v>
      </c>
      <c r="H151" s="19" t="n">
        <v>0.718</v>
      </c>
      <c r="I151" s="20">
        <f>IFERROR(AVERAGE(D151:H151),"-")</f>
        <v/>
      </c>
      <c r="J151" s="19" t="n">
        <v>0.784</v>
      </c>
      <c r="K151" s="19" t="n">
        <v>0.775</v>
      </c>
      <c r="L151" s="19" t="n">
        <v>0.758</v>
      </c>
      <c r="M151" s="19" t="n">
        <v>0.781</v>
      </c>
      <c r="N151" s="19" t="n">
        <v>0.721</v>
      </c>
      <c r="O151" s="20">
        <f>IFERROR(AVERAGE(J151:N151),"-")</f>
        <v/>
      </c>
      <c r="P151" s="32">
        <f>IFERROR(O151-I151,"-")</f>
        <v/>
      </c>
    </row>
    <row r="152" ht="15" customHeight="1" s="50">
      <c r="A152" s="9" t="inlineStr">
        <is>
          <t>ionosphere</t>
        </is>
      </c>
      <c r="B152" s="9" t="inlineStr">
        <is>
          <t>boundary</t>
        </is>
      </c>
      <c r="C152" s="31" t="n">
        <v>0.4</v>
      </c>
      <c r="D152" s="19" t="n">
        <v>0.747</v>
      </c>
      <c r="E152" s="19" t="n">
        <v>0.647</v>
      </c>
      <c r="F152" s="19" t="n">
        <v>0.647</v>
      </c>
      <c r="G152" s="19" t="n">
        <v>0.678</v>
      </c>
      <c r="H152" s="19" t="n">
        <v>0.71</v>
      </c>
      <c r="I152" s="20">
        <f>IFERROR(AVERAGE(D152:H152),"-")</f>
        <v/>
      </c>
      <c r="J152" s="19" t="n">
        <v>0.721</v>
      </c>
      <c r="K152" s="19" t="n">
        <v>0.666</v>
      </c>
      <c r="L152" s="19" t="n">
        <v>0.71</v>
      </c>
      <c r="M152" s="19" t="n">
        <v>0.595</v>
      </c>
      <c r="N152" s="19" t="n">
        <v>0.738</v>
      </c>
      <c r="O152" s="20">
        <f>IFERROR(AVERAGE(J152:N152),"-")</f>
        <v/>
      </c>
      <c r="P152" s="32">
        <f>IFERROR(O152-I152,"-")</f>
        <v/>
      </c>
    </row>
    <row r="153" ht="15" customHeight="1" s="50">
      <c r="A153" s="9" t="inlineStr">
        <is>
          <t>ionosphere</t>
        </is>
      </c>
      <c r="B153" s="9" t="inlineStr">
        <is>
          <t>boundary</t>
        </is>
      </c>
      <c r="C153" s="31" t="n">
        <v>0.5</v>
      </c>
      <c r="D153" s="19" t="n">
        <v>0.527</v>
      </c>
      <c r="E153" s="19" t="n">
        <v>0.499</v>
      </c>
      <c r="F153" s="19" t="n">
        <v>0.493</v>
      </c>
      <c r="G153" s="19" t="n">
        <v>0.51</v>
      </c>
      <c r="H153" s="19" t="n">
        <v>0.513</v>
      </c>
      <c r="I153" s="20">
        <f>IFERROR(AVERAGE(D153:H153),"-")</f>
        <v/>
      </c>
      <c r="J153" s="19" t="n">
        <v>0.518</v>
      </c>
      <c r="K153" s="19" t="n">
        <v>0.424</v>
      </c>
      <c r="L153" s="19" t="n">
        <v>0.521</v>
      </c>
      <c r="M153" s="19" t="n">
        <v>0.5639999999999999</v>
      </c>
      <c r="N153" s="19" t="n">
        <v>0.524</v>
      </c>
      <c r="O153" s="20">
        <f>IFERROR(AVERAGE(J153:N153),"-")</f>
        <v/>
      </c>
      <c r="P153" s="32">
        <f>IFERROR(O153-I153,"-")</f>
        <v/>
      </c>
    </row>
    <row r="154" ht="15" customHeight="1" s="50">
      <c r="A154" s="9" t="inlineStr">
        <is>
          <t>ionosphere</t>
        </is>
      </c>
      <c r="B154" s="9" t="inlineStr">
        <is>
          <t>far</t>
        </is>
      </c>
      <c r="C154" s="31" t="n">
        <v>0.2</v>
      </c>
      <c r="D154" s="19" t="n">
        <v>0.678</v>
      </c>
      <c r="E154" s="19" t="n">
        <v>0.718</v>
      </c>
      <c r="F154" s="19" t="n">
        <v>0.698</v>
      </c>
      <c r="G154" s="19" t="n">
        <v>0.607</v>
      </c>
      <c r="H154" s="19" t="n">
        <v>0.741</v>
      </c>
      <c r="I154" s="20">
        <f>IFERROR(AVERAGE(D154:H154),"-")</f>
        <v/>
      </c>
      <c r="J154" s="19" t="n">
        <v>0.712</v>
      </c>
      <c r="K154" s="19" t="n">
        <v>0.747</v>
      </c>
      <c r="L154" s="19" t="n">
        <v>0.738</v>
      </c>
      <c r="M154" s="19" t="n">
        <v>0.701</v>
      </c>
      <c r="N154" s="19" t="n">
        <v>0.724</v>
      </c>
      <c r="O154" s="20">
        <f>IFERROR(AVERAGE(J154:N154),"-")</f>
        <v/>
      </c>
      <c r="P154" s="32">
        <f>IFERROR(O154-I154,"-")</f>
        <v/>
      </c>
    </row>
    <row r="155" ht="15" customHeight="1" s="50">
      <c r="A155" s="9" t="inlineStr">
        <is>
          <t>ionosphere</t>
        </is>
      </c>
      <c r="B155" s="9" t="inlineStr">
        <is>
          <t>far</t>
        </is>
      </c>
      <c r="C155" s="31" t="n">
        <v>0.3</v>
      </c>
      <c r="D155" s="19" t="n">
        <v>0.621</v>
      </c>
      <c r="E155" s="19" t="n">
        <v>0.672</v>
      </c>
      <c r="F155" s="19" t="n">
        <v>0.652</v>
      </c>
      <c r="G155" s="19" t="n">
        <v>0.638</v>
      </c>
      <c r="H155" s="19" t="n">
        <v>0.604</v>
      </c>
      <c r="I155" s="20">
        <f>IFERROR(AVERAGE(D155:H155),"-")</f>
        <v/>
      </c>
      <c r="J155" s="19" t="n">
        <v>0.673</v>
      </c>
      <c r="K155" s="19" t="n">
        <v>0.709</v>
      </c>
      <c r="L155" s="19" t="n">
        <v>0.695</v>
      </c>
      <c r="M155" s="19" t="n">
        <v>0.701</v>
      </c>
      <c r="N155" s="19" t="n">
        <v>0.678</v>
      </c>
      <c r="O155" s="20">
        <f>IFERROR(AVERAGE(J155:N155),"-")</f>
        <v/>
      </c>
      <c r="P155" s="32">
        <f>IFERROR(O155-I155,"-")</f>
        <v/>
      </c>
    </row>
    <row r="156" ht="15" customHeight="1" s="50">
      <c r="A156" s="9" t="inlineStr">
        <is>
          <t>ionosphere</t>
        </is>
      </c>
      <c r="B156" s="9" t="inlineStr">
        <is>
          <t>far</t>
        </is>
      </c>
      <c r="C156" s="31" t="n">
        <v>0.4</v>
      </c>
      <c r="D156" s="19" t="n">
        <v>0.607</v>
      </c>
      <c r="E156" s="19" t="n">
        <v>0.524</v>
      </c>
      <c r="F156" s="19" t="n">
        <v>0.612</v>
      </c>
      <c r="G156" s="19" t="n">
        <v>0.592</v>
      </c>
      <c r="H156" s="19" t="n">
        <v>0.533</v>
      </c>
      <c r="I156" s="20">
        <f>IFERROR(AVERAGE(D156:H156),"-")</f>
        <v/>
      </c>
      <c r="J156" s="19" t="n">
        <v>0.581</v>
      </c>
      <c r="K156" s="19" t="n">
        <v>0.621</v>
      </c>
      <c r="L156" s="19" t="n">
        <v>0.618</v>
      </c>
      <c r="M156" s="19" t="n">
        <v>0.63</v>
      </c>
      <c r="N156" s="19" t="n">
        <v>0.655</v>
      </c>
      <c r="O156" s="20">
        <f>IFERROR(AVERAGE(J156:N156),"-")</f>
        <v/>
      </c>
      <c r="P156" s="32">
        <f>IFERROR(O156-I156,"-")</f>
        <v/>
      </c>
    </row>
    <row r="157" ht="15" customHeight="1" s="50">
      <c r="A157" s="9" t="inlineStr">
        <is>
          <t>ionosphere</t>
        </is>
      </c>
      <c r="B157" s="9" t="inlineStr">
        <is>
          <t>far</t>
        </is>
      </c>
      <c r="C157" s="31" t="n">
        <v>0.5</v>
      </c>
      <c r="D157" s="19" t="n">
        <v>0.55</v>
      </c>
      <c r="E157" s="19" t="n">
        <v>0.53</v>
      </c>
      <c r="F157" s="19" t="n">
        <v>0.581</v>
      </c>
      <c r="G157" s="19" t="n">
        <v>0.419</v>
      </c>
      <c r="H157" s="19" t="n">
        <v>0.524</v>
      </c>
      <c r="I157" s="20">
        <f>IFERROR(AVERAGE(D157:H157),"-")</f>
        <v/>
      </c>
      <c r="J157" s="19" t="n">
        <v>0.544</v>
      </c>
      <c r="K157" s="19" t="n">
        <v>0.504</v>
      </c>
      <c r="L157" s="19" t="n">
        <v>0.601</v>
      </c>
      <c r="M157" s="19" t="n">
        <v>0.481</v>
      </c>
      <c r="N157" s="19" t="n">
        <v>0.39</v>
      </c>
      <c r="O157" s="20">
        <f>IFERROR(AVERAGE(J157:N157),"-")</f>
        <v/>
      </c>
      <c r="P157" s="32">
        <f>IFERROR(O157-I157,"-")</f>
        <v/>
      </c>
    </row>
    <row r="158" ht="15" customHeight="1" s="50">
      <c r="A158" s="9" t="inlineStr">
        <is>
          <t>sonar</t>
        </is>
      </c>
      <c r="B158" s="9" t="inlineStr">
        <is>
          <t>(clean)</t>
        </is>
      </c>
      <c r="C158" s="31" t="n">
        <v>0</v>
      </c>
      <c r="D158" s="19" t="n">
        <v>0.712</v>
      </c>
      <c r="E158" s="19" t="n">
        <v>0.726</v>
      </c>
      <c r="F158" s="19" t="n">
        <v>0.726</v>
      </c>
      <c r="G158" s="19" t="n">
        <v>0.711</v>
      </c>
      <c r="H158" s="19" t="n">
        <v>0.6879999999999999</v>
      </c>
      <c r="I158" s="20">
        <f>IFERROR(AVERAGE(D158:H158),"-")</f>
        <v/>
      </c>
      <c r="J158" s="19" t="n">
        <v>0.707</v>
      </c>
      <c r="K158" s="19" t="n">
        <v>0.678</v>
      </c>
      <c r="L158" s="19" t="n">
        <v>0.726</v>
      </c>
      <c r="M158" s="19" t="n">
        <v>0.73</v>
      </c>
      <c r="N158" s="19" t="n">
        <v>0.726</v>
      </c>
      <c r="O158" s="20">
        <f>IFERROR(AVERAGE(J158:N158),"-")</f>
        <v/>
      </c>
      <c r="P158" s="32">
        <f>IFERROR(O158-I158,"-")</f>
        <v/>
      </c>
    </row>
    <row r="159" ht="15" customHeight="1" s="50">
      <c r="A159" s="9" t="inlineStr">
        <is>
          <t>sonar</t>
        </is>
      </c>
      <c r="B159" s="9" t="inlineStr">
        <is>
          <t>symmetric</t>
        </is>
      </c>
      <c r="C159" s="31" t="n">
        <v>0.2</v>
      </c>
      <c r="D159" s="19" t="n">
        <v>0.61</v>
      </c>
      <c r="E159" s="19" t="n">
        <v>0.577</v>
      </c>
      <c r="F159" s="19" t="n">
        <v>0.582</v>
      </c>
      <c r="G159" s="19" t="n">
        <v>0.624</v>
      </c>
      <c r="H159" s="19" t="n">
        <v>0.601</v>
      </c>
      <c r="I159" s="20">
        <f>IFERROR(AVERAGE(D159:H159),"-")</f>
        <v/>
      </c>
      <c r="J159" s="19" t="n">
        <v>0.6879999999999999</v>
      </c>
      <c r="K159" s="19" t="n">
        <v>0.654</v>
      </c>
      <c r="L159" s="19" t="n">
        <v>0.645</v>
      </c>
      <c r="M159" s="19" t="n">
        <v>0.6919999999999999</v>
      </c>
      <c r="N159" s="19" t="n">
        <v>0.634</v>
      </c>
      <c r="O159" s="20">
        <f>IFERROR(AVERAGE(J159:N159),"-")</f>
        <v/>
      </c>
      <c r="P159" s="32">
        <f>IFERROR(O159-I159,"-")</f>
        <v/>
      </c>
    </row>
    <row r="160" ht="15" customHeight="1" s="50">
      <c r="A160" s="9" t="inlineStr">
        <is>
          <t>sonar</t>
        </is>
      </c>
      <c r="B160" s="9" t="inlineStr">
        <is>
          <t>symmetric</t>
        </is>
      </c>
      <c r="C160" s="31" t="n">
        <v>0.3</v>
      </c>
      <c r="D160" s="19" t="n">
        <v>0.5620000000000001</v>
      </c>
      <c r="E160" s="19" t="n">
        <v>0.578</v>
      </c>
      <c r="F160" s="19" t="n">
        <v>0.5580000000000001</v>
      </c>
      <c r="G160" s="19" t="n">
        <v>0.577</v>
      </c>
      <c r="H160" s="19" t="n">
        <v>0.51</v>
      </c>
      <c r="I160" s="20">
        <f>IFERROR(AVERAGE(D160:H160),"-")</f>
        <v/>
      </c>
      <c r="J160" s="19" t="n">
        <v>0.625</v>
      </c>
      <c r="K160" s="19" t="n">
        <v>0.625</v>
      </c>
      <c r="L160" s="19" t="n">
        <v>0.5620000000000001</v>
      </c>
      <c r="M160" s="19" t="n">
        <v>0.552</v>
      </c>
      <c r="N160" s="19" t="n">
        <v>0.611</v>
      </c>
      <c r="O160" s="20">
        <f>IFERROR(AVERAGE(J160:N160),"-")</f>
        <v/>
      </c>
      <c r="P160" s="32">
        <f>IFERROR(O160-I160,"-")</f>
        <v/>
      </c>
    </row>
    <row r="161" ht="15" customHeight="1" s="50">
      <c r="A161" s="9" t="inlineStr">
        <is>
          <t>sonar</t>
        </is>
      </c>
      <c r="B161" s="9" t="inlineStr">
        <is>
          <t>symmetric</t>
        </is>
      </c>
      <c r="C161" s="31" t="n">
        <v>0.4</v>
      </c>
      <c r="D161" s="19" t="n">
        <v>0.553</v>
      </c>
      <c r="E161" s="19" t="n">
        <v>0.514</v>
      </c>
      <c r="F161" s="19" t="n">
        <v>0.534</v>
      </c>
      <c r="G161" s="19" t="n">
        <v>0.5669999999999999</v>
      </c>
      <c r="H161" s="19" t="n">
        <v>0.519</v>
      </c>
      <c r="I161" s="20">
        <f>IFERROR(AVERAGE(D161:H161),"-")</f>
        <v/>
      </c>
      <c r="J161" s="19" t="n">
        <v>0.529</v>
      </c>
      <c r="K161" s="19" t="n">
        <v>0.481</v>
      </c>
      <c r="L161" s="19" t="n">
        <v>0.553</v>
      </c>
      <c r="M161" s="19" t="n">
        <v>0.534</v>
      </c>
      <c r="N161" s="19" t="n">
        <v>0.6</v>
      </c>
      <c r="O161" s="20">
        <f>IFERROR(AVERAGE(J161:N161),"-")</f>
        <v/>
      </c>
      <c r="P161" s="32">
        <f>IFERROR(O161-I161,"-")</f>
        <v/>
      </c>
    </row>
    <row r="162" ht="15" customHeight="1" s="50">
      <c r="A162" s="9" t="inlineStr">
        <is>
          <t>sonar</t>
        </is>
      </c>
      <c r="B162" s="9" t="inlineStr">
        <is>
          <t>symmetric</t>
        </is>
      </c>
      <c r="C162" s="31" t="n">
        <v>0.5</v>
      </c>
      <c r="D162" s="19" t="n">
        <v>0.466</v>
      </c>
      <c r="E162" s="19" t="n">
        <v>0.52</v>
      </c>
      <c r="F162" s="19" t="n">
        <v>0.509</v>
      </c>
      <c r="G162" s="19" t="n">
        <v>0.5</v>
      </c>
      <c r="H162" s="19" t="n">
        <v>0.573</v>
      </c>
      <c r="I162" s="20">
        <f>IFERROR(AVERAGE(D162:H162),"-")</f>
        <v/>
      </c>
      <c r="J162" s="19" t="n">
        <v>0.447</v>
      </c>
      <c r="K162" s="19" t="n">
        <v>0.552</v>
      </c>
      <c r="L162" s="19" t="n">
        <v>0.49</v>
      </c>
      <c r="M162" s="19" t="n">
        <v>0.529</v>
      </c>
      <c r="N162" s="19" t="n">
        <v>0.5620000000000001</v>
      </c>
      <c r="O162" s="20">
        <f>IFERROR(AVERAGE(J162:N162),"-")</f>
        <v/>
      </c>
      <c r="P162" s="32">
        <f>IFERROR(O162-I162,"-")</f>
        <v/>
      </c>
    </row>
    <row r="163" ht="15" customHeight="1" s="50">
      <c r="A163" s="9" t="inlineStr">
        <is>
          <t>sonar</t>
        </is>
      </c>
      <c r="B163" s="9" t="inlineStr">
        <is>
          <t>asymmetric</t>
        </is>
      </c>
      <c r="C163" s="31" t="n">
        <v>0.2</v>
      </c>
      <c r="D163" s="19" t="n">
        <v>0.634</v>
      </c>
      <c r="E163" s="19" t="n">
        <v>0.592</v>
      </c>
      <c r="F163" s="19" t="n">
        <v>0.606</v>
      </c>
      <c r="G163" s="19" t="n">
        <v>0.659</v>
      </c>
      <c r="H163" s="19" t="n">
        <v>0.544</v>
      </c>
      <c r="I163" s="20">
        <f>IFERROR(AVERAGE(D163:H163),"-")</f>
        <v/>
      </c>
      <c r="J163" s="19" t="n">
        <v>0.654</v>
      </c>
      <c r="K163" s="19" t="n">
        <v>0.655</v>
      </c>
      <c r="L163" s="19" t="n">
        <v>0.62</v>
      </c>
      <c r="M163" s="19" t="n">
        <v>0.648</v>
      </c>
      <c r="N163" s="19" t="n">
        <v>0.601</v>
      </c>
      <c r="O163" s="20">
        <f>IFERROR(AVERAGE(J163:N163),"-")</f>
        <v/>
      </c>
      <c r="P163" s="32">
        <f>IFERROR(O163-I163,"-")</f>
        <v/>
      </c>
    </row>
    <row r="164" ht="15" customHeight="1" s="50">
      <c r="A164" s="9" t="inlineStr">
        <is>
          <t>sonar</t>
        </is>
      </c>
      <c r="B164" s="9" t="inlineStr">
        <is>
          <t>asymmetric</t>
        </is>
      </c>
      <c r="C164" s="31" t="n">
        <v>0.3</v>
      </c>
      <c r="D164" s="19" t="n">
        <v>0.5629999999999999</v>
      </c>
      <c r="E164" s="19" t="n">
        <v>0.591</v>
      </c>
      <c r="F164" s="19" t="n">
        <v>0.601</v>
      </c>
      <c r="G164" s="19" t="n">
        <v>0.6</v>
      </c>
      <c r="H164" s="19" t="n">
        <v>0.554</v>
      </c>
      <c r="I164" s="20">
        <f>IFERROR(AVERAGE(D164:H164),"-")</f>
        <v/>
      </c>
      <c r="J164" s="19" t="n">
        <v>0.658</v>
      </c>
      <c r="K164" s="19" t="n">
        <v>0.644</v>
      </c>
      <c r="L164" s="19" t="n">
        <v>0.659</v>
      </c>
      <c r="M164" s="19" t="n">
        <v>0.6870000000000001</v>
      </c>
      <c r="N164" s="19" t="n">
        <v>0.601</v>
      </c>
      <c r="O164" s="20">
        <f>IFERROR(AVERAGE(J164:N164),"-")</f>
        <v/>
      </c>
      <c r="P164" s="32">
        <f>IFERROR(O164-I164,"-")</f>
        <v/>
      </c>
    </row>
    <row r="165" ht="15" customHeight="1" s="50">
      <c r="A165" s="9" t="inlineStr">
        <is>
          <t>sonar</t>
        </is>
      </c>
      <c r="B165" s="9" t="inlineStr">
        <is>
          <t>asymmetric</t>
        </is>
      </c>
      <c r="C165" s="31" t="n">
        <v>0.4</v>
      </c>
      <c r="D165" s="19" t="n">
        <v>0.5620000000000001</v>
      </c>
      <c r="E165" s="19" t="n">
        <v>0.602</v>
      </c>
      <c r="F165" s="19" t="n">
        <v>0.572</v>
      </c>
      <c r="G165" s="19" t="n">
        <v>0.5620000000000001</v>
      </c>
      <c r="H165" s="19" t="n">
        <v>0.554</v>
      </c>
      <c r="I165" s="20">
        <f>IFERROR(AVERAGE(D165:H165),"-")</f>
        <v/>
      </c>
      <c r="J165" s="19" t="n">
        <v>0.63</v>
      </c>
      <c r="K165" s="19" t="n">
        <v>0.548</v>
      </c>
      <c r="L165" s="19" t="n">
        <v>0.62</v>
      </c>
      <c r="M165" s="19" t="n">
        <v>0.577</v>
      </c>
      <c r="N165" s="19" t="n">
        <v>0.606</v>
      </c>
      <c r="O165" s="20">
        <f>IFERROR(AVERAGE(J165:N165),"-")</f>
        <v/>
      </c>
      <c r="P165" s="32">
        <f>IFERROR(O165-I165,"-")</f>
        <v/>
      </c>
    </row>
    <row r="166" ht="15" customHeight="1" s="50">
      <c r="A166" s="9" t="inlineStr">
        <is>
          <t>sonar</t>
        </is>
      </c>
      <c r="B166" s="9" t="inlineStr">
        <is>
          <t>asymmetric</t>
        </is>
      </c>
      <c r="C166" s="31" t="n">
        <v>0.5</v>
      </c>
      <c r="D166" s="19" t="n">
        <v>0.529</v>
      </c>
      <c r="E166" s="19" t="n">
        <v>0.533</v>
      </c>
      <c r="F166" s="19" t="n">
        <v>0.515</v>
      </c>
      <c r="G166" s="19" t="n">
        <v>0.5</v>
      </c>
      <c r="H166" s="19" t="n">
        <v>0.553</v>
      </c>
      <c r="I166" s="20">
        <f>IFERROR(AVERAGE(D166:H166),"-")</f>
        <v/>
      </c>
      <c r="J166" s="19" t="n">
        <v>0.582</v>
      </c>
      <c r="K166" s="19" t="n">
        <v>0.577</v>
      </c>
      <c r="L166" s="19" t="n">
        <v>0.5669999999999999</v>
      </c>
      <c r="M166" s="19" t="n">
        <v>0.609</v>
      </c>
      <c r="N166" s="19" t="n">
        <v>0.572</v>
      </c>
      <c r="O166" s="20">
        <f>IFERROR(AVERAGE(J166:N166),"-")</f>
        <v/>
      </c>
      <c r="P166" s="32">
        <f>IFERROR(O166-I166,"-")</f>
        <v/>
      </c>
    </row>
    <row r="167" ht="15" customHeight="1" s="50">
      <c r="A167" s="9" t="inlineStr">
        <is>
          <t>sonar</t>
        </is>
      </c>
      <c r="B167" s="9" t="inlineStr">
        <is>
          <t>boundary</t>
        </is>
      </c>
      <c r="C167" s="31" t="n">
        <v>0.2</v>
      </c>
      <c r="D167" s="19" t="n">
        <v>0.625</v>
      </c>
      <c r="E167" s="19" t="n">
        <v>0.62</v>
      </c>
      <c r="F167" s="19" t="n">
        <v>0.664</v>
      </c>
      <c r="G167" s="19" t="n">
        <v>0.697</v>
      </c>
      <c r="H167" s="19" t="n">
        <v>0.61</v>
      </c>
      <c r="I167" s="20">
        <f>IFERROR(AVERAGE(D167:H167),"-")</f>
        <v/>
      </c>
      <c r="J167" s="19" t="n">
        <v>0.6929999999999999</v>
      </c>
      <c r="K167" s="19" t="n">
        <v>0.6830000000000001</v>
      </c>
      <c r="L167" s="19" t="n">
        <v>0.779</v>
      </c>
      <c r="M167" s="19" t="n">
        <v>0.72</v>
      </c>
      <c r="N167" s="19" t="n">
        <v>0.716</v>
      </c>
      <c r="O167" s="20">
        <f>IFERROR(AVERAGE(J167:N167),"-")</f>
        <v/>
      </c>
      <c r="P167" s="32">
        <f>IFERROR(O167-I167,"-")</f>
        <v/>
      </c>
    </row>
    <row r="168" ht="15" customHeight="1" s="50">
      <c r="A168" s="9" t="inlineStr">
        <is>
          <t>sonar</t>
        </is>
      </c>
      <c r="B168" s="9" t="inlineStr">
        <is>
          <t>boundary</t>
        </is>
      </c>
      <c r="C168" s="31" t="n">
        <v>0.3</v>
      </c>
      <c r="D168" s="19" t="n">
        <v>0.606</v>
      </c>
      <c r="E168" s="19" t="n">
        <v>0.581</v>
      </c>
      <c r="F168" s="19" t="n">
        <v>0.6830000000000001</v>
      </c>
      <c r="G168" s="19" t="n">
        <v>0.6870000000000001</v>
      </c>
      <c r="H168" s="19" t="n">
        <v>0.664</v>
      </c>
      <c r="I168" s="20">
        <f>IFERROR(AVERAGE(D168:H168),"-")</f>
        <v/>
      </c>
      <c r="J168" s="19" t="n">
        <v>0.653</v>
      </c>
      <c r="K168" s="19" t="n">
        <v>0.625</v>
      </c>
      <c r="L168" s="19" t="n">
        <v>0.698</v>
      </c>
      <c r="M168" s="19" t="n">
        <v>0.634</v>
      </c>
      <c r="N168" s="19" t="n">
        <v>0.6919999999999999</v>
      </c>
      <c r="O168" s="20">
        <f>IFERROR(AVERAGE(J168:N168),"-")</f>
        <v/>
      </c>
      <c r="P168" s="32">
        <f>IFERROR(O168-I168,"-")</f>
        <v/>
      </c>
    </row>
    <row r="169" ht="15" customHeight="1" s="50">
      <c r="A169" s="9" t="inlineStr">
        <is>
          <t>sonar</t>
        </is>
      </c>
      <c r="B169" s="9" t="inlineStr">
        <is>
          <t>boundary</t>
        </is>
      </c>
      <c r="C169" s="31" t="n">
        <v>0.4</v>
      </c>
      <c r="D169" s="19" t="n">
        <v>0.548</v>
      </c>
      <c r="E169" s="19" t="n">
        <v>0.548</v>
      </c>
      <c r="F169" s="19" t="n">
        <v>0.577</v>
      </c>
      <c r="G169" s="19" t="n">
        <v>0.611</v>
      </c>
      <c r="H169" s="19" t="n">
        <v>0.602</v>
      </c>
      <c r="I169" s="20">
        <f>IFERROR(AVERAGE(D169:H169),"-")</f>
        <v/>
      </c>
      <c r="J169" s="19" t="n">
        <v>0.591</v>
      </c>
      <c r="K169" s="19" t="n">
        <v>0.625</v>
      </c>
      <c r="L169" s="19" t="n">
        <v>0.582</v>
      </c>
      <c r="M169" s="19" t="n">
        <v>0.639</v>
      </c>
      <c r="N169" s="19" t="n">
        <v>0.634</v>
      </c>
      <c r="O169" s="20">
        <f>IFERROR(AVERAGE(J169:N169),"-")</f>
        <v/>
      </c>
      <c r="P169" s="32">
        <f>IFERROR(O169-I169,"-")</f>
        <v/>
      </c>
    </row>
    <row r="170" ht="15" customHeight="1" s="50">
      <c r="A170" s="9" t="inlineStr">
        <is>
          <t>sonar</t>
        </is>
      </c>
      <c r="B170" s="9" t="inlineStr">
        <is>
          <t>boundary</t>
        </is>
      </c>
      <c r="C170" s="31" t="n">
        <v>0.5</v>
      </c>
      <c r="D170" s="19" t="n">
        <v>0.505</v>
      </c>
      <c r="E170" s="19" t="n">
        <v>0.553</v>
      </c>
      <c r="F170" s="19" t="n">
        <v>0.509</v>
      </c>
      <c r="G170" s="19" t="n">
        <v>0.475</v>
      </c>
      <c r="H170" s="19" t="n">
        <v>0.49</v>
      </c>
      <c r="I170" s="20">
        <f>IFERROR(AVERAGE(D170:H170),"-")</f>
        <v/>
      </c>
      <c r="J170" s="19" t="n">
        <v>0.52</v>
      </c>
      <c r="K170" s="19" t="n">
        <v>0.505</v>
      </c>
      <c r="L170" s="19" t="n">
        <v>0.504</v>
      </c>
      <c r="M170" s="19" t="n">
        <v>0.485</v>
      </c>
      <c r="N170" s="19" t="n">
        <v>0.504</v>
      </c>
      <c r="O170" s="20">
        <f>IFERROR(AVERAGE(J170:N170),"-")</f>
        <v/>
      </c>
      <c r="P170" s="32">
        <f>IFERROR(O170-I170,"-")</f>
        <v/>
      </c>
    </row>
    <row r="171" ht="15" customHeight="1" s="50">
      <c r="A171" s="9" t="inlineStr">
        <is>
          <t>sonar</t>
        </is>
      </c>
      <c r="B171" s="9" t="inlineStr">
        <is>
          <t>far</t>
        </is>
      </c>
      <c r="C171" s="31" t="n">
        <v>0.2</v>
      </c>
      <c r="D171" s="19" t="n">
        <v>0.591</v>
      </c>
      <c r="E171" s="19" t="n">
        <v>0.602</v>
      </c>
      <c r="F171" s="19" t="n">
        <v>0.601</v>
      </c>
      <c r="G171" s="19" t="n">
        <v>0.543</v>
      </c>
      <c r="H171" s="19" t="n">
        <v>0.649</v>
      </c>
      <c r="I171" s="20">
        <f>IFERROR(AVERAGE(D171:H171),"-")</f>
        <v/>
      </c>
      <c r="J171" s="19" t="n">
        <v>0.596</v>
      </c>
      <c r="K171" s="19" t="n">
        <v>0.65</v>
      </c>
      <c r="L171" s="19" t="n">
        <v>0.697</v>
      </c>
      <c r="M171" s="19" t="n">
        <v>0.667</v>
      </c>
      <c r="N171" s="19" t="n">
        <v>0.659</v>
      </c>
      <c r="O171" s="20">
        <f>IFERROR(AVERAGE(J171:N171),"-")</f>
        <v/>
      </c>
      <c r="P171" s="32">
        <f>IFERROR(O171-I171,"-")</f>
        <v/>
      </c>
    </row>
    <row r="172" ht="15" customHeight="1" s="50">
      <c r="A172" s="9" t="inlineStr">
        <is>
          <t>sonar</t>
        </is>
      </c>
      <c r="B172" s="9" t="inlineStr">
        <is>
          <t>far</t>
        </is>
      </c>
      <c r="C172" s="31" t="n">
        <v>0.3</v>
      </c>
      <c r="D172" s="19" t="n">
        <v>0.5679999999999999</v>
      </c>
      <c r="E172" s="19" t="n">
        <v>0.572</v>
      </c>
      <c r="F172" s="19" t="n">
        <v>0.5</v>
      </c>
      <c r="G172" s="19" t="n">
        <v>0.5629999999999999</v>
      </c>
      <c r="H172" s="19" t="n">
        <v>0.51</v>
      </c>
      <c r="I172" s="20">
        <f>IFERROR(AVERAGE(D172:H172),"-")</f>
        <v/>
      </c>
      <c r="J172" s="19" t="n">
        <v>0.629</v>
      </c>
      <c r="K172" s="19" t="n">
        <v>0.602</v>
      </c>
      <c r="L172" s="19" t="n">
        <v>0.654</v>
      </c>
      <c r="M172" s="19" t="n">
        <v>0.702</v>
      </c>
      <c r="N172" s="19" t="n">
        <v>0.577</v>
      </c>
      <c r="O172" s="20">
        <f>IFERROR(AVERAGE(J172:N172),"-")</f>
        <v/>
      </c>
      <c r="P172" s="32">
        <f>IFERROR(O172-I172,"-")</f>
        <v/>
      </c>
    </row>
    <row r="173" ht="15" customHeight="1" s="50">
      <c r="A173" s="9" t="inlineStr">
        <is>
          <t>sonar</t>
        </is>
      </c>
      <c r="B173" s="9" t="inlineStr">
        <is>
          <t>far</t>
        </is>
      </c>
      <c r="C173" s="31" t="n">
        <v>0.4</v>
      </c>
      <c r="D173" s="19" t="n">
        <v>0.499</v>
      </c>
      <c r="E173" s="19" t="n">
        <v>0.524</v>
      </c>
      <c r="F173" s="19" t="n">
        <v>0.577</v>
      </c>
      <c r="G173" s="19" t="n">
        <v>0.539</v>
      </c>
      <c r="H173" s="19" t="n">
        <v>0.573</v>
      </c>
      <c r="I173" s="20">
        <f>IFERROR(AVERAGE(D173:H173),"-")</f>
        <v/>
      </c>
      <c r="J173" s="19" t="n">
        <v>0.586</v>
      </c>
      <c r="K173" s="19" t="n">
        <v>0.523</v>
      </c>
      <c r="L173" s="19" t="n">
        <v>0.587</v>
      </c>
      <c r="M173" s="19" t="n">
        <v>0.587</v>
      </c>
      <c r="N173" s="19" t="n">
        <v>0.606</v>
      </c>
      <c r="O173" s="20">
        <f>IFERROR(AVERAGE(J173:N173),"-")</f>
        <v/>
      </c>
      <c r="P173" s="32">
        <f>IFERROR(O173-I173,"-")</f>
        <v/>
      </c>
    </row>
    <row r="174" ht="15" customHeight="1" s="50">
      <c r="A174" s="9" t="inlineStr">
        <is>
          <t>sonar</t>
        </is>
      </c>
      <c r="B174" s="9" t="inlineStr">
        <is>
          <t>far</t>
        </is>
      </c>
      <c r="C174" s="31" t="n">
        <v>0.5</v>
      </c>
      <c r="D174" s="19" t="n">
        <v>0.485</v>
      </c>
      <c r="E174" s="19" t="n">
        <v>0.529</v>
      </c>
      <c r="F174" s="19" t="n">
        <v>0.519</v>
      </c>
      <c r="G174" s="19" t="n">
        <v>0.529</v>
      </c>
      <c r="H174" s="19" t="n">
        <v>0.496</v>
      </c>
      <c r="I174" s="20">
        <f>IFERROR(AVERAGE(D174:H174),"-")</f>
        <v/>
      </c>
      <c r="J174" s="19" t="n">
        <v>0.509</v>
      </c>
      <c r="K174" s="19" t="n">
        <v>0.577</v>
      </c>
      <c r="L174" s="19" t="n">
        <v>0.514</v>
      </c>
      <c r="M174" s="19" t="n">
        <v>0.5580000000000001</v>
      </c>
      <c r="N174" s="19" t="n">
        <v>0.519</v>
      </c>
      <c r="O174" s="20">
        <f>IFERROR(AVERAGE(J174:N174),"-")</f>
        <v/>
      </c>
      <c r="P174" s="32">
        <f>IFERROR(O174-I174,"-")</f>
        <v/>
      </c>
    </row>
    <row r="175"/>
    <row r="176" ht="15" customHeight="1" s="50">
      <c r="A176" s="15" t="inlineStr">
        <is>
          <t>Bảng trung bình qua 10 bộ (mỗi (loại,mức): TB của cột 'hard TB' / 'wave TB' trên 10 bộ)</t>
        </is>
      </c>
    </row>
    <row r="177" ht="15" customHeight="1" s="50">
      <c r="A177" s="33" t="inlineStr">
        <is>
          <t>kind</t>
        </is>
      </c>
      <c r="B177" s="33" t="inlineStr">
        <is>
          <t>rate</t>
        </is>
      </c>
      <c r="C177" s="33" t="inlineStr">
        <is>
          <t>hard</t>
        </is>
      </c>
      <c r="D177" s="33" t="inlineStr">
        <is>
          <t>wave</t>
        </is>
      </c>
      <c r="E177" s="33" t="inlineStr">
        <is>
          <t>Δ (wave-hard)</t>
        </is>
      </c>
    </row>
    <row r="178" ht="15" customHeight="1" s="50">
      <c r="A178" s="34" t="inlineStr">
        <is>
          <t>(clean)</t>
        </is>
      </c>
      <c r="B178" s="35" t="n">
        <v>0</v>
      </c>
      <c r="C178" s="22">
        <f>AVERAGEIFS($I$5:$I$174,$B$5:$B$174,A178,$C$5:$C$174,B178)</f>
        <v/>
      </c>
      <c r="D178" s="22">
        <f>AVERAGEIFS($O$5:$O$174,$B$5:$B$174,A178,$C$5:$C$174,B178)</f>
        <v/>
      </c>
      <c r="E178" s="23">
        <f>D178-C178</f>
        <v/>
      </c>
    </row>
    <row r="179" ht="15" customHeight="1" s="50">
      <c r="A179" s="34" t="inlineStr">
        <is>
          <t>symmetric</t>
        </is>
      </c>
      <c r="B179" s="35" t="n">
        <v>0.2</v>
      </c>
      <c r="C179" s="22">
        <f>AVERAGEIFS($I$5:$I$174,$B$5:$B$174,A179,$C$5:$C$174,B179)</f>
        <v/>
      </c>
      <c r="D179" s="22">
        <f>AVERAGEIFS($O$5:$O$174,$B$5:$B$174,A179,$C$5:$C$174,B179)</f>
        <v/>
      </c>
      <c r="E179" s="23">
        <f>D179-C179</f>
        <v/>
      </c>
    </row>
    <row r="180" ht="15" customHeight="1" s="50">
      <c r="A180" s="34" t="inlineStr">
        <is>
          <t>symmetric</t>
        </is>
      </c>
      <c r="B180" s="35" t="n">
        <v>0.3</v>
      </c>
      <c r="C180" s="22">
        <f>AVERAGEIFS($I$5:$I$174,$B$5:$B$174,A180,$C$5:$C$174,B180)</f>
        <v/>
      </c>
      <c r="D180" s="22">
        <f>AVERAGEIFS($O$5:$O$174,$B$5:$B$174,A180,$C$5:$C$174,B180)</f>
        <v/>
      </c>
      <c r="E180" s="23">
        <f>D180-C180</f>
        <v/>
      </c>
    </row>
    <row r="181" ht="15" customHeight="1" s="50">
      <c r="A181" s="34" t="inlineStr">
        <is>
          <t>symmetric</t>
        </is>
      </c>
      <c r="B181" s="35" t="n">
        <v>0.4</v>
      </c>
      <c r="C181" s="22">
        <f>AVERAGEIFS($I$5:$I$174,$B$5:$B$174,A181,$C$5:$C$174,B181)</f>
        <v/>
      </c>
      <c r="D181" s="22">
        <f>AVERAGEIFS($O$5:$O$174,$B$5:$B$174,A181,$C$5:$C$174,B181)</f>
        <v/>
      </c>
      <c r="E181" s="23">
        <f>D181-C181</f>
        <v/>
      </c>
    </row>
    <row r="182" ht="15" customHeight="1" s="50">
      <c r="A182" s="34" t="inlineStr">
        <is>
          <t>symmetric</t>
        </is>
      </c>
      <c r="B182" s="35" t="n">
        <v>0.5</v>
      </c>
      <c r="C182" s="22">
        <f>AVERAGEIFS($I$5:$I$174,$B$5:$B$174,A182,$C$5:$C$174,B182)</f>
        <v/>
      </c>
      <c r="D182" s="22">
        <f>AVERAGEIFS($O$5:$O$174,$B$5:$B$174,A182,$C$5:$C$174,B182)</f>
        <v/>
      </c>
      <c r="E182" s="23">
        <f>D182-C182</f>
        <v/>
      </c>
    </row>
    <row r="183" ht="15" customHeight="1" s="50">
      <c r="A183" s="34" t="inlineStr">
        <is>
          <t>asymmetric</t>
        </is>
      </c>
      <c r="B183" s="35" t="n">
        <v>0.2</v>
      </c>
      <c r="C183" s="22">
        <f>AVERAGEIFS($I$5:$I$174,$B$5:$B$174,A183,$C$5:$C$174,B183)</f>
        <v/>
      </c>
      <c r="D183" s="22">
        <f>AVERAGEIFS($O$5:$O$174,$B$5:$B$174,A183,$C$5:$C$174,B183)</f>
        <v/>
      </c>
      <c r="E183" s="23">
        <f>D183-C183</f>
        <v/>
      </c>
    </row>
    <row r="184" ht="15" customHeight="1" s="50">
      <c r="A184" s="34" t="inlineStr">
        <is>
          <t>asymmetric</t>
        </is>
      </c>
      <c r="B184" s="35" t="n">
        <v>0.3</v>
      </c>
      <c r="C184" s="22">
        <f>AVERAGEIFS($I$5:$I$174,$B$5:$B$174,A184,$C$5:$C$174,B184)</f>
        <v/>
      </c>
      <c r="D184" s="22">
        <f>AVERAGEIFS($O$5:$O$174,$B$5:$B$174,A184,$C$5:$C$174,B184)</f>
        <v/>
      </c>
      <c r="E184" s="23">
        <f>D184-C184</f>
        <v/>
      </c>
    </row>
    <row r="185" ht="15" customHeight="1" s="50">
      <c r="A185" s="34" t="inlineStr">
        <is>
          <t>asymmetric</t>
        </is>
      </c>
      <c r="B185" s="35" t="n">
        <v>0.4</v>
      </c>
      <c r="C185" s="22">
        <f>AVERAGEIFS($I$5:$I$174,$B$5:$B$174,A185,$C$5:$C$174,B185)</f>
        <v/>
      </c>
      <c r="D185" s="22">
        <f>AVERAGEIFS($O$5:$O$174,$B$5:$B$174,A185,$C$5:$C$174,B185)</f>
        <v/>
      </c>
      <c r="E185" s="23">
        <f>D185-C185</f>
        <v/>
      </c>
    </row>
    <row r="186" ht="15" customHeight="1" s="50">
      <c r="A186" s="34" t="inlineStr">
        <is>
          <t>asymmetric</t>
        </is>
      </c>
      <c r="B186" s="35" t="n">
        <v>0.5</v>
      </c>
      <c r="C186" s="22">
        <f>AVERAGEIFS($I$5:$I$174,$B$5:$B$174,A186,$C$5:$C$174,B186)</f>
        <v/>
      </c>
      <c r="D186" s="22">
        <f>AVERAGEIFS($O$5:$O$174,$B$5:$B$174,A186,$C$5:$C$174,B186)</f>
        <v/>
      </c>
      <c r="E186" s="23">
        <f>D186-C186</f>
        <v/>
      </c>
    </row>
    <row r="187" ht="15" customHeight="1" s="50">
      <c r="A187" s="34" t="inlineStr">
        <is>
          <t>boundary</t>
        </is>
      </c>
      <c r="B187" s="35" t="n">
        <v>0.2</v>
      </c>
      <c r="C187" s="22">
        <f>AVERAGEIFS($I$5:$I$174,$B$5:$B$174,A187,$C$5:$C$174,B187)</f>
        <v/>
      </c>
      <c r="D187" s="22">
        <f>AVERAGEIFS($O$5:$O$174,$B$5:$B$174,A187,$C$5:$C$174,B187)</f>
        <v/>
      </c>
      <c r="E187" s="23">
        <f>D187-C187</f>
        <v/>
      </c>
    </row>
    <row r="188" ht="15" customHeight="1" s="50">
      <c r="A188" s="34" t="inlineStr">
        <is>
          <t>boundary</t>
        </is>
      </c>
      <c r="B188" s="35" t="n">
        <v>0.3</v>
      </c>
      <c r="C188" s="22">
        <f>AVERAGEIFS($I$5:$I$174,$B$5:$B$174,A188,$C$5:$C$174,B188)</f>
        <v/>
      </c>
      <c r="D188" s="22">
        <f>AVERAGEIFS($O$5:$O$174,$B$5:$B$174,A188,$C$5:$C$174,B188)</f>
        <v/>
      </c>
      <c r="E188" s="23">
        <f>D188-C188</f>
        <v/>
      </c>
    </row>
    <row r="189" ht="15" customHeight="1" s="50">
      <c r="A189" s="34" t="inlineStr">
        <is>
          <t>boundary</t>
        </is>
      </c>
      <c r="B189" s="35" t="n">
        <v>0.4</v>
      </c>
      <c r="C189" s="22">
        <f>AVERAGEIFS($I$5:$I$174,$B$5:$B$174,A189,$C$5:$C$174,B189)</f>
        <v/>
      </c>
      <c r="D189" s="22">
        <f>AVERAGEIFS($O$5:$O$174,$B$5:$B$174,A189,$C$5:$C$174,B189)</f>
        <v/>
      </c>
      <c r="E189" s="23">
        <f>D189-C189</f>
        <v/>
      </c>
    </row>
    <row r="190" ht="15" customHeight="1" s="50">
      <c r="A190" s="34" t="inlineStr">
        <is>
          <t>boundary</t>
        </is>
      </c>
      <c r="B190" s="35" t="n">
        <v>0.5</v>
      </c>
      <c r="C190" s="22">
        <f>AVERAGEIFS($I$5:$I$174,$B$5:$B$174,A190,$C$5:$C$174,B190)</f>
        <v/>
      </c>
      <c r="D190" s="22">
        <f>AVERAGEIFS($O$5:$O$174,$B$5:$B$174,A190,$C$5:$C$174,B190)</f>
        <v/>
      </c>
      <c r="E190" s="23">
        <f>D190-C190</f>
        <v/>
      </c>
    </row>
    <row r="191" ht="15" customHeight="1" s="50">
      <c r="A191" s="34" t="inlineStr">
        <is>
          <t>far</t>
        </is>
      </c>
      <c r="B191" s="35" t="n">
        <v>0.2</v>
      </c>
      <c r="C191" s="22">
        <f>AVERAGEIFS($I$5:$I$174,$B$5:$B$174,A191,$C$5:$C$174,B191)</f>
        <v/>
      </c>
      <c r="D191" s="22">
        <f>AVERAGEIFS($O$5:$O$174,$B$5:$B$174,A191,$C$5:$C$174,B191)</f>
        <v/>
      </c>
      <c r="E191" s="23">
        <f>D191-C191</f>
        <v/>
      </c>
    </row>
    <row r="192" ht="15" customHeight="1" s="50">
      <c r="A192" s="34" t="inlineStr">
        <is>
          <t>far</t>
        </is>
      </c>
      <c r="B192" s="35" t="n">
        <v>0.3</v>
      </c>
      <c r="C192" s="22">
        <f>AVERAGEIFS($I$5:$I$174,$B$5:$B$174,A192,$C$5:$C$174,B192)</f>
        <v/>
      </c>
      <c r="D192" s="22">
        <f>AVERAGEIFS($O$5:$O$174,$B$5:$B$174,A192,$C$5:$C$174,B192)</f>
        <v/>
      </c>
      <c r="E192" s="23">
        <f>D192-C192</f>
        <v/>
      </c>
    </row>
    <row r="193" ht="15" customHeight="1" s="50">
      <c r="A193" s="34" t="inlineStr">
        <is>
          <t>far</t>
        </is>
      </c>
      <c r="B193" s="35" t="n">
        <v>0.4</v>
      </c>
      <c r="C193" s="22">
        <f>AVERAGEIFS($I$5:$I$174,$B$5:$B$174,A193,$C$5:$C$174,B193)</f>
        <v/>
      </c>
      <c r="D193" s="22">
        <f>AVERAGEIFS($O$5:$O$174,$B$5:$B$174,A193,$C$5:$C$174,B193)</f>
        <v/>
      </c>
      <c r="E193" s="23">
        <f>D193-C193</f>
        <v/>
      </c>
    </row>
    <row r="194" ht="15" customHeight="1" s="50">
      <c r="A194" s="34" t="inlineStr">
        <is>
          <t>far</t>
        </is>
      </c>
      <c r="B194" s="35" t="n">
        <v>0.5</v>
      </c>
      <c r="C194" s="22">
        <f>AVERAGEIFS($I$5:$I$174,$B$5:$B$174,A194,$C$5:$C$174,B194)</f>
        <v/>
      </c>
      <c r="D194" s="22">
        <f>AVERAGEIFS($O$5:$O$174,$B$5:$B$174,A194,$C$5:$C$174,B194)</f>
        <v/>
      </c>
      <c r="E194" s="23">
        <f>D194-C194</f>
        <v/>
      </c>
    </row>
    <row r="195" ht="15" customHeight="1" s="50">
      <c r="A195" s="24" t="inlineStr">
        <is>
          <t>Trung bình tất cả</t>
        </is>
      </c>
      <c r="B195" s="25" t="n"/>
      <c r="C195" s="26">
        <f>AVERAGE(C178:C194)</f>
        <v/>
      </c>
      <c r="D195" s="26">
        <f>AVERAGE(D178:D194)</f>
        <v/>
      </c>
      <c r="E195" s="27">
        <f>AVERAGE(E178:E194)</f>
        <v/>
      </c>
    </row>
  </sheetData>
  <mergeCells count="1">
    <mergeCell ref="A3:N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7109375" defaultRowHeight="15"/>
  <cols>
    <col width="15" customWidth="1" style="50" min="1" max="1"/>
    <col width="12" customWidth="1" style="50" min="2" max="2"/>
    <col width="6" customWidth="1" style="50" min="3" max="3"/>
    <col width="8" customWidth="1" style="50" min="4" max="16"/>
  </cols>
  <sheetData>
    <row r="1" ht="17.25" customHeight="1" s="50">
      <c r="A1" s="6" t="inlineStr">
        <is>
          <t>Đa seed, kernel RBF (Gauss), chi tiết 10 bộ (hard &amp; wave)</t>
        </is>
      </c>
    </row>
    <row r="2" ht="42" customHeight="1" s="50">
      <c r="A2" s="52" t="inlineStr">
        <is>
          <t>Lưu Ý: λ cố định = 1 (như sheet 7). Trên RBF, wave thua hard ở hầu hết ô (Δ toàn cục ≈ −0.02), khác hẳn linear. Λ=1 không hợp không gian RBF; best λ khác nhau mỗi bộ, tuned cũng chỉ thắng 2/3 bộ. Kết luận: lợi thế của Wave chủ yếu ở kernel tuyến tính.</t>
        </is>
      </c>
    </row>
    <row r="3" ht="42" customHeight="1" s="50">
      <c r="A3" s="51" t="inlineStr">
        <is>
          <t>Tham số (cố định, không tune): hard d=0.1, eps=0.05 · wave C=10, λ=1, kappa=0 · kernel RBF (rbfmap 300 landmark, gamma=scale) · steps=300 · 5-fold.  → λ=1 không hợp RBF nên wave bị thiệt.</t>
        </is>
      </c>
    </row>
    <row r="4" ht="24.75" customHeight="1" s="50">
      <c r="A4" s="36" t="inlineStr">
        <is>
          <t>dataset</t>
        </is>
      </c>
      <c r="B4" s="36" t="inlineStr">
        <is>
          <t>kind</t>
        </is>
      </c>
      <c r="C4" s="36" t="inlineStr">
        <is>
          <t>rate</t>
        </is>
      </c>
      <c r="D4" s="36" t="inlineStr">
        <is>
          <t>hard s0</t>
        </is>
      </c>
      <c r="E4" s="36" t="inlineStr">
        <is>
          <t>hard s1</t>
        </is>
      </c>
      <c r="F4" s="36" t="inlineStr">
        <is>
          <t>hard s2</t>
        </is>
      </c>
      <c r="G4" s="36" t="inlineStr">
        <is>
          <t>hard s3</t>
        </is>
      </c>
      <c r="H4" s="36" t="inlineStr">
        <is>
          <t>hard s4</t>
        </is>
      </c>
      <c r="I4" s="36" t="inlineStr">
        <is>
          <t>hard TB</t>
        </is>
      </c>
      <c r="J4" s="36" t="inlineStr">
        <is>
          <t>wave s0</t>
        </is>
      </c>
      <c r="K4" s="36" t="inlineStr">
        <is>
          <t>wave s1</t>
        </is>
      </c>
      <c r="L4" s="36" t="inlineStr">
        <is>
          <t>wave s2</t>
        </is>
      </c>
      <c r="M4" s="36" t="inlineStr">
        <is>
          <t>wave s3</t>
        </is>
      </c>
      <c r="N4" s="36" t="inlineStr">
        <is>
          <t>wave s4</t>
        </is>
      </c>
      <c r="O4" s="36" t="inlineStr">
        <is>
          <t>wave TB</t>
        </is>
      </c>
      <c r="P4" s="36" t="inlineStr">
        <is>
          <t>Δ</t>
        </is>
      </c>
    </row>
    <row r="5" ht="15" customHeight="1" s="50">
      <c r="A5" s="9" t="inlineStr">
        <is>
          <t>SPECTF</t>
        </is>
      </c>
      <c r="B5" s="9" t="inlineStr">
        <is>
          <t>(clean)</t>
        </is>
      </c>
      <c r="C5" s="31" t="n">
        <v>0</v>
      </c>
      <c r="D5" s="19" t="n">
        <v>0.8090000000000001</v>
      </c>
      <c r="E5" s="19" t="n">
        <v>0.8090000000000001</v>
      </c>
      <c r="F5" s="19" t="n">
        <v>0.802</v>
      </c>
      <c r="G5" s="19" t="n">
        <v>0.787</v>
      </c>
      <c r="H5" s="19" t="n">
        <v>0.79</v>
      </c>
      <c r="I5" s="20">
        <f>IFERROR(AVERAGE(D5:H5),"-")</f>
        <v/>
      </c>
      <c r="J5" s="19" t="n">
        <v>0.8129999999999999</v>
      </c>
      <c r="K5" s="19" t="n">
        <v>0.719</v>
      </c>
      <c r="L5" s="19" t="n">
        <v>0.787</v>
      </c>
      <c r="M5" s="19" t="n">
        <v>0.779</v>
      </c>
      <c r="N5" s="19" t="n">
        <v>0.783</v>
      </c>
      <c r="O5" s="20">
        <f>IFERROR(AVERAGE(J5:N5),"-")</f>
        <v/>
      </c>
      <c r="P5" s="32">
        <f>IFERROR(O5-I5,"-")</f>
        <v/>
      </c>
    </row>
    <row r="6" ht="15" customHeight="1" s="50">
      <c r="A6" s="9" t="inlineStr">
        <is>
          <t>SPECTF</t>
        </is>
      </c>
      <c r="B6" s="9" t="inlineStr">
        <is>
          <t>symmetric</t>
        </is>
      </c>
      <c r="C6" s="31" t="n">
        <v>0.2</v>
      </c>
      <c r="D6" s="19" t="n">
        <v>0.753</v>
      </c>
      <c r="E6" s="19" t="n">
        <v>0.738</v>
      </c>
      <c r="F6" s="19" t="n">
        <v>0.73</v>
      </c>
      <c r="G6" s="19" t="n">
        <v>0.734</v>
      </c>
      <c r="H6" s="19" t="n">
        <v>0.712</v>
      </c>
      <c r="I6" s="20">
        <f>IFERROR(AVERAGE(D6:H6),"-")</f>
        <v/>
      </c>
      <c r="J6" s="19" t="n">
        <v>0.783</v>
      </c>
      <c r="K6" s="19" t="n">
        <v>0.678</v>
      </c>
      <c r="L6" s="19" t="n">
        <v>0.73</v>
      </c>
      <c r="M6" s="19" t="n">
        <v>0.681</v>
      </c>
      <c r="N6" s="19" t="n">
        <v>0.666</v>
      </c>
      <c r="O6" s="20">
        <f>IFERROR(AVERAGE(J6:N6),"-")</f>
        <v/>
      </c>
      <c r="P6" s="32">
        <f>IFERROR(O6-I6,"-")</f>
        <v/>
      </c>
    </row>
    <row r="7" ht="15" customHeight="1" s="50">
      <c r="A7" s="9" t="inlineStr">
        <is>
          <t>SPECTF</t>
        </is>
      </c>
      <c r="B7" s="9" t="inlineStr">
        <is>
          <t>symmetric</t>
        </is>
      </c>
      <c r="C7" s="31" t="n">
        <v>0.3</v>
      </c>
      <c r="D7" s="19" t="n">
        <v>0.656</v>
      </c>
      <c r="E7" s="19" t="n">
        <v>0.656</v>
      </c>
      <c r="F7" s="19" t="n">
        <v>0.666</v>
      </c>
      <c r="G7" s="19" t="n">
        <v>0.6860000000000001</v>
      </c>
      <c r="H7" s="19" t="n">
        <v>0.614</v>
      </c>
      <c r="I7" s="20">
        <f>IFERROR(AVERAGE(D7:H7),"-")</f>
        <v/>
      </c>
      <c r="J7" s="19" t="n">
        <v>0.678</v>
      </c>
      <c r="K7" s="19" t="n">
        <v>0.704</v>
      </c>
      <c r="L7" s="19" t="n">
        <v>0.678</v>
      </c>
      <c r="M7" s="19" t="n">
        <v>0.67</v>
      </c>
      <c r="N7" s="19" t="n">
        <v>0.666</v>
      </c>
      <c r="O7" s="20">
        <f>IFERROR(AVERAGE(J7:N7),"-")</f>
        <v/>
      </c>
      <c r="P7" s="32">
        <f>IFERROR(O7-I7,"-")</f>
        <v/>
      </c>
    </row>
    <row r="8" ht="15" customHeight="1" s="50">
      <c r="A8" s="9" t="inlineStr">
        <is>
          <t>SPECTF</t>
        </is>
      </c>
      <c r="B8" s="9" t="inlineStr">
        <is>
          <t>symmetric</t>
        </is>
      </c>
      <c r="C8" s="31" t="n">
        <v>0.4</v>
      </c>
      <c r="D8" s="19" t="n">
        <v>0.618</v>
      </c>
      <c r="E8" s="19" t="n">
        <v>0.543</v>
      </c>
      <c r="F8" s="19" t="n">
        <v>0.547</v>
      </c>
      <c r="G8" s="19" t="n">
        <v>0.595</v>
      </c>
      <c r="H8" s="19" t="n">
        <v>0.588</v>
      </c>
      <c r="I8" s="20">
        <f>IFERROR(AVERAGE(D8:H8),"-")</f>
        <v/>
      </c>
      <c r="J8" s="19" t="n">
        <v>0.666</v>
      </c>
      <c r="K8" s="19" t="n">
        <v>0.584</v>
      </c>
      <c r="L8" s="19" t="n">
        <v>0.638</v>
      </c>
      <c r="M8" s="19" t="n">
        <v>0.633</v>
      </c>
      <c r="N8" s="19" t="n">
        <v>0.64</v>
      </c>
      <c r="O8" s="20">
        <f>IFERROR(AVERAGE(J8:N8),"-")</f>
        <v/>
      </c>
      <c r="P8" s="32">
        <f>IFERROR(O8-I8,"-")</f>
        <v/>
      </c>
    </row>
    <row r="9" ht="15" customHeight="1" s="50">
      <c r="A9" s="9" t="inlineStr">
        <is>
          <t>SPECTF</t>
        </is>
      </c>
      <c r="B9" s="9" t="inlineStr">
        <is>
          <t>symmetric</t>
        </is>
      </c>
      <c r="C9" s="31" t="n">
        <v>0.5</v>
      </c>
      <c r="D9" s="19" t="n">
        <v>0.547</v>
      </c>
      <c r="E9" s="19" t="n">
        <v>0.494</v>
      </c>
      <c r="F9" s="19" t="n">
        <v>0.528</v>
      </c>
      <c r="G9" s="19" t="n">
        <v>0.445</v>
      </c>
      <c r="H9" s="19" t="n">
        <v>0.509</v>
      </c>
      <c r="I9" s="20">
        <f>IFERROR(AVERAGE(D9:H9),"-")</f>
        <v/>
      </c>
      <c r="J9" s="19" t="n">
        <v>0.592</v>
      </c>
      <c r="K9" s="19" t="n">
        <v>0.584</v>
      </c>
      <c r="L9" s="19" t="n">
        <v>0.408</v>
      </c>
      <c r="M9" s="19" t="n">
        <v>0.553</v>
      </c>
      <c r="N9" s="19" t="n">
        <v>0.504</v>
      </c>
      <c r="O9" s="20">
        <f>IFERROR(AVERAGE(J9:N9),"-")</f>
        <v/>
      </c>
      <c r="P9" s="32">
        <f>IFERROR(O9-I9,"-")</f>
        <v/>
      </c>
    </row>
    <row r="10" ht="15" customHeight="1" s="50">
      <c r="A10" s="9" t="inlineStr">
        <is>
          <t>SPECTF</t>
        </is>
      </c>
      <c r="B10" s="9" t="inlineStr">
        <is>
          <t>asymmetric</t>
        </is>
      </c>
      <c r="C10" s="31" t="n">
        <v>0.2</v>
      </c>
      <c r="D10" s="19" t="n">
        <v>0.794</v>
      </c>
      <c r="E10" s="19" t="n">
        <v>0.8129999999999999</v>
      </c>
      <c r="F10" s="19" t="n">
        <v>0.824</v>
      </c>
      <c r="G10" s="19" t="n">
        <v>0.779</v>
      </c>
      <c r="H10" s="19" t="n">
        <v>0.798</v>
      </c>
      <c r="I10" s="20">
        <f>IFERROR(AVERAGE(D10:H10),"-")</f>
        <v/>
      </c>
      <c r="J10" s="19" t="n">
        <v>0.801</v>
      </c>
      <c r="K10" s="19" t="n">
        <v>0.801</v>
      </c>
      <c r="L10" s="19" t="n">
        <v>0.786</v>
      </c>
      <c r="M10" s="19" t="n">
        <v>0.786</v>
      </c>
      <c r="N10" s="19" t="n">
        <v>0.8169999999999999</v>
      </c>
      <c r="O10" s="20">
        <f>IFERROR(AVERAGE(J10:N10),"-")</f>
        <v/>
      </c>
      <c r="P10" s="32">
        <f>IFERROR(O10-I10,"-")</f>
        <v/>
      </c>
    </row>
    <row r="11" ht="15" customHeight="1" s="50">
      <c r="A11" s="9" t="inlineStr">
        <is>
          <t>SPECTF</t>
        </is>
      </c>
      <c r="B11" s="9" t="inlineStr">
        <is>
          <t>asymmetric</t>
        </is>
      </c>
      <c r="C11" s="31" t="n">
        <v>0.3</v>
      </c>
      <c r="D11" s="19" t="n">
        <v>0.787</v>
      </c>
      <c r="E11" s="19" t="n">
        <v>0.8090000000000001</v>
      </c>
      <c r="F11" s="19" t="n">
        <v>0.8090000000000001</v>
      </c>
      <c r="G11" s="19" t="n">
        <v>0.798</v>
      </c>
      <c r="H11" s="19" t="n">
        <v>0.798</v>
      </c>
      <c r="I11" s="20">
        <f>IFERROR(AVERAGE(D11:H11),"-")</f>
        <v/>
      </c>
      <c r="J11" s="19" t="n">
        <v>0.798</v>
      </c>
      <c r="K11" s="19" t="n">
        <v>0.798</v>
      </c>
      <c r="L11" s="19" t="n">
        <v>0.794</v>
      </c>
      <c r="M11" s="19" t="n">
        <v>0.771</v>
      </c>
      <c r="N11" s="19" t="n">
        <v>0.798</v>
      </c>
      <c r="O11" s="20">
        <f>IFERROR(AVERAGE(J11:N11),"-")</f>
        <v/>
      </c>
      <c r="P11" s="32">
        <f>IFERROR(O11-I11,"-")</f>
        <v/>
      </c>
    </row>
    <row r="12" ht="15" customHeight="1" s="50">
      <c r="A12" s="9" t="inlineStr">
        <is>
          <t>SPECTF</t>
        </is>
      </c>
      <c r="B12" s="9" t="inlineStr">
        <is>
          <t>asymmetric</t>
        </is>
      </c>
      <c r="C12" s="31" t="n">
        <v>0.4</v>
      </c>
      <c r="D12" s="19" t="n">
        <v>0.771</v>
      </c>
      <c r="E12" s="19" t="n">
        <v>0.828</v>
      </c>
      <c r="F12" s="19" t="n">
        <v>0.787</v>
      </c>
      <c r="G12" s="19" t="n">
        <v>0.79</v>
      </c>
      <c r="H12" s="19" t="n">
        <v>0.8090000000000001</v>
      </c>
      <c r="I12" s="20">
        <f>IFERROR(AVERAGE(D12:H12),"-")</f>
        <v/>
      </c>
      <c r="J12" s="19" t="n">
        <v>0.79</v>
      </c>
      <c r="K12" s="19" t="n">
        <v>0.8129999999999999</v>
      </c>
      <c r="L12" s="19" t="n">
        <v>0.805</v>
      </c>
      <c r="M12" s="19" t="n">
        <v>0.8129999999999999</v>
      </c>
      <c r="N12" s="19" t="n">
        <v>0.798</v>
      </c>
      <c r="O12" s="20">
        <f>IFERROR(AVERAGE(J12:N12),"-")</f>
        <v/>
      </c>
      <c r="P12" s="32">
        <f>IFERROR(O12-I12,"-")</f>
        <v/>
      </c>
    </row>
    <row r="13" ht="15" customHeight="1" s="50">
      <c r="A13" s="9" t="inlineStr">
        <is>
          <t>SPECTF</t>
        </is>
      </c>
      <c r="B13" s="9" t="inlineStr">
        <is>
          <t>asymmetric</t>
        </is>
      </c>
      <c r="C13" s="31" t="n">
        <v>0.5</v>
      </c>
      <c r="D13" s="19" t="n">
        <v>0.8090000000000001</v>
      </c>
      <c r="E13" s="19" t="n">
        <v>0.8129999999999999</v>
      </c>
      <c r="F13" s="19" t="n">
        <v>0.783</v>
      </c>
      <c r="G13" s="19" t="n">
        <v>0.79</v>
      </c>
      <c r="H13" s="19" t="n">
        <v>0.8090000000000001</v>
      </c>
      <c r="I13" s="20">
        <f>IFERROR(AVERAGE(D13:H13),"-")</f>
        <v/>
      </c>
      <c r="J13" s="19" t="n">
        <v>0.783</v>
      </c>
      <c r="K13" s="19" t="n">
        <v>0.798</v>
      </c>
      <c r="L13" s="19" t="n">
        <v>0.801</v>
      </c>
      <c r="M13" s="19" t="n">
        <v>0.832</v>
      </c>
      <c r="N13" s="19" t="n">
        <v>0.805</v>
      </c>
      <c r="O13" s="20">
        <f>IFERROR(AVERAGE(J13:N13),"-")</f>
        <v/>
      </c>
      <c r="P13" s="32">
        <f>IFERROR(O13-I13,"-")</f>
        <v/>
      </c>
    </row>
    <row r="14" ht="15" customHeight="1" s="50">
      <c r="A14" s="9" t="inlineStr">
        <is>
          <t>SPECTF</t>
        </is>
      </c>
      <c r="B14" s="9" t="inlineStr">
        <is>
          <t>boundary</t>
        </is>
      </c>
      <c r="C14" s="31" t="n">
        <v>0.2</v>
      </c>
      <c r="D14" s="19" t="n">
        <v>0.783</v>
      </c>
      <c r="E14" s="19" t="n">
        <v>0.787</v>
      </c>
      <c r="F14" s="19" t="n">
        <v>0.779</v>
      </c>
      <c r="G14" s="19" t="n">
        <v>0.798</v>
      </c>
      <c r="H14" s="19" t="n">
        <v>0.786</v>
      </c>
      <c r="I14" s="20">
        <f>IFERROR(AVERAGE(D14:H14),"-")</f>
        <v/>
      </c>
      <c r="J14" s="19" t="n">
        <v>0.775</v>
      </c>
      <c r="K14" s="19" t="n">
        <v>0.779</v>
      </c>
      <c r="L14" s="19" t="n">
        <v>0.779</v>
      </c>
      <c r="M14" s="19" t="n">
        <v>0.782</v>
      </c>
      <c r="N14" s="19" t="n">
        <v>0.749</v>
      </c>
      <c r="O14" s="20">
        <f>IFERROR(AVERAGE(J14:N14),"-")</f>
        <v/>
      </c>
      <c r="P14" s="32">
        <f>IFERROR(O14-I14,"-")</f>
        <v/>
      </c>
    </row>
    <row r="15" ht="15" customHeight="1" s="50">
      <c r="A15" s="9" t="inlineStr">
        <is>
          <t>SPECTF</t>
        </is>
      </c>
      <c r="B15" s="9" t="inlineStr">
        <is>
          <t>boundary</t>
        </is>
      </c>
      <c r="C15" s="31" t="n">
        <v>0.3</v>
      </c>
      <c r="D15" s="19" t="n">
        <v>0.779</v>
      </c>
      <c r="E15" s="19" t="n">
        <v>0.742</v>
      </c>
      <c r="F15" s="19" t="n">
        <v>0.73</v>
      </c>
      <c r="G15" s="19" t="n">
        <v>0.6929999999999999</v>
      </c>
      <c r="H15" s="19" t="n">
        <v>0.734</v>
      </c>
      <c r="I15" s="20">
        <f>IFERROR(AVERAGE(D15:H15),"-")</f>
        <v/>
      </c>
      <c r="J15" s="19" t="n">
        <v>0.794</v>
      </c>
      <c r="K15" s="19" t="n">
        <v>0.779</v>
      </c>
      <c r="L15" s="19" t="n">
        <v>0.6929999999999999</v>
      </c>
      <c r="M15" s="19" t="n">
        <v>0.76</v>
      </c>
      <c r="N15" s="19" t="n">
        <v>0.727</v>
      </c>
      <c r="O15" s="20">
        <f>IFERROR(AVERAGE(J15:N15),"-")</f>
        <v/>
      </c>
      <c r="P15" s="32">
        <f>IFERROR(O15-I15,"-")</f>
        <v/>
      </c>
    </row>
    <row r="16" ht="15" customHeight="1" s="50">
      <c r="A16" s="9" t="inlineStr">
        <is>
          <t>SPECTF</t>
        </is>
      </c>
      <c r="B16" s="9" t="inlineStr">
        <is>
          <t>boundary</t>
        </is>
      </c>
      <c r="C16" s="31" t="n">
        <v>0.4</v>
      </c>
      <c r="D16" s="19" t="n">
        <v>0.61</v>
      </c>
      <c r="E16" s="19" t="n">
        <v>0.648</v>
      </c>
      <c r="F16" s="19" t="n">
        <v>0.671</v>
      </c>
      <c r="G16" s="19" t="n">
        <v>0.67</v>
      </c>
      <c r="H16" s="19" t="n">
        <v>0.67</v>
      </c>
      <c r="I16" s="20">
        <f>IFERROR(AVERAGE(D16:H16),"-")</f>
        <v/>
      </c>
      <c r="J16" s="19" t="n">
        <v>0.701</v>
      </c>
      <c r="K16" s="19" t="n">
        <v>0.61</v>
      </c>
      <c r="L16" s="19" t="n">
        <v>0.592</v>
      </c>
      <c r="M16" s="19" t="n">
        <v>0.67</v>
      </c>
      <c r="N16" s="19" t="n">
        <v>0.618</v>
      </c>
      <c r="O16" s="20">
        <f>IFERROR(AVERAGE(J16:N16),"-")</f>
        <v/>
      </c>
      <c r="P16" s="32">
        <f>IFERROR(O16-I16,"-")</f>
        <v/>
      </c>
    </row>
    <row r="17" ht="15" customHeight="1" s="50">
      <c r="A17" s="9" t="inlineStr">
        <is>
          <t>SPECTF</t>
        </is>
      </c>
      <c r="B17" s="9" t="inlineStr">
        <is>
          <t>boundary</t>
        </is>
      </c>
      <c r="C17" s="31" t="n">
        <v>0.5</v>
      </c>
      <c r="D17" s="19" t="n">
        <v>0.524</v>
      </c>
      <c r="E17" s="19" t="n">
        <v>0.543</v>
      </c>
      <c r="F17" s="19" t="n">
        <v>0.498</v>
      </c>
      <c r="G17" s="19" t="n">
        <v>0.573</v>
      </c>
      <c r="H17" s="19" t="n">
        <v>0.397</v>
      </c>
      <c r="I17" s="20">
        <f>IFERROR(AVERAGE(D17:H17),"-")</f>
        <v/>
      </c>
      <c r="J17" s="19" t="n">
        <v>0.5610000000000001</v>
      </c>
      <c r="K17" s="19" t="n">
        <v>0.435</v>
      </c>
      <c r="L17" s="19" t="n">
        <v>0.505</v>
      </c>
      <c r="M17" s="19" t="n">
        <v>0.593</v>
      </c>
      <c r="N17" s="19" t="n">
        <v>0.543</v>
      </c>
      <c r="O17" s="20">
        <f>IFERROR(AVERAGE(J17:N17),"-")</f>
        <v/>
      </c>
      <c r="P17" s="32">
        <f>IFERROR(O17-I17,"-")</f>
        <v/>
      </c>
    </row>
    <row r="18" ht="15" customHeight="1" s="50">
      <c r="A18" s="9" t="inlineStr">
        <is>
          <t>SPECTF</t>
        </is>
      </c>
      <c r="B18" s="9" t="inlineStr">
        <is>
          <t>far</t>
        </is>
      </c>
      <c r="C18" s="31" t="n">
        <v>0.2</v>
      </c>
      <c r="D18" s="19" t="n">
        <v>0.622</v>
      </c>
      <c r="E18" s="19" t="n">
        <v>0.622</v>
      </c>
      <c r="F18" s="19" t="n">
        <v>0.667</v>
      </c>
      <c r="G18" s="19" t="n">
        <v>0.588</v>
      </c>
      <c r="H18" s="19" t="n">
        <v>0.633</v>
      </c>
      <c r="I18" s="20">
        <f>IFERROR(AVERAGE(D18:H18),"-")</f>
        <v/>
      </c>
      <c r="J18" s="19" t="n">
        <v>0.704</v>
      </c>
      <c r="K18" s="19" t="n">
        <v>0.645</v>
      </c>
      <c r="L18" s="19" t="n">
        <v>0.648</v>
      </c>
      <c r="M18" s="19" t="n">
        <v>0.644</v>
      </c>
      <c r="N18" s="19" t="n">
        <v>0.626</v>
      </c>
      <c r="O18" s="20">
        <f>IFERROR(AVERAGE(J18:N18),"-")</f>
        <v/>
      </c>
      <c r="P18" s="32">
        <f>IFERROR(O18-I18,"-")</f>
        <v/>
      </c>
    </row>
    <row r="19" ht="15" customHeight="1" s="50">
      <c r="A19" s="9" t="inlineStr">
        <is>
          <t>SPECTF</t>
        </is>
      </c>
      <c r="B19" s="9" t="inlineStr">
        <is>
          <t>far</t>
        </is>
      </c>
      <c r="C19" s="31" t="n">
        <v>0.3</v>
      </c>
      <c r="D19" s="19" t="n">
        <v>0.592</v>
      </c>
      <c r="E19" s="19" t="n">
        <v>0.54</v>
      </c>
      <c r="F19" s="19" t="n">
        <v>0.5659999999999999</v>
      </c>
      <c r="G19" s="19" t="n">
        <v>0.555</v>
      </c>
      <c r="H19" s="19" t="n">
        <v>0.581</v>
      </c>
      <c r="I19" s="20">
        <f>IFERROR(AVERAGE(D19:H19),"-")</f>
        <v/>
      </c>
      <c r="J19" s="19" t="n">
        <v>0.581</v>
      </c>
      <c r="K19" s="19" t="n">
        <v>0.518</v>
      </c>
      <c r="L19" s="19" t="n">
        <v>0.551</v>
      </c>
      <c r="M19" s="19" t="n">
        <v>0.611</v>
      </c>
      <c r="N19" s="19" t="n">
        <v>0.502</v>
      </c>
      <c r="O19" s="20">
        <f>IFERROR(AVERAGE(J19:N19),"-")</f>
        <v/>
      </c>
      <c r="P19" s="32">
        <f>IFERROR(O19-I19,"-")</f>
        <v/>
      </c>
    </row>
    <row r="20" ht="15" customHeight="1" s="50">
      <c r="A20" s="9" t="inlineStr">
        <is>
          <t>SPECTF</t>
        </is>
      </c>
      <c r="B20" s="9" t="inlineStr">
        <is>
          <t>far</t>
        </is>
      </c>
      <c r="C20" s="31" t="n">
        <v>0.4</v>
      </c>
      <c r="D20" s="19" t="n">
        <v>0.524</v>
      </c>
      <c r="E20" s="19" t="n">
        <v>0.506</v>
      </c>
      <c r="F20" s="19" t="n">
        <v>0.503</v>
      </c>
      <c r="G20" s="19" t="n">
        <v>0.525</v>
      </c>
      <c r="H20" s="19" t="n">
        <v>0.554</v>
      </c>
      <c r="I20" s="20">
        <f>IFERROR(AVERAGE(D20:H20),"-")</f>
        <v/>
      </c>
      <c r="J20" s="19" t="n">
        <v>0.52</v>
      </c>
      <c r="K20" s="19" t="n">
        <v>0.491</v>
      </c>
      <c r="L20" s="19" t="n">
        <v>0.413</v>
      </c>
      <c r="M20" s="19" t="n">
        <v>0.532</v>
      </c>
      <c r="N20" s="19" t="n">
        <v>0.364</v>
      </c>
      <c r="O20" s="20">
        <f>IFERROR(AVERAGE(J20:N20),"-")</f>
        <v/>
      </c>
      <c r="P20" s="32">
        <f>IFERROR(O20-I20,"-")</f>
        <v/>
      </c>
    </row>
    <row r="21" ht="15" customHeight="1" s="50">
      <c r="A21" s="9" t="inlineStr">
        <is>
          <t>SPECTF</t>
        </is>
      </c>
      <c r="B21" s="9" t="inlineStr">
        <is>
          <t>far</t>
        </is>
      </c>
      <c r="C21" s="31" t="n">
        <v>0.5</v>
      </c>
      <c r="D21" s="19" t="n">
        <v>0.524</v>
      </c>
      <c r="E21" s="19" t="n">
        <v>0.486</v>
      </c>
      <c r="F21" s="19" t="n">
        <v>0.506</v>
      </c>
      <c r="G21" s="19" t="n">
        <v>0.532</v>
      </c>
      <c r="H21" s="19" t="n">
        <v>0.531</v>
      </c>
      <c r="I21" s="20">
        <f>IFERROR(AVERAGE(D21:H21),"-")</f>
        <v/>
      </c>
      <c r="J21" s="19" t="n">
        <v>0.393</v>
      </c>
      <c r="K21" s="19" t="n">
        <v>0.322</v>
      </c>
      <c r="L21" s="19" t="n">
        <v>0.548</v>
      </c>
      <c r="M21" s="19" t="n">
        <v>0.477</v>
      </c>
      <c r="N21" s="19" t="n">
        <v>0.449</v>
      </c>
      <c r="O21" s="20">
        <f>IFERROR(AVERAGE(J21:N21),"-")</f>
        <v/>
      </c>
      <c r="P21" s="32">
        <f>IFERROR(O21-I21,"-")</f>
        <v/>
      </c>
    </row>
    <row r="22" ht="15" customHeight="1" s="50">
      <c r="A22" s="9" t="inlineStr">
        <is>
          <t>australian</t>
        </is>
      </c>
      <c r="B22" s="9" t="inlineStr">
        <is>
          <t>(clean)</t>
        </is>
      </c>
      <c r="C22" s="31" t="n">
        <v>0</v>
      </c>
      <c r="D22" s="19" t="n">
        <v>0.828</v>
      </c>
      <c r="E22" s="19" t="n">
        <v>0.841</v>
      </c>
      <c r="F22" s="19" t="n">
        <v>0.8159999999999999</v>
      </c>
      <c r="G22" s="19" t="n">
        <v>0.829</v>
      </c>
      <c r="H22" s="19" t="n">
        <v>0.857</v>
      </c>
      <c r="I22" s="20">
        <f>IFERROR(AVERAGE(D22:H22),"-")</f>
        <v/>
      </c>
      <c r="J22" s="19" t="n">
        <v>0.849</v>
      </c>
      <c r="K22" s="19" t="n">
        <v>0.842</v>
      </c>
      <c r="L22" s="19" t="n">
        <v>0.835</v>
      </c>
      <c r="M22" s="19" t="n">
        <v>0.819</v>
      </c>
      <c r="N22" s="19" t="n">
        <v>0.839</v>
      </c>
      <c r="O22" s="20">
        <f>IFERROR(AVERAGE(J22:N22),"-")</f>
        <v/>
      </c>
      <c r="P22" s="32">
        <f>IFERROR(O22-I22,"-")</f>
        <v/>
      </c>
    </row>
    <row r="23" ht="15" customHeight="1" s="50">
      <c r="A23" s="9" t="inlineStr">
        <is>
          <t>australian</t>
        </is>
      </c>
      <c r="B23" s="9" t="inlineStr">
        <is>
          <t>symmetric</t>
        </is>
      </c>
      <c r="C23" s="31" t="n">
        <v>0.2</v>
      </c>
      <c r="D23" s="19" t="n">
        <v>0.797</v>
      </c>
      <c r="E23" s="19" t="n">
        <v>0.725</v>
      </c>
      <c r="F23" s="19" t="n">
        <v>0.735</v>
      </c>
      <c r="G23" s="19" t="n">
        <v>0.723</v>
      </c>
      <c r="H23" s="19" t="n">
        <v>0.781</v>
      </c>
      <c r="I23" s="20">
        <f>IFERROR(AVERAGE(D23:H23),"-")</f>
        <v/>
      </c>
      <c r="J23" s="19" t="n">
        <v>0.741</v>
      </c>
      <c r="K23" s="19" t="n">
        <v>0.765</v>
      </c>
      <c r="L23" s="19" t="n">
        <v>0.713</v>
      </c>
      <c r="M23" s="19" t="n">
        <v>0.6879999999999999</v>
      </c>
      <c r="N23" s="19" t="n">
        <v>0.806</v>
      </c>
      <c r="O23" s="20">
        <f>IFERROR(AVERAGE(J23:N23),"-")</f>
        <v/>
      </c>
      <c r="P23" s="32">
        <f>IFERROR(O23-I23,"-")</f>
        <v/>
      </c>
    </row>
    <row r="24" ht="15" customHeight="1" s="50">
      <c r="A24" s="9" t="inlineStr">
        <is>
          <t>australian</t>
        </is>
      </c>
      <c r="B24" s="9" t="inlineStr">
        <is>
          <t>symmetric</t>
        </is>
      </c>
      <c r="C24" s="31" t="n">
        <v>0.3</v>
      </c>
      <c r="D24" s="19" t="n">
        <v>0.696</v>
      </c>
      <c r="E24" s="19" t="n">
        <v>0.694</v>
      </c>
      <c r="F24" s="19" t="n">
        <v>0.694</v>
      </c>
      <c r="G24" s="19" t="n">
        <v>0.643</v>
      </c>
      <c r="H24" s="19" t="n">
        <v>0.714</v>
      </c>
      <c r="I24" s="20">
        <f>IFERROR(AVERAGE(D24:H24),"-")</f>
        <v/>
      </c>
      <c r="J24" s="19" t="n">
        <v>0.668</v>
      </c>
      <c r="K24" s="19" t="n">
        <v>0.748</v>
      </c>
      <c r="L24" s="19" t="n">
        <v>0.678</v>
      </c>
      <c r="M24" s="19" t="n">
        <v>0.596</v>
      </c>
      <c r="N24" s="19" t="n">
        <v>0.648</v>
      </c>
      <c r="O24" s="20">
        <f>IFERROR(AVERAGE(J24:N24),"-")</f>
        <v/>
      </c>
      <c r="P24" s="32">
        <f>IFERROR(O24-I24,"-")</f>
        <v/>
      </c>
    </row>
    <row r="25" ht="15" customHeight="1" s="50">
      <c r="A25" s="9" t="inlineStr">
        <is>
          <t>australian</t>
        </is>
      </c>
      <c r="B25" s="9" t="inlineStr">
        <is>
          <t>symmetric</t>
        </is>
      </c>
      <c r="C25" s="31" t="n">
        <v>0.4</v>
      </c>
      <c r="D25" s="19" t="n">
        <v>0.623</v>
      </c>
      <c r="E25" s="19" t="n">
        <v>0.59</v>
      </c>
      <c r="F25" s="19" t="n">
        <v>0.614</v>
      </c>
      <c r="G25" s="19" t="n">
        <v>0.588</v>
      </c>
      <c r="H25" s="19" t="n">
        <v>0.575</v>
      </c>
      <c r="I25" s="20">
        <f>IFERROR(AVERAGE(D25:H25),"-")</f>
        <v/>
      </c>
      <c r="J25" s="19" t="n">
        <v>0.555</v>
      </c>
      <c r="K25" s="19" t="n">
        <v>0.5649999999999999</v>
      </c>
      <c r="L25" s="19" t="n">
        <v>0.554</v>
      </c>
      <c r="M25" s="19" t="n">
        <v>0.575</v>
      </c>
      <c r="N25" s="19" t="n">
        <v>0.593</v>
      </c>
      <c r="O25" s="20">
        <f>IFERROR(AVERAGE(J25:N25),"-")</f>
        <v/>
      </c>
      <c r="P25" s="32">
        <f>IFERROR(O25-I25,"-")</f>
        <v/>
      </c>
    </row>
    <row r="26" ht="15" customHeight="1" s="50">
      <c r="A26" s="9" t="inlineStr">
        <is>
          <t>australian</t>
        </is>
      </c>
      <c r="B26" s="9" t="inlineStr">
        <is>
          <t>symmetric</t>
        </is>
      </c>
      <c r="C26" s="31" t="n">
        <v>0.5</v>
      </c>
      <c r="D26" s="19" t="n">
        <v>0.474</v>
      </c>
      <c r="E26" s="19" t="n">
        <v>0.486</v>
      </c>
      <c r="F26" s="19" t="n">
        <v>0.496</v>
      </c>
      <c r="G26" s="19" t="n">
        <v>0.542</v>
      </c>
      <c r="H26" s="19" t="n">
        <v>0.413</v>
      </c>
      <c r="I26" s="20">
        <f>IFERROR(AVERAGE(D26:H26),"-")</f>
        <v/>
      </c>
      <c r="J26" s="19" t="n">
        <v>0.497</v>
      </c>
      <c r="K26" s="19" t="n">
        <v>0.503</v>
      </c>
      <c r="L26" s="19" t="n">
        <v>0.529</v>
      </c>
      <c r="M26" s="19" t="n">
        <v>0.47</v>
      </c>
      <c r="N26" s="19" t="n">
        <v>0.47</v>
      </c>
      <c r="O26" s="20">
        <f>IFERROR(AVERAGE(J26:N26),"-")</f>
        <v/>
      </c>
      <c r="P26" s="32">
        <f>IFERROR(O26-I26,"-")</f>
        <v/>
      </c>
    </row>
    <row r="27" ht="15" customHeight="1" s="50">
      <c r="A27" s="9" t="inlineStr">
        <is>
          <t>australian</t>
        </is>
      </c>
      <c r="B27" s="9" t="inlineStr">
        <is>
          <t>asymmetric</t>
        </is>
      </c>
      <c r="C27" s="31" t="n">
        <v>0.2</v>
      </c>
      <c r="D27" s="19" t="n">
        <v>0.771</v>
      </c>
      <c r="E27" s="19" t="n">
        <v>0.791</v>
      </c>
      <c r="F27" s="19" t="n">
        <v>0.764</v>
      </c>
      <c r="G27" s="19" t="n">
        <v>0.752</v>
      </c>
      <c r="H27" s="19" t="n">
        <v>0.781</v>
      </c>
      <c r="I27" s="20">
        <f>IFERROR(AVERAGE(D27:H27),"-")</f>
        <v/>
      </c>
      <c r="J27" s="19" t="n">
        <v>0.768</v>
      </c>
      <c r="K27" s="19" t="n">
        <v>0.8100000000000001</v>
      </c>
      <c r="L27" s="19" t="n">
        <v>0.841</v>
      </c>
      <c r="M27" s="19" t="n">
        <v>0.77</v>
      </c>
      <c r="N27" s="19" t="n">
        <v>0.712</v>
      </c>
      <c r="O27" s="20">
        <f>IFERROR(AVERAGE(J27:N27),"-")</f>
        <v/>
      </c>
      <c r="P27" s="32">
        <f>IFERROR(O27-I27,"-")</f>
        <v/>
      </c>
    </row>
    <row r="28" ht="15" customHeight="1" s="50">
      <c r="A28" s="9" t="inlineStr">
        <is>
          <t>australian</t>
        </is>
      </c>
      <c r="B28" s="9" t="inlineStr">
        <is>
          <t>asymmetric</t>
        </is>
      </c>
      <c r="C28" s="31" t="n">
        <v>0.3</v>
      </c>
      <c r="D28" s="19" t="n">
        <v>0.751</v>
      </c>
      <c r="E28" s="19" t="n">
        <v>0.755</v>
      </c>
      <c r="F28" s="19" t="n">
        <v>0.738</v>
      </c>
      <c r="G28" s="19" t="n">
        <v>0.696</v>
      </c>
      <c r="H28" s="19" t="n">
        <v>0.714</v>
      </c>
      <c r="I28" s="20">
        <f>IFERROR(AVERAGE(D28:H28),"-")</f>
        <v/>
      </c>
      <c r="J28" s="19" t="n">
        <v>0.678</v>
      </c>
      <c r="K28" s="19" t="n">
        <v>0.749</v>
      </c>
      <c r="L28" s="19" t="n">
        <v>0.68</v>
      </c>
      <c r="M28" s="19" t="n">
        <v>0.701</v>
      </c>
      <c r="N28" s="19" t="n">
        <v>0.758</v>
      </c>
      <c r="O28" s="20">
        <f>IFERROR(AVERAGE(J28:N28),"-")</f>
        <v/>
      </c>
      <c r="P28" s="32">
        <f>IFERROR(O28-I28,"-")</f>
        <v/>
      </c>
    </row>
    <row r="29" ht="15" customHeight="1" s="50">
      <c r="A29" s="9" t="inlineStr">
        <is>
          <t>australian</t>
        </is>
      </c>
      <c r="B29" s="9" t="inlineStr">
        <is>
          <t>asymmetric</t>
        </is>
      </c>
      <c r="C29" s="31" t="n">
        <v>0.4</v>
      </c>
      <c r="D29" s="19" t="n">
        <v>0.672</v>
      </c>
      <c r="E29" s="19" t="n">
        <v>0.696</v>
      </c>
      <c r="F29" s="19" t="n">
        <v>0.672</v>
      </c>
      <c r="G29" s="19" t="n">
        <v>0.67</v>
      </c>
      <c r="H29" s="19" t="n">
        <v>0.722</v>
      </c>
      <c r="I29" s="20">
        <f>IFERROR(AVERAGE(D29:H29),"-")</f>
        <v/>
      </c>
      <c r="J29" s="19" t="n">
        <v>0.732</v>
      </c>
      <c r="K29" s="19" t="n">
        <v>0.58</v>
      </c>
      <c r="L29" s="19" t="n">
        <v>0.636</v>
      </c>
      <c r="M29" s="19" t="n">
        <v>0.681</v>
      </c>
      <c r="N29" s="19" t="n">
        <v>0.707</v>
      </c>
      <c r="O29" s="20">
        <f>IFERROR(AVERAGE(J29:N29),"-")</f>
        <v/>
      </c>
      <c r="P29" s="32">
        <f>IFERROR(O29-I29,"-")</f>
        <v/>
      </c>
    </row>
    <row r="30" ht="15" customHeight="1" s="50">
      <c r="A30" s="9" t="inlineStr">
        <is>
          <t>australian</t>
        </is>
      </c>
      <c r="B30" s="9" t="inlineStr">
        <is>
          <t>asymmetric</t>
        </is>
      </c>
      <c r="C30" s="31" t="n">
        <v>0.5</v>
      </c>
      <c r="D30" s="19" t="n">
        <v>0.645</v>
      </c>
      <c r="E30" s="19" t="n">
        <v>0.628</v>
      </c>
      <c r="F30" s="19" t="n">
        <v>0.622</v>
      </c>
      <c r="G30" s="19" t="n">
        <v>0.643</v>
      </c>
      <c r="H30" s="19" t="n">
        <v>0.636</v>
      </c>
      <c r="I30" s="20">
        <f>IFERROR(AVERAGE(D30:H30),"-")</f>
        <v/>
      </c>
      <c r="J30" s="19" t="n">
        <v>0.657</v>
      </c>
      <c r="K30" s="19" t="n">
        <v>0.706</v>
      </c>
      <c r="L30" s="19" t="n">
        <v>0.583</v>
      </c>
      <c r="M30" s="19" t="n">
        <v>0.659</v>
      </c>
      <c r="N30" s="19" t="n">
        <v>0.619</v>
      </c>
      <c r="O30" s="20">
        <f>IFERROR(AVERAGE(J30:N30),"-")</f>
        <v/>
      </c>
      <c r="P30" s="32">
        <f>IFERROR(O30-I30,"-")</f>
        <v/>
      </c>
    </row>
    <row r="31" ht="15" customHeight="1" s="50">
      <c r="A31" s="9" t="inlineStr">
        <is>
          <t>australian</t>
        </is>
      </c>
      <c r="B31" s="9" t="inlineStr">
        <is>
          <t>boundary</t>
        </is>
      </c>
      <c r="C31" s="31" t="n">
        <v>0.2</v>
      </c>
      <c r="D31" s="19" t="n">
        <v>0.8100000000000001</v>
      </c>
      <c r="E31" s="19" t="n">
        <v>0.788</v>
      </c>
      <c r="F31" s="19" t="n">
        <v>0.794</v>
      </c>
      <c r="G31" s="19" t="n">
        <v>0.793</v>
      </c>
      <c r="H31" s="19" t="n">
        <v>0.783</v>
      </c>
      <c r="I31" s="20">
        <f>IFERROR(AVERAGE(D31:H31),"-")</f>
        <v/>
      </c>
      <c r="J31" s="19" t="n">
        <v>0.804</v>
      </c>
      <c r="K31" s="19" t="n">
        <v>0.806</v>
      </c>
      <c r="L31" s="19" t="n">
        <v>0.799</v>
      </c>
      <c r="M31" s="19" t="n">
        <v>0.8100000000000001</v>
      </c>
      <c r="N31" s="19" t="n">
        <v>0.775</v>
      </c>
      <c r="O31" s="20">
        <f>IFERROR(AVERAGE(J31:N31),"-")</f>
        <v/>
      </c>
      <c r="P31" s="32">
        <f>IFERROR(O31-I31,"-")</f>
        <v/>
      </c>
    </row>
    <row r="32" ht="15" customHeight="1" s="50">
      <c r="A32" s="9" t="inlineStr">
        <is>
          <t>australian</t>
        </is>
      </c>
      <c r="B32" s="9" t="inlineStr">
        <is>
          <t>boundary</t>
        </is>
      </c>
      <c r="C32" s="31" t="n">
        <v>0.3</v>
      </c>
      <c r="D32" s="19" t="n">
        <v>0.714</v>
      </c>
      <c r="E32" s="19" t="n">
        <v>0.714</v>
      </c>
      <c r="F32" s="19" t="n">
        <v>0.716</v>
      </c>
      <c r="G32" s="19" t="n">
        <v>0.749</v>
      </c>
      <c r="H32" s="19" t="n">
        <v>0.722</v>
      </c>
      <c r="I32" s="20">
        <f>IFERROR(AVERAGE(D32:H32),"-")</f>
        <v/>
      </c>
      <c r="J32" s="19" t="n">
        <v>0.77</v>
      </c>
      <c r="K32" s="19" t="n">
        <v>0.745</v>
      </c>
      <c r="L32" s="19" t="n">
        <v>0.72</v>
      </c>
      <c r="M32" s="19" t="n">
        <v>0.751</v>
      </c>
      <c r="N32" s="19" t="n">
        <v>0.657</v>
      </c>
      <c r="O32" s="20">
        <f>IFERROR(AVERAGE(J32:N32),"-")</f>
        <v/>
      </c>
      <c r="P32" s="32">
        <f>IFERROR(O32-I32,"-")</f>
        <v/>
      </c>
    </row>
    <row r="33" ht="15" customHeight="1" s="50">
      <c r="A33" s="9" t="inlineStr">
        <is>
          <t>australian</t>
        </is>
      </c>
      <c r="B33" s="9" t="inlineStr">
        <is>
          <t>boundary</t>
        </is>
      </c>
      <c r="C33" s="31" t="n">
        <v>0.4</v>
      </c>
      <c r="D33" s="19" t="n">
        <v>0.628</v>
      </c>
      <c r="E33" s="19" t="n">
        <v>0.654</v>
      </c>
      <c r="F33" s="19" t="n">
        <v>0.654</v>
      </c>
      <c r="G33" s="19" t="n">
        <v>0.638</v>
      </c>
      <c r="H33" s="19" t="n">
        <v>0.642</v>
      </c>
      <c r="I33" s="20">
        <f>IFERROR(AVERAGE(D33:H33),"-")</f>
        <v/>
      </c>
      <c r="J33" s="19" t="n">
        <v>0.664</v>
      </c>
      <c r="K33" s="19" t="n">
        <v>0.635</v>
      </c>
      <c r="L33" s="19" t="n">
        <v>0.617</v>
      </c>
      <c r="M33" s="19" t="n">
        <v>0.609</v>
      </c>
      <c r="N33" s="19" t="n">
        <v>0.68</v>
      </c>
      <c r="O33" s="20">
        <f>IFERROR(AVERAGE(J33:N33),"-")</f>
        <v/>
      </c>
      <c r="P33" s="32">
        <f>IFERROR(O33-I33,"-")</f>
        <v/>
      </c>
    </row>
    <row r="34" ht="15" customHeight="1" s="50">
      <c r="A34" s="9" t="inlineStr">
        <is>
          <t>australian</t>
        </is>
      </c>
      <c r="B34" s="9" t="inlineStr">
        <is>
          <t>boundary</t>
        </is>
      </c>
      <c r="C34" s="31" t="n">
        <v>0.5</v>
      </c>
      <c r="D34" s="19" t="n">
        <v>0.517</v>
      </c>
      <c r="E34" s="19" t="n">
        <v>0.483</v>
      </c>
      <c r="F34" s="19" t="n">
        <v>0.5</v>
      </c>
      <c r="G34" s="19" t="n">
        <v>0.506</v>
      </c>
      <c r="H34" s="19" t="n">
        <v>0.486</v>
      </c>
      <c r="I34" s="20">
        <f>IFERROR(AVERAGE(D34:H34),"-")</f>
        <v/>
      </c>
      <c r="J34" s="19" t="n">
        <v>0.538</v>
      </c>
      <c r="K34" s="19" t="n">
        <v>0.51</v>
      </c>
      <c r="L34" s="19" t="n">
        <v>0.523</v>
      </c>
      <c r="M34" s="19" t="n">
        <v>0.49</v>
      </c>
      <c r="N34" s="19" t="n">
        <v>0.503</v>
      </c>
      <c r="O34" s="20">
        <f>IFERROR(AVERAGE(J34:N34),"-")</f>
        <v/>
      </c>
      <c r="P34" s="32">
        <f>IFERROR(O34-I34,"-")</f>
        <v/>
      </c>
    </row>
    <row r="35" ht="15" customHeight="1" s="50">
      <c r="A35" s="9" t="inlineStr">
        <is>
          <t>australian</t>
        </is>
      </c>
      <c r="B35" s="9" t="inlineStr">
        <is>
          <t>far</t>
        </is>
      </c>
      <c r="C35" s="31" t="n">
        <v>0.2</v>
      </c>
      <c r="D35" s="19" t="n">
        <v>0.749</v>
      </c>
      <c r="E35" s="19" t="n">
        <v>0.754</v>
      </c>
      <c r="F35" s="19" t="n">
        <v>0.728</v>
      </c>
      <c r="G35" s="19" t="n">
        <v>0.709</v>
      </c>
      <c r="H35" s="19" t="n">
        <v>0.735</v>
      </c>
      <c r="I35" s="20">
        <f>IFERROR(AVERAGE(D35:H35),"-")</f>
        <v/>
      </c>
      <c r="J35" s="19" t="n">
        <v>0.8120000000000001</v>
      </c>
      <c r="K35" s="19" t="n">
        <v>0.762</v>
      </c>
      <c r="L35" s="19" t="n">
        <v>0.738</v>
      </c>
      <c r="M35" s="19" t="n">
        <v>0.733</v>
      </c>
      <c r="N35" s="19" t="n">
        <v>0.73</v>
      </c>
      <c r="O35" s="20">
        <f>IFERROR(AVERAGE(J35:N35),"-")</f>
        <v/>
      </c>
      <c r="P35" s="32">
        <f>IFERROR(O35-I35,"-")</f>
        <v/>
      </c>
    </row>
    <row r="36" ht="15" customHeight="1" s="50">
      <c r="A36" s="9" t="inlineStr">
        <is>
          <t>australian</t>
        </is>
      </c>
      <c r="B36" s="9" t="inlineStr">
        <is>
          <t>far</t>
        </is>
      </c>
      <c r="C36" s="31" t="n">
        <v>0.3</v>
      </c>
      <c r="D36" s="19" t="n">
        <v>0.677</v>
      </c>
      <c r="E36" s="19" t="n">
        <v>0.672</v>
      </c>
      <c r="F36" s="19" t="n">
        <v>0.665</v>
      </c>
      <c r="G36" s="19" t="n">
        <v>0.658</v>
      </c>
      <c r="H36" s="19" t="n">
        <v>0.6840000000000001</v>
      </c>
      <c r="I36" s="20">
        <f>IFERROR(AVERAGE(D36:H36),"-")</f>
        <v/>
      </c>
      <c r="J36" s="19" t="n">
        <v>0.664</v>
      </c>
      <c r="K36" s="19" t="n">
        <v>0.5610000000000001</v>
      </c>
      <c r="L36" s="19" t="n">
        <v>0.632</v>
      </c>
      <c r="M36" s="19" t="n">
        <v>0.639</v>
      </c>
      <c r="N36" s="19" t="n">
        <v>0.736</v>
      </c>
      <c r="O36" s="20">
        <f>IFERROR(AVERAGE(J36:N36),"-")</f>
        <v/>
      </c>
      <c r="P36" s="32">
        <f>IFERROR(O36-I36,"-")</f>
        <v/>
      </c>
    </row>
    <row r="37" ht="15" customHeight="1" s="50">
      <c r="A37" s="9" t="inlineStr">
        <is>
          <t>australian</t>
        </is>
      </c>
      <c r="B37" s="9" t="inlineStr">
        <is>
          <t>far</t>
        </is>
      </c>
      <c r="C37" s="31" t="n">
        <v>0.4</v>
      </c>
      <c r="D37" s="19" t="n">
        <v>0.62</v>
      </c>
      <c r="E37" s="19" t="n">
        <v>0.6</v>
      </c>
      <c r="F37" s="19" t="n">
        <v>0.628</v>
      </c>
      <c r="G37" s="19" t="n">
        <v>0.603</v>
      </c>
      <c r="H37" s="19" t="n">
        <v>0.612</v>
      </c>
      <c r="I37" s="20">
        <f>IFERROR(AVERAGE(D37:H37),"-")</f>
        <v/>
      </c>
      <c r="J37" s="19" t="n">
        <v>0.613</v>
      </c>
      <c r="K37" s="19" t="n">
        <v>0.616</v>
      </c>
      <c r="L37" s="19" t="n">
        <v>0.533</v>
      </c>
      <c r="M37" s="19" t="n">
        <v>0.588</v>
      </c>
      <c r="N37" s="19" t="n">
        <v>0.541</v>
      </c>
      <c r="O37" s="20">
        <f>IFERROR(AVERAGE(J37:N37),"-")</f>
        <v/>
      </c>
      <c r="P37" s="32">
        <f>IFERROR(O37-I37,"-")</f>
        <v/>
      </c>
    </row>
    <row r="38" ht="15" customHeight="1" s="50">
      <c r="A38" s="9" t="inlineStr">
        <is>
          <t>australian</t>
        </is>
      </c>
      <c r="B38" s="9" t="inlineStr">
        <is>
          <t>far</t>
        </is>
      </c>
      <c r="C38" s="31" t="n">
        <v>0.5</v>
      </c>
      <c r="D38" s="19" t="n">
        <v>0.509</v>
      </c>
      <c r="E38" s="19" t="n">
        <v>0.522</v>
      </c>
      <c r="F38" s="19" t="n">
        <v>0.507</v>
      </c>
      <c r="G38" s="19" t="n">
        <v>0.481</v>
      </c>
      <c r="H38" s="19" t="n">
        <v>0.5</v>
      </c>
      <c r="I38" s="20">
        <f>IFERROR(AVERAGE(D38:H38),"-")</f>
        <v/>
      </c>
      <c r="J38" s="19" t="n">
        <v>0.506</v>
      </c>
      <c r="K38" s="19" t="n">
        <v>0.514</v>
      </c>
      <c r="L38" s="19" t="n">
        <v>0.501</v>
      </c>
      <c r="M38" s="19" t="n">
        <v>0.475</v>
      </c>
      <c r="N38" s="19" t="n">
        <v>0.475</v>
      </c>
      <c r="O38" s="20">
        <f>IFERROR(AVERAGE(J38:N38),"-")</f>
        <v/>
      </c>
      <c r="P38" s="32">
        <f>IFERROR(O38-I38,"-")</f>
        <v/>
      </c>
    </row>
    <row r="39" ht="15" customHeight="1" s="50">
      <c r="A39" s="9" t="inlineStr">
        <is>
          <t>balance_scale</t>
        </is>
      </c>
      <c r="B39" s="9" t="inlineStr">
        <is>
          <t>(clean)</t>
        </is>
      </c>
      <c r="C39" s="31" t="n">
        <v>0</v>
      </c>
      <c r="D39" s="19" t="n">
        <v>0.995</v>
      </c>
      <c r="E39" s="19" t="n">
        <v>0.991</v>
      </c>
      <c r="F39" s="19" t="n">
        <v>0.986</v>
      </c>
      <c r="G39" s="19" t="n">
        <v>0.99</v>
      </c>
      <c r="H39" s="19" t="n">
        <v>0.988</v>
      </c>
      <c r="I39" s="20">
        <f>IFERROR(AVERAGE(D39:H39),"-")</f>
        <v/>
      </c>
      <c r="J39" s="19" t="n">
        <v>0.986</v>
      </c>
      <c r="K39" s="19" t="n">
        <v>0.972</v>
      </c>
      <c r="L39" s="19" t="n">
        <v>0.972</v>
      </c>
      <c r="M39" s="19" t="n">
        <v>0.972</v>
      </c>
      <c r="N39" s="19" t="n">
        <v>0.974</v>
      </c>
      <c r="O39" s="20">
        <f>IFERROR(AVERAGE(J39:N39),"-")</f>
        <v/>
      </c>
      <c r="P39" s="32">
        <f>IFERROR(O39-I39,"-")</f>
        <v/>
      </c>
    </row>
    <row r="40" ht="15" customHeight="1" s="50">
      <c r="A40" s="9" t="inlineStr">
        <is>
          <t>balance_scale</t>
        </is>
      </c>
      <c r="B40" s="9" t="inlineStr">
        <is>
          <t>symmetric</t>
        </is>
      </c>
      <c r="C40" s="31" t="n">
        <v>0.2</v>
      </c>
      <c r="D40" s="19" t="n">
        <v>0.863</v>
      </c>
      <c r="E40" s="19" t="n">
        <v>0.8159999999999999</v>
      </c>
      <c r="F40" s="19" t="n">
        <v>0.842</v>
      </c>
      <c r="G40" s="19" t="n">
        <v>0.842</v>
      </c>
      <c r="H40" s="19" t="n">
        <v>0.844</v>
      </c>
      <c r="I40" s="20">
        <f>IFERROR(AVERAGE(D40:H40),"-")</f>
        <v/>
      </c>
      <c r="J40" s="19" t="n">
        <v>0.896</v>
      </c>
      <c r="K40" s="19" t="n">
        <v>0.891</v>
      </c>
      <c r="L40" s="19" t="n">
        <v>0.882</v>
      </c>
      <c r="M40" s="19" t="n">
        <v>0.882</v>
      </c>
      <c r="N40" s="19" t="n">
        <v>0.882</v>
      </c>
      <c r="O40" s="20">
        <f>IFERROR(AVERAGE(J40:N40),"-")</f>
        <v/>
      </c>
      <c r="P40" s="32">
        <f>IFERROR(O40-I40,"-")</f>
        <v/>
      </c>
    </row>
    <row r="41" ht="15" customHeight="1" s="50">
      <c r="A41" s="9" t="inlineStr">
        <is>
          <t>balance_scale</t>
        </is>
      </c>
      <c r="B41" s="9" t="inlineStr">
        <is>
          <t>symmetric</t>
        </is>
      </c>
      <c r="C41" s="31" t="n">
        <v>0.3</v>
      </c>
      <c r="D41" s="19" t="n">
        <v>0.769</v>
      </c>
      <c r="E41" s="19" t="n">
        <v>0.779</v>
      </c>
      <c r="F41" s="19" t="n">
        <v>0.72</v>
      </c>
      <c r="G41" s="19" t="n">
        <v>0.748</v>
      </c>
      <c r="H41" s="19" t="n">
        <v>0.778</v>
      </c>
      <c r="I41" s="20">
        <f>IFERROR(AVERAGE(D41:H41),"-")</f>
        <v/>
      </c>
      <c r="J41" s="19" t="n">
        <v>0.799</v>
      </c>
      <c r="K41" s="19" t="n">
        <v>0.746</v>
      </c>
      <c r="L41" s="19" t="n">
        <v>0.819</v>
      </c>
      <c r="M41" s="19" t="n">
        <v>0.785</v>
      </c>
      <c r="N41" s="19" t="n">
        <v>0.778</v>
      </c>
      <c r="O41" s="20">
        <f>IFERROR(AVERAGE(J41:N41),"-")</f>
        <v/>
      </c>
      <c r="P41" s="32">
        <f>IFERROR(O41-I41,"-")</f>
        <v/>
      </c>
    </row>
    <row r="42" ht="15" customHeight="1" s="50">
      <c r="A42" s="9" t="inlineStr">
        <is>
          <t>balance_scale</t>
        </is>
      </c>
      <c r="B42" s="9" t="inlineStr">
        <is>
          <t>symmetric</t>
        </is>
      </c>
      <c r="C42" s="31" t="n">
        <v>0.4</v>
      </c>
      <c r="D42" s="19" t="n">
        <v>0.583</v>
      </c>
      <c r="E42" s="19" t="n">
        <v>0.665</v>
      </c>
      <c r="F42" s="19" t="n">
        <v>0.66</v>
      </c>
      <c r="G42" s="19" t="n">
        <v>0.651</v>
      </c>
      <c r="H42" s="19" t="n">
        <v>0.715</v>
      </c>
      <c r="I42" s="20">
        <f>IFERROR(AVERAGE(D42:H42),"-")</f>
        <v/>
      </c>
      <c r="J42" s="19" t="n">
        <v>0.592</v>
      </c>
      <c r="K42" s="19" t="n">
        <v>0.656</v>
      </c>
      <c r="L42" s="19" t="n">
        <v>0.663</v>
      </c>
      <c r="M42" s="19" t="n">
        <v>0.608</v>
      </c>
      <c r="N42" s="19" t="n">
        <v>0.663</v>
      </c>
      <c r="O42" s="20">
        <f>IFERROR(AVERAGE(J42:N42),"-")</f>
        <v/>
      </c>
      <c r="P42" s="32">
        <f>IFERROR(O42-I42,"-")</f>
        <v/>
      </c>
    </row>
    <row r="43" ht="15" customHeight="1" s="50">
      <c r="A43" s="9" t="inlineStr">
        <is>
          <t>balance_scale</t>
        </is>
      </c>
      <c r="B43" s="9" t="inlineStr">
        <is>
          <t>symmetric</t>
        </is>
      </c>
      <c r="C43" s="31" t="n">
        <v>0.5</v>
      </c>
      <c r="D43" s="19" t="n">
        <v>0.526</v>
      </c>
      <c r="E43" s="19" t="n">
        <v>0.483</v>
      </c>
      <c r="F43" s="19" t="n">
        <v>0.542</v>
      </c>
      <c r="G43" s="19" t="n">
        <v>0.538</v>
      </c>
      <c r="H43" s="19" t="n">
        <v>0.476</v>
      </c>
      <c r="I43" s="20">
        <f>IFERROR(AVERAGE(D43:H43),"-")</f>
        <v/>
      </c>
      <c r="J43" s="19" t="n">
        <v>0.5610000000000001</v>
      </c>
      <c r="K43" s="19" t="n">
        <v>0.464</v>
      </c>
      <c r="L43" s="19" t="n">
        <v>0.516</v>
      </c>
      <c r="M43" s="19" t="n">
        <v>0.491</v>
      </c>
      <c r="N43" s="19" t="n">
        <v>0.463</v>
      </c>
      <c r="O43" s="20">
        <f>IFERROR(AVERAGE(J43:N43),"-")</f>
        <v/>
      </c>
      <c r="P43" s="32">
        <f>IFERROR(O43-I43,"-")</f>
        <v/>
      </c>
    </row>
    <row r="44" ht="15" customHeight="1" s="50">
      <c r="A44" s="9" t="inlineStr">
        <is>
          <t>balance_scale</t>
        </is>
      </c>
      <c r="B44" s="9" t="inlineStr">
        <is>
          <t>asymmetric</t>
        </is>
      </c>
      <c r="C44" s="31" t="n">
        <v>0.2</v>
      </c>
      <c r="D44" s="19" t="n">
        <v>0.915</v>
      </c>
      <c r="E44" s="19" t="n">
        <v>0.91</v>
      </c>
      <c r="F44" s="19" t="n">
        <v>0.899</v>
      </c>
      <c r="G44" s="19" t="n">
        <v>0.87</v>
      </c>
      <c r="H44" s="19" t="n">
        <v>0.866</v>
      </c>
      <c r="I44" s="20">
        <f>IFERROR(AVERAGE(D44:H44),"-")</f>
        <v/>
      </c>
      <c r="J44" s="19" t="n">
        <v>0.908</v>
      </c>
      <c r="K44" s="19" t="n">
        <v>0.904</v>
      </c>
      <c r="L44" s="19" t="n">
        <v>0.917</v>
      </c>
      <c r="M44" s="19" t="n">
        <v>0.912</v>
      </c>
      <c r="N44" s="19" t="n">
        <v>0.912</v>
      </c>
      <c r="O44" s="20">
        <f>IFERROR(AVERAGE(J44:N44),"-")</f>
        <v/>
      </c>
      <c r="P44" s="32">
        <f>IFERROR(O44-I44,"-")</f>
        <v/>
      </c>
    </row>
    <row r="45" ht="15" customHeight="1" s="50">
      <c r="A45" s="9" t="inlineStr">
        <is>
          <t>balance_scale</t>
        </is>
      </c>
      <c r="B45" s="9" t="inlineStr">
        <is>
          <t>asymmetric</t>
        </is>
      </c>
      <c r="C45" s="31" t="n">
        <v>0.3</v>
      </c>
      <c r="D45" s="19" t="n">
        <v>0.863</v>
      </c>
      <c r="E45" s="19" t="n">
        <v>0.826</v>
      </c>
      <c r="F45" s="19" t="n">
        <v>0.823</v>
      </c>
      <c r="G45" s="19" t="n">
        <v>0.849</v>
      </c>
      <c r="H45" s="19" t="n">
        <v>0.8159999999999999</v>
      </c>
      <c r="I45" s="20">
        <f>IFERROR(AVERAGE(D45:H45),"-")</f>
        <v/>
      </c>
      <c r="J45" s="19" t="n">
        <v>0.8070000000000001</v>
      </c>
      <c r="K45" s="19" t="n">
        <v>0.859</v>
      </c>
      <c r="L45" s="19" t="n">
        <v>0.875</v>
      </c>
      <c r="M45" s="19" t="n">
        <v>0.892</v>
      </c>
      <c r="N45" s="19" t="n">
        <v>0.88</v>
      </c>
      <c r="O45" s="20">
        <f>IFERROR(AVERAGE(J45:N45),"-")</f>
        <v/>
      </c>
      <c r="P45" s="32">
        <f>IFERROR(O45-I45,"-")</f>
        <v/>
      </c>
    </row>
    <row r="46" ht="15" customHeight="1" s="50">
      <c r="A46" s="9" t="inlineStr">
        <is>
          <t>balance_scale</t>
        </is>
      </c>
      <c r="B46" s="9" t="inlineStr">
        <is>
          <t>asymmetric</t>
        </is>
      </c>
      <c r="C46" s="31" t="n">
        <v>0.4</v>
      </c>
      <c r="D46" s="19" t="n">
        <v>0.8</v>
      </c>
      <c r="E46" s="19" t="n">
        <v>0.778</v>
      </c>
      <c r="F46" s="19" t="n">
        <v>0.806</v>
      </c>
      <c r="G46" s="19" t="n">
        <v>0.797</v>
      </c>
      <c r="H46" s="19" t="n">
        <v>0.8090000000000001</v>
      </c>
      <c r="I46" s="20">
        <f>IFERROR(AVERAGE(D46:H46),"-")</f>
        <v/>
      </c>
      <c r="J46" s="19" t="n">
        <v>0.844</v>
      </c>
      <c r="K46" s="19" t="n">
        <v>0.785</v>
      </c>
      <c r="L46" s="19" t="n">
        <v>0.823</v>
      </c>
      <c r="M46" s="19" t="n">
        <v>0.797</v>
      </c>
      <c r="N46" s="19" t="n">
        <v>0.799</v>
      </c>
      <c r="O46" s="20">
        <f>IFERROR(AVERAGE(J46:N46),"-")</f>
        <v/>
      </c>
      <c r="P46" s="32">
        <f>IFERROR(O46-I46,"-")</f>
        <v/>
      </c>
    </row>
    <row r="47" ht="15" customHeight="1" s="50">
      <c r="A47" s="9" t="inlineStr">
        <is>
          <t>balance_scale</t>
        </is>
      </c>
      <c r="B47" s="9" t="inlineStr">
        <is>
          <t>asymmetric</t>
        </is>
      </c>
      <c r="C47" s="31" t="n">
        <v>0.5</v>
      </c>
      <c r="D47" s="19" t="n">
        <v>0.719</v>
      </c>
      <c r="E47" s="19" t="n">
        <v>0.715</v>
      </c>
      <c r="F47" s="19" t="n">
        <v>0.733</v>
      </c>
      <c r="G47" s="19" t="n">
        <v>0.741</v>
      </c>
      <c r="H47" s="19" t="n">
        <v>0.734</v>
      </c>
      <c r="I47" s="20">
        <f>IFERROR(AVERAGE(D47:H47),"-")</f>
        <v/>
      </c>
      <c r="J47" s="19" t="n">
        <v>0.681</v>
      </c>
      <c r="K47" s="19" t="n">
        <v>0.705</v>
      </c>
      <c r="L47" s="19" t="n">
        <v>0.705</v>
      </c>
      <c r="M47" s="19" t="n">
        <v>0.616</v>
      </c>
      <c r="N47" s="19" t="n">
        <v>0.6889999999999999</v>
      </c>
      <c r="O47" s="20">
        <f>IFERROR(AVERAGE(J47:N47),"-")</f>
        <v/>
      </c>
      <c r="P47" s="32">
        <f>IFERROR(O47-I47,"-")</f>
        <v/>
      </c>
    </row>
    <row r="48" ht="15" customHeight="1" s="50">
      <c r="A48" s="9" t="inlineStr">
        <is>
          <t>balance_scale</t>
        </is>
      </c>
      <c r="B48" s="9" t="inlineStr">
        <is>
          <t>boundary</t>
        </is>
      </c>
      <c r="C48" s="31" t="n">
        <v>0.2</v>
      </c>
      <c r="D48" s="19" t="n">
        <v>0.917</v>
      </c>
      <c r="E48" s="19" t="n">
        <v>0.904</v>
      </c>
      <c r="F48" s="19" t="n">
        <v>0.901</v>
      </c>
      <c r="G48" s="19" t="n">
        <v>0.891</v>
      </c>
      <c r="H48" s="19" t="n">
        <v>0.904</v>
      </c>
      <c r="I48" s="20">
        <f>IFERROR(AVERAGE(D48:H48),"-")</f>
        <v/>
      </c>
      <c r="J48" s="19" t="n">
        <v>0.866</v>
      </c>
      <c r="K48" s="19" t="n">
        <v>0.896</v>
      </c>
      <c r="L48" s="19" t="n">
        <v>0.866</v>
      </c>
      <c r="M48" s="19" t="n">
        <v>0.898</v>
      </c>
      <c r="N48" s="19" t="n">
        <v>0.905</v>
      </c>
      <c r="O48" s="20">
        <f>IFERROR(AVERAGE(J48:N48),"-")</f>
        <v/>
      </c>
      <c r="P48" s="32">
        <f>IFERROR(O48-I48,"-")</f>
        <v/>
      </c>
    </row>
    <row r="49" ht="15" customHeight="1" s="50">
      <c r="A49" s="9" t="inlineStr">
        <is>
          <t>balance_scale</t>
        </is>
      </c>
      <c r="B49" s="9" t="inlineStr">
        <is>
          <t>boundary</t>
        </is>
      </c>
      <c r="C49" s="31" t="n">
        <v>0.3</v>
      </c>
      <c r="D49" s="19" t="n">
        <v>0.792</v>
      </c>
      <c r="E49" s="19" t="n">
        <v>0.773</v>
      </c>
      <c r="F49" s="19" t="n">
        <v>0.776</v>
      </c>
      <c r="G49" s="19" t="n">
        <v>0.778</v>
      </c>
      <c r="H49" s="19" t="n">
        <v>0.802</v>
      </c>
      <c r="I49" s="20">
        <f>IFERROR(AVERAGE(D49:H49),"-")</f>
        <v/>
      </c>
      <c r="J49" s="19" t="n">
        <v>0.8110000000000001</v>
      </c>
      <c r="K49" s="19" t="n">
        <v>0.8179999999999999</v>
      </c>
      <c r="L49" s="19" t="n">
        <v>0.788</v>
      </c>
      <c r="M49" s="19" t="n">
        <v>0.792</v>
      </c>
      <c r="N49" s="19" t="n">
        <v>0.792</v>
      </c>
      <c r="O49" s="20">
        <f>IFERROR(AVERAGE(J49:N49),"-")</f>
        <v/>
      </c>
      <c r="P49" s="32">
        <f>IFERROR(O49-I49,"-")</f>
        <v/>
      </c>
    </row>
    <row r="50" ht="15" customHeight="1" s="50">
      <c r="A50" s="9" t="inlineStr">
        <is>
          <t>balance_scale</t>
        </is>
      </c>
      <c r="B50" s="9" t="inlineStr">
        <is>
          <t>boundary</t>
        </is>
      </c>
      <c r="C50" s="31" t="n">
        <v>0.4</v>
      </c>
      <c r="D50" s="19" t="n">
        <v>0.5610000000000001</v>
      </c>
      <c r="E50" s="19" t="n">
        <v>0.601</v>
      </c>
      <c r="F50" s="19" t="n">
        <v>0.5590000000000001</v>
      </c>
      <c r="G50" s="19" t="n">
        <v>0.5659999999999999</v>
      </c>
      <c r="H50" s="19" t="n">
        <v>0.575</v>
      </c>
      <c r="I50" s="20">
        <f>IFERROR(AVERAGE(D50:H50),"-")</f>
        <v/>
      </c>
      <c r="J50" s="19" t="n">
        <v>0.639</v>
      </c>
      <c r="K50" s="19" t="n">
        <v>0.648</v>
      </c>
      <c r="L50" s="19" t="n">
        <v>0.627</v>
      </c>
      <c r="M50" s="19" t="n">
        <v>0.613</v>
      </c>
      <c r="N50" s="19" t="n">
        <v>0.621</v>
      </c>
      <c r="O50" s="20">
        <f>IFERROR(AVERAGE(J50:N50),"-")</f>
        <v/>
      </c>
      <c r="P50" s="32">
        <f>IFERROR(O50-I50,"-")</f>
        <v/>
      </c>
    </row>
    <row r="51" ht="15" customHeight="1" s="50">
      <c r="A51" s="9" t="inlineStr">
        <is>
          <t>balance_scale</t>
        </is>
      </c>
      <c r="B51" s="9" t="inlineStr">
        <is>
          <t>boundary</t>
        </is>
      </c>
      <c r="C51" s="31" t="n">
        <v>0.5</v>
      </c>
      <c r="D51" s="19" t="n">
        <v>0.496</v>
      </c>
      <c r="E51" s="19" t="n">
        <v>0.552</v>
      </c>
      <c r="F51" s="19" t="n">
        <v>0.481</v>
      </c>
      <c r="G51" s="19" t="n">
        <v>0.485</v>
      </c>
      <c r="H51" s="19" t="n">
        <v>0.519</v>
      </c>
      <c r="I51" s="20">
        <f>IFERROR(AVERAGE(D51:H51),"-")</f>
        <v/>
      </c>
      <c r="J51" s="19" t="n">
        <v>0.547</v>
      </c>
      <c r="K51" s="19" t="n">
        <v>0.538</v>
      </c>
      <c r="L51" s="19" t="n">
        <v>0.471</v>
      </c>
      <c r="M51" s="19" t="n">
        <v>0.448</v>
      </c>
      <c r="N51" s="19" t="n">
        <v>0.496</v>
      </c>
      <c r="O51" s="20">
        <f>IFERROR(AVERAGE(J51:N51),"-")</f>
        <v/>
      </c>
      <c r="P51" s="32">
        <f>IFERROR(O51-I51,"-")</f>
        <v/>
      </c>
    </row>
    <row r="52" ht="15" customHeight="1" s="50">
      <c r="A52" s="9" t="inlineStr">
        <is>
          <t>balance_scale</t>
        </is>
      </c>
      <c r="B52" s="9" t="inlineStr">
        <is>
          <t>far</t>
        </is>
      </c>
      <c r="C52" s="31" t="n">
        <v>0.2</v>
      </c>
      <c r="D52" s="19" t="n">
        <v>0.863</v>
      </c>
      <c r="E52" s="19" t="n">
        <v>0.863</v>
      </c>
      <c r="F52" s="19" t="n">
        <v>0.863</v>
      </c>
      <c r="G52" s="19" t="n">
        <v>0.849</v>
      </c>
      <c r="H52" s="19" t="n">
        <v>0.873</v>
      </c>
      <c r="I52" s="20">
        <f>IFERROR(AVERAGE(D52:H52),"-")</f>
        <v/>
      </c>
      <c r="J52" s="19" t="n">
        <v>0.826</v>
      </c>
      <c r="K52" s="19" t="n">
        <v>0.837</v>
      </c>
      <c r="L52" s="19" t="n">
        <v>0.849</v>
      </c>
      <c r="M52" s="19" t="n">
        <v>0.8</v>
      </c>
      <c r="N52" s="19" t="n">
        <v>0.835</v>
      </c>
      <c r="O52" s="20">
        <f>IFERROR(AVERAGE(J52:N52),"-")</f>
        <v/>
      </c>
      <c r="P52" s="32">
        <f>IFERROR(O52-I52,"-")</f>
        <v/>
      </c>
    </row>
    <row r="53" ht="15" customHeight="1" s="50">
      <c r="A53" s="9" t="inlineStr">
        <is>
          <t>balance_scale</t>
        </is>
      </c>
      <c r="B53" s="9" t="inlineStr">
        <is>
          <t>far</t>
        </is>
      </c>
      <c r="C53" s="31" t="n">
        <v>0.3</v>
      </c>
      <c r="D53" s="19" t="n">
        <v>0.764</v>
      </c>
      <c r="E53" s="19" t="n">
        <v>0.759</v>
      </c>
      <c r="F53" s="19" t="n">
        <v>0.804</v>
      </c>
      <c r="G53" s="19" t="n">
        <v>0.74</v>
      </c>
      <c r="H53" s="19" t="n">
        <v>0.755</v>
      </c>
      <c r="I53" s="20">
        <f>IFERROR(AVERAGE(D53:H53),"-")</f>
        <v/>
      </c>
      <c r="J53" s="19" t="n">
        <v>0.8110000000000001</v>
      </c>
      <c r="K53" s="19" t="n">
        <v>0.757</v>
      </c>
      <c r="L53" s="19" t="n">
        <v>0.8</v>
      </c>
      <c r="M53" s="19" t="n">
        <v>0.781</v>
      </c>
      <c r="N53" s="19" t="n">
        <v>0.793</v>
      </c>
      <c r="O53" s="20">
        <f>IFERROR(AVERAGE(J53:N53),"-")</f>
        <v/>
      </c>
      <c r="P53" s="32">
        <f>IFERROR(O53-I53,"-")</f>
        <v/>
      </c>
    </row>
    <row r="54" ht="15" customHeight="1" s="50">
      <c r="A54" s="9" t="inlineStr">
        <is>
          <t>balance_scale</t>
        </is>
      </c>
      <c r="B54" s="9" t="inlineStr">
        <is>
          <t>far</t>
        </is>
      </c>
      <c r="C54" s="31" t="n">
        <v>0.4</v>
      </c>
      <c r="D54" s="19" t="n">
        <v>0.698</v>
      </c>
      <c r="E54" s="19" t="n">
        <v>0.649</v>
      </c>
      <c r="F54" s="19" t="n">
        <v>0.6889999999999999</v>
      </c>
      <c r="G54" s="19" t="n">
        <v>0.667</v>
      </c>
      <c r="H54" s="19" t="n">
        <v>0.644</v>
      </c>
      <c r="I54" s="20">
        <f>IFERROR(AVERAGE(D54:H54),"-")</f>
        <v/>
      </c>
      <c r="J54" s="19" t="n">
        <v>0.701</v>
      </c>
      <c r="K54" s="19" t="n">
        <v>0.663</v>
      </c>
      <c r="L54" s="19" t="n">
        <v>0.653</v>
      </c>
      <c r="M54" s="19" t="n">
        <v>0.715</v>
      </c>
      <c r="N54" s="19" t="n">
        <v>0.637</v>
      </c>
      <c r="O54" s="20">
        <f>IFERROR(AVERAGE(J54:N54),"-")</f>
        <v/>
      </c>
      <c r="P54" s="32">
        <f>IFERROR(O54-I54,"-")</f>
        <v/>
      </c>
    </row>
    <row r="55" ht="15" customHeight="1" s="50">
      <c r="A55" s="9" t="inlineStr">
        <is>
          <t>balance_scale</t>
        </is>
      </c>
      <c r="B55" s="9" t="inlineStr">
        <is>
          <t>far</t>
        </is>
      </c>
      <c r="C55" s="31" t="n">
        <v>0.5</v>
      </c>
      <c r="D55" s="19" t="n">
        <v>0.55</v>
      </c>
      <c r="E55" s="19" t="n">
        <v>0.463</v>
      </c>
      <c r="F55" s="19" t="n">
        <v>0.538</v>
      </c>
      <c r="G55" s="19" t="n">
        <v>0.45</v>
      </c>
      <c r="H55" s="19" t="n">
        <v>0.495</v>
      </c>
      <c r="I55" s="20">
        <f>IFERROR(AVERAGE(D55:H55),"-")</f>
        <v/>
      </c>
      <c r="J55" s="19" t="n">
        <v>0.511</v>
      </c>
      <c r="K55" s="19" t="n">
        <v>0.483</v>
      </c>
      <c r="L55" s="19" t="n">
        <v>0.491</v>
      </c>
      <c r="M55" s="19" t="n">
        <v>0.497</v>
      </c>
      <c r="N55" s="19" t="n">
        <v>0.531</v>
      </c>
      <c r="O55" s="20">
        <f>IFERROR(AVERAGE(J55:N55),"-")</f>
        <v/>
      </c>
      <c r="P55" s="32">
        <f>IFERROR(O55-I55,"-")</f>
        <v/>
      </c>
    </row>
    <row r="56" ht="15" customHeight="1" s="50">
      <c r="A56" s="9" t="inlineStr">
        <is>
          <t>banknote</t>
        </is>
      </c>
      <c r="B56" s="9" t="inlineStr">
        <is>
          <t>(clean)</t>
        </is>
      </c>
      <c r="C56" s="31" t="n">
        <v>0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0.999</v>
      </c>
      <c r="I56" s="20">
        <f>IFERROR(AVERAGE(D56:H56),"-")</f>
        <v/>
      </c>
      <c r="J56" s="19" t="n">
        <v>0.991</v>
      </c>
      <c r="K56" s="19" t="n">
        <v>0.988</v>
      </c>
      <c r="L56" s="19" t="n">
        <v>0.985</v>
      </c>
      <c r="M56" s="19" t="n">
        <v>0.991</v>
      </c>
      <c r="N56" s="19" t="n">
        <v>0.998</v>
      </c>
      <c r="O56" s="20">
        <f>IFERROR(AVERAGE(J56:N56),"-")</f>
        <v/>
      </c>
      <c r="P56" s="32">
        <f>IFERROR(O56-I56,"-")</f>
        <v/>
      </c>
    </row>
    <row r="57" ht="15" customHeight="1" s="50">
      <c r="A57" s="9" t="inlineStr">
        <is>
          <t>banknote</t>
        </is>
      </c>
      <c r="B57" s="9" t="inlineStr">
        <is>
          <t>symmetric</t>
        </is>
      </c>
      <c r="C57" s="31" t="n">
        <v>0.2</v>
      </c>
      <c r="D57" s="19" t="n">
        <v>0.983</v>
      </c>
      <c r="E57" s="19" t="n">
        <v>0.992</v>
      </c>
      <c r="F57" s="19" t="n">
        <v>0.987</v>
      </c>
      <c r="G57" s="19" t="n">
        <v>0.977</v>
      </c>
      <c r="H57" s="19" t="n">
        <v>0.985</v>
      </c>
      <c r="I57" s="20">
        <f>IFERROR(AVERAGE(D57:H57),"-")</f>
        <v/>
      </c>
      <c r="J57" s="19" t="n">
        <v>0.757</v>
      </c>
      <c r="K57" s="19" t="n">
        <v>0.774</v>
      </c>
      <c r="L57" s="19" t="n">
        <v>0.59</v>
      </c>
      <c r="M57" s="19" t="n">
        <v>0.611</v>
      </c>
      <c r="N57" s="19" t="n">
        <v>0.723</v>
      </c>
      <c r="O57" s="20">
        <f>IFERROR(AVERAGE(J57:N57),"-")</f>
        <v/>
      </c>
      <c r="P57" s="32">
        <f>IFERROR(O57-I57,"-")</f>
        <v/>
      </c>
    </row>
    <row r="58" ht="15" customHeight="1" s="50">
      <c r="A58" s="9" t="inlineStr">
        <is>
          <t>banknote</t>
        </is>
      </c>
      <c r="B58" s="9" t="inlineStr">
        <is>
          <t>symmetric</t>
        </is>
      </c>
      <c r="C58" s="31" t="n">
        <v>0.3</v>
      </c>
      <c r="D58" s="19" t="n">
        <v>0.955</v>
      </c>
      <c r="E58" s="19" t="n">
        <v>0.974</v>
      </c>
      <c r="F58" s="19" t="n">
        <v>0.965</v>
      </c>
      <c r="G58" s="19" t="n">
        <v>0.97</v>
      </c>
      <c r="H58" s="19" t="n">
        <v>0.949</v>
      </c>
      <c r="I58" s="20">
        <f>IFERROR(AVERAGE(D58:H58),"-")</f>
        <v/>
      </c>
      <c r="J58" s="19" t="n">
        <v>0.718</v>
      </c>
      <c r="K58" s="19" t="n">
        <v>0.525</v>
      </c>
      <c r="L58" s="19" t="n">
        <v>0.584</v>
      </c>
      <c r="M58" s="19" t="n">
        <v>0.512</v>
      </c>
      <c r="N58" s="19" t="n">
        <v>0.753</v>
      </c>
      <c r="O58" s="20">
        <f>IFERROR(AVERAGE(J58:N58),"-")</f>
        <v/>
      </c>
      <c r="P58" s="32">
        <f>IFERROR(O58-I58,"-")</f>
        <v/>
      </c>
    </row>
    <row r="59" ht="15" customHeight="1" s="50">
      <c r="A59" s="9" t="inlineStr">
        <is>
          <t>banknote</t>
        </is>
      </c>
      <c r="B59" s="9" t="inlineStr">
        <is>
          <t>symmetric</t>
        </is>
      </c>
      <c r="C59" s="31" t="n">
        <v>0.4</v>
      </c>
      <c r="D59" s="19" t="n">
        <v>0.867</v>
      </c>
      <c r="E59" s="19" t="n">
        <v>0.846</v>
      </c>
      <c r="F59" s="19" t="n">
        <v>0.834</v>
      </c>
      <c r="G59" s="19" t="n">
        <v>0.8149999999999999</v>
      </c>
      <c r="H59" s="19" t="n">
        <v>0.852</v>
      </c>
      <c r="I59" s="20">
        <f>IFERROR(AVERAGE(D59:H59),"-")</f>
        <v/>
      </c>
      <c r="J59" s="19" t="n">
        <v>0.652</v>
      </c>
      <c r="K59" s="19" t="n">
        <v>0.672</v>
      </c>
      <c r="L59" s="19" t="n">
        <v>0.571</v>
      </c>
      <c r="M59" s="19" t="n">
        <v>0.73</v>
      </c>
      <c r="N59" s="19" t="n">
        <v>0.478</v>
      </c>
      <c r="O59" s="20">
        <f>IFERROR(AVERAGE(J59:N59),"-")</f>
        <v/>
      </c>
      <c r="P59" s="32">
        <f>IFERROR(O59-I59,"-")</f>
        <v/>
      </c>
    </row>
    <row r="60" ht="15" customHeight="1" s="50">
      <c r="A60" s="9" t="inlineStr">
        <is>
          <t>banknote</t>
        </is>
      </c>
      <c r="B60" s="9" t="inlineStr">
        <is>
          <t>symmetric</t>
        </is>
      </c>
      <c r="C60" s="31" t="n">
        <v>0.5</v>
      </c>
      <c r="D60" s="19" t="n">
        <v>0.476</v>
      </c>
      <c r="E60" s="19" t="n">
        <v>0.52</v>
      </c>
      <c r="F60" s="19" t="n">
        <v>0.472</v>
      </c>
      <c r="G60" s="19" t="n">
        <v>0.453</v>
      </c>
      <c r="H60" s="19" t="n">
        <v>0.499</v>
      </c>
      <c r="I60" s="20">
        <f>IFERROR(AVERAGE(D60:H60),"-")</f>
        <v/>
      </c>
      <c r="J60" s="19" t="n">
        <v>0.45</v>
      </c>
      <c r="K60" s="19" t="n">
        <v>0.496</v>
      </c>
      <c r="L60" s="19" t="n">
        <v>0.515</v>
      </c>
      <c r="M60" s="19" t="n">
        <v>0.556</v>
      </c>
      <c r="N60" s="19" t="n">
        <v>0.477</v>
      </c>
      <c r="O60" s="20">
        <f>IFERROR(AVERAGE(J60:N60),"-")</f>
        <v/>
      </c>
      <c r="P60" s="32">
        <f>IFERROR(O60-I60,"-")</f>
        <v/>
      </c>
    </row>
    <row r="61" ht="15" customHeight="1" s="50">
      <c r="A61" s="9" t="inlineStr">
        <is>
          <t>banknote</t>
        </is>
      </c>
      <c r="B61" s="9" t="inlineStr">
        <is>
          <t>asymmetric</t>
        </is>
      </c>
      <c r="C61" s="31" t="n">
        <v>0.2</v>
      </c>
      <c r="D61" s="19" t="n">
        <v>0.948</v>
      </c>
      <c r="E61" s="19" t="n">
        <v>0.948</v>
      </c>
      <c r="F61" s="19" t="n">
        <v>0.9379999999999999</v>
      </c>
      <c r="G61" s="19" t="n">
        <v>0.959</v>
      </c>
      <c r="H61" s="19" t="n">
        <v>0.95</v>
      </c>
      <c r="I61" s="20">
        <f>IFERROR(AVERAGE(D61:H61),"-")</f>
        <v/>
      </c>
      <c r="J61" s="19" t="n">
        <v>0.83</v>
      </c>
      <c r="K61" s="19" t="n">
        <v>0.756</v>
      </c>
      <c r="L61" s="19" t="n">
        <v>0.795</v>
      </c>
      <c r="M61" s="19" t="n">
        <v>0.891</v>
      </c>
      <c r="N61" s="19" t="n">
        <v>0.784</v>
      </c>
      <c r="O61" s="20">
        <f>IFERROR(AVERAGE(J61:N61),"-")</f>
        <v/>
      </c>
      <c r="P61" s="32">
        <f>IFERROR(O61-I61,"-")</f>
        <v/>
      </c>
    </row>
    <row r="62" ht="15" customHeight="1" s="50">
      <c r="A62" s="9" t="inlineStr">
        <is>
          <t>banknote</t>
        </is>
      </c>
      <c r="B62" s="9" t="inlineStr">
        <is>
          <t>asymmetric</t>
        </is>
      </c>
      <c r="C62" s="31" t="n">
        <v>0.3</v>
      </c>
      <c r="D62" s="19" t="n">
        <v>0.918</v>
      </c>
      <c r="E62" s="19" t="n">
        <v>0.913</v>
      </c>
      <c r="F62" s="19" t="n">
        <v>0.915</v>
      </c>
      <c r="G62" s="19" t="n">
        <v>0.911</v>
      </c>
      <c r="H62" s="19" t="n">
        <v>0.903</v>
      </c>
      <c r="I62" s="20">
        <f>IFERROR(AVERAGE(D62:H62),"-")</f>
        <v/>
      </c>
      <c r="J62" s="19" t="n">
        <v>0.65</v>
      </c>
      <c r="K62" s="19" t="n">
        <v>0.754</v>
      </c>
      <c r="L62" s="19" t="n">
        <v>0.5659999999999999</v>
      </c>
      <c r="M62" s="19" t="n">
        <v>0.87</v>
      </c>
      <c r="N62" s="19" t="n">
        <v>0.701</v>
      </c>
      <c r="O62" s="20">
        <f>IFERROR(AVERAGE(J62:N62),"-")</f>
        <v/>
      </c>
      <c r="P62" s="32">
        <f>IFERROR(O62-I62,"-")</f>
        <v/>
      </c>
    </row>
    <row r="63" ht="15" customHeight="1" s="50">
      <c r="A63" s="9" t="inlineStr">
        <is>
          <t>banknote</t>
        </is>
      </c>
      <c r="B63" s="9" t="inlineStr">
        <is>
          <t>asymmetric</t>
        </is>
      </c>
      <c r="C63" s="31" t="n">
        <v>0.4</v>
      </c>
      <c r="D63" s="19" t="n">
        <v>0.857</v>
      </c>
      <c r="E63" s="19" t="n">
        <v>0.861</v>
      </c>
      <c r="F63" s="19" t="n">
        <v>0.836</v>
      </c>
      <c r="G63" s="19" t="n">
        <v>0.86</v>
      </c>
      <c r="H63" s="19" t="n">
        <v>0.855</v>
      </c>
      <c r="I63" s="20">
        <f>IFERROR(AVERAGE(D63:H63),"-")</f>
        <v/>
      </c>
      <c r="J63" s="19" t="n">
        <v>0.718</v>
      </c>
      <c r="K63" s="19" t="n">
        <v>0.734</v>
      </c>
      <c r="L63" s="19" t="n">
        <v>0.881</v>
      </c>
      <c r="M63" s="19" t="n">
        <v>0.805</v>
      </c>
      <c r="N63" s="19" t="n">
        <v>0.712</v>
      </c>
      <c r="O63" s="20">
        <f>IFERROR(AVERAGE(J63:N63),"-")</f>
        <v/>
      </c>
      <c r="P63" s="32">
        <f>IFERROR(O63-I63,"-")</f>
        <v/>
      </c>
    </row>
    <row r="64" ht="15" customHeight="1" s="50">
      <c r="A64" s="9" t="inlineStr">
        <is>
          <t>banknote</t>
        </is>
      </c>
      <c r="B64" s="9" t="inlineStr">
        <is>
          <t>asymmetric</t>
        </is>
      </c>
      <c r="C64" s="31" t="n">
        <v>0.5</v>
      </c>
      <c r="D64" s="19" t="n">
        <v>0.732</v>
      </c>
      <c r="E64" s="19" t="n">
        <v>0.716</v>
      </c>
      <c r="F64" s="19" t="n">
        <v>0.73</v>
      </c>
      <c r="G64" s="19" t="n">
        <v>0.6919999999999999</v>
      </c>
      <c r="H64" s="19" t="n">
        <v>0.71</v>
      </c>
      <c r="I64" s="20">
        <f>IFERROR(AVERAGE(D64:H64),"-")</f>
        <v/>
      </c>
      <c r="J64" s="19" t="n">
        <v>0.958</v>
      </c>
      <c r="K64" s="19" t="n">
        <v>0.765</v>
      </c>
      <c r="L64" s="19" t="n">
        <v>0.613</v>
      </c>
      <c r="M64" s="19" t="n">
        <v>0.738</v>
      </c>
      <c r="N64" s="19" t="n">
        <v>0.8080000000000001</v>
      </c>
      <c r="O64" s="20">
        <f>IFERROR(AVERAGE(J64:N64),"-")</f>
        <v/>
      </c>
      <c r="P64" s="32">
        <f>IFERROR(O64-I64,"-")</f>
        <v/>
      </c>
    </row>
    <row r="65" ht="15" customHeight="1" s="50">
      <c r="A65" s="9" t="inlineStr">
        <is>
          <t>banknote</t>
        </is>
      </c>
      <c r="B65" s="9" t="inlineStr">
        <is>
          <t>boundary</t>
        </is>
      </c>
      <c r="C65" s="31" t="n">
        <v>0.2</v>
      </c>
      <c r="D65" s="19" t="n">
        <v>0.891</v>
      </c>
      <c r="E65" s="19" t="n">
        <v>0.905</v>
      </c>
      <c r="F65" s="19" t="n">
        <v>0.891</v>
      </c>
      <c r="G65" s="19" t="n">
        <v>0.902</v>
      </c>
      <c r="H65" s="19" t="n">
        <v>0.891</v>
      </c>
      <c r="I65" s="20">
        <f>IFERROR(AVERAGE(D65:H65),"-")</f>
        <v/>
      </c>
      <c r="J65" s="19" t="n">
        <v>0.8100000000000001</v>
      </c>
      <c r="K65" s="19" t="n">
        <v>0.83</v>
      </c>
      <c r="L65" s="19" t="n">
        <v>0.889</v>
      </c>
      <c r="M65" s="19" t="n">
        <v>0.894</v>
      </c>
      <c r="N65" s="19" t="n">
        <v>0.714</v>
      </c>
      <c r="O65" s="20">
        <f>IFERROR(AVERAGE(J65:N65),"-")</f>
        <v/>
      </c>
      <c r="P65" s="32">
        <f>IFERROR(O65-I65,"-")</f>
        <v/>
      </c>
    </row>
    <row r="66" ht="15" customHeight="1" s="50">
      <c r="A66" s="9" t="inlineStr">
        <is>
          <t>banknote</t>
        </is>
      </c>
      <c r="B66" s="9" t="inlineStr">
        <is>
          <t>boundary</t>
        </is>
      </c>
      <c r="C66" s="31" t="n">
        <v>0.3</v>
      </c>
      <c r="D66" s="19" t="n">
        <v>0.819</v>
      </c>
      <c r="E66" s="19" t="n">
        <v>0.761</v>
      </c>
      <c r="F66" s="19" t="n">
        <v>0.804</v>
      </c>
      <c r="G66" s="19" t="n">
        <v>0.791</v>
      </c>
      <c r="H66" s="19" t="n">
        <v>0.805</v>
      </c>
      <c r="I66" s="20">
        <f>IFERROR(AVERAGE(D66:H66),"-")</f>
        <v/>
      </c>
      <c r="J66" s="19" t="n">
        <v>0.771</v>
      </c>
      <c r="K66" s="19" t="n">
        <v>0.796</v>
      </c>
      <c r="L66" s="19" t="n">
        <v>0.843</v>
      </c>
      <c r="M66" s="19" t="n">
        <v>0.702</v>
      </c>
      <c r="N66" s="19" t="n">
        <v>0.746</v>
      </c>
      <c r="O66" s="20">
        <f>IFERROR(AVERAGE(J66:N66),"-")</f>
        <v/>
      </c>
      <c r="P66" s="32">
        <f>IFERROR(O66-I66,"-")</f>
        <v/>
      </c>
    </row>
    <row r="67" ht="15" customHeight="1" s="50">
      <c r="A67" s="9" t="inlineStr">
        <is>
          <t>banknote</t>
        </is>
      </c>
      <c r="B67" s="9" t="inlineStr">
        <is>
          <t>boundary</t>
        </is>
      </c>
      <c r="C67" s="31" t="n">
        <v>0.4</v>
      </c>
      <c r="D67" s="19" t="n">
        <v>0.678</v>
      </c>
      <c r="E67" s="19" t="n">
        <v>0.674</v>
      </c>
      <c r="F67" s="19" t="n">
        <v>0.676</v>
      </c>
      <c r="G67" s="19" t="n">
        <v>0.669</v>
      </c>
      <c r="H67" s="19" t="n">
        <v>0.673</v>
      </c>
      <c r="I67" s="20">
        <f>IFERROR(AVERAGE(D67:H67),"-")</f>
        <v/>
      </c>
      <c r="J67" s="19" t="n">
        <v>0.545</v>
      </c>
      <c r="K67" s="19" t="n">
        <v>0.651</v>
      </c>
      <c r="L67" s="19" t="n">
        <v>0.633</v>
      </c>
      <c r="M67" s="19" t="n">
        <v>0.637</v>
      </c>
      <c r="N67" s="19" t="n">
        <v>0.54</v>
      </c>
      <c r="O67" s="20">
        <f>IFERROR(AVERAGE(J67:N67),"-")</f>
        <v/>
      </c>
      <c r="P67" s="32">
        <f>IFERROR(O67-I67,"-")</f>
        <v/>
      </c>
    </row>
    <row r="68" ht="15" customHeight="1" s="50">
      <c r="A68" s="9" t="inlineStr">
        <is>
          <t>banknote</t>
        </is>
      </c>
      <c r="B68" s="9" t="inlineStr">
        <is>
          <t>boundary</t>
        </is>
      </c>
      <c r="C68" s="31" t="n">
        <v>0.5</v>
      </c>
      <c r="D68" s="19" t="n">
        <v>0.504</v>
      </c>
      <c r="E68" s="19" t="n">
        <v>0.483</v>
      </c>
      <c r="F68" s="19" t="n">
        <v>0.473</v>
      </c>
      <c r="G68" s="19" t="n">
        <v>0.485</v>
      </c>
      <c r="H68" s="19" t="n">
        <v>0.483</v>
      </c>
      <c r="I68" s="20">
        <f>IFERROR(AVERAGE(D68:H68),"-")</f>
        <v/>
      </c>
      <c r="J68" s="19" t="n">
        <v>0.5649999999999999</v>
      </c>
      <c r="K68" s="19" t="n">
        <v>0.6</v>
      </c>
      <c r="L68" s="19" t="n">
        <v>0.497</v>
      </c>
      <c r="M68" s="19" t="n">
        <v>0.499</v>
      </c>
      <c r="N68" s="19" t="n">
        <v>0.494</v>
      </c>
      <c r="O68" s="20">
        <f>IFERROR(AVERAGE(J68:N68),"-")</f>
        <v/>
      </c>
      <c r="P68" s="32">
        <f>IFERROR(O68-I68,"-")</f>
        <v/>
      </c>
    </row>
    <row r="69" ht="15" customHeight="1" s="50">
      <c r="A69" s="9" t="inlineStr">
        <is>
          <t>banknote</t>
        </is>
      </c>
      <c r="B69" s="9" t="inlineStr">
        <is>
          <t>far</t>
        </is>
      </c>
      <c r="C69" s="31" t="n">
        <v>0.2</v>
      </c>
      <c r="D69" s="19" t="n">
        <v>0.8120000000000001</v>
      </c>
      <c r="E69" s="19" t="n">
        <v>0.819</v>
      </c>
      <c r="F69" s="19" t="n">
        <v>0.8090000000000001</v>
      </c>
      <c r="G69" s="19" t="n">
        <v>0.801</v>
      </c>
      <c r="H69" s="19" t="n">
        <v>0.8110000000000001</v>
      </c>
      <c r="I69" s="20">
        <f>IFERROR(AVERAGE(D69:H69),"-")</f>
        <v/>
      </c>
      <c r="J69" s="19" t="n">
        <v>0.795</v>
      </c>
      <c r="K69" s="19" t="n">
        <v>0.801</v>
      </c>
      <c r="L69" s="19" t="n">
        <v>0.788</v>
      </c>
      <c r="M69" s="19" t="n">
        <v>0.803</v>
      </c>
      <c r="N69" s="19" t="n">
        <v>0.747</v>
      </c>
      <c r="O69" s="20">
        <f>IFERROR(AVERAGE(J69:N69),"-")</f>
        <v/>
      </c>
      <c r="P69" s="32">
        <f>IFERROR(O69-I69,"-")</f>
        <v/>
      </c>
    </row>
    <row r="70" ht="15" customHeight="1" s="50">
      <c r="A70" s="9" t="inlineStr">
        <is>
          <t>banknote</t>
        </is>
      </c>
      <c r="B70" s="9" t="inlineStr">
        <is>
          <t>far</t>
        </is>
      </c>
      <c r="C70" s="31" t="n">
        <v>0.3</v>
      </c>
      <c r="D70" s="19" t="n">
        <v>0.773</v>
      </c>
      <c r="E70" s="19" t="n">
        <v>0.727</v>
      </c>
      <c r="F70" s="19" t="n">
        <v>0.6889999999999999</v>
      </c>
      <c r="G70" s="19" t="n">
        <v>0.739</v>
      </c>
      <c r="H70" s="19" t="n">
        <v>0.713</v>
      </c>
      <c r="I70" s="20">
        <f>IFERROR(AVERAGE(D70:H70),"-")</f>
        <v/>
      </c>
      <c r="J70" s="19" t="n">
        <v>0.571</v>
      </c>
      <c r="K70" s="19" t="n">
        <v>0.637</v>
      </c>
      <c r="L70" s="19" t="n">
        <v>0.6820000000000001</v>
      </c>
      <c r="M70" s="19" t="n">
        <v>0.663</v>
      </c>
      <c r="N70" s="19" t="n">
        <v>0.611</v>
      </c>
      <c r="O70" s="20">
        <f>IFERROR(AVERAGE(J70:N70),"-")</f>
        <v/>
      </c>
      <c r="P70" s="32">
        <f>IFERROR(O70-I70,"-")</f>
        <v/>
      </c>
    </row>
    <row r="71" ht="15" customHeight="1" s="50">
      <c r="A71" s="9" t="inlineStr">
        <is>
          <t>banknote</t>
        </is>
      </c>
      <c r="B71" s="9" t="inlineStr">
        <is>
          <t>far</t>
        </is>
      </c>
      <c r="C71" s="31" t="n">
        <v>0.4</v>
      </c>
      <c r="D71" s="19" t="n">
        <v>0.663</v>
      </c>
      <c r="E71" s="19" t="n">
        <v>0.646</v>
      </c>
      <c r="F71" s="19" t="n">
        <v>0.694</v>
      </c>
      <c r="G71" s="19" t="n">
        <v>0.676</v>
      </c>
      <c r="H71" s="19" t="n">
        <v>0.6870000000000001</v>
      </c>
      <c r="I71" s="20">
        <f>IFERROR(AVERAGE(D71:H71),"-")</f>
        <v/>
      </c>
      <c r="J71" s="19" t="n">
        <v>0.621</v>
      </c>
      <c r="K71" s="19" t="n">
        <v>0.571</v>
      </c>
      <c r="L71" s="19" t="n">
        <v>0.6840000000000001</v>
      </c>
      <c r="M71" s="19" t="n">
        <v>0.5659999999999999</v>
      </c>
      <c r="N71" s="19" t="n">
        <v>0.654</v>
      </c>
      <c r="O71" s="20">
        <f>IFERROR(AVERAGE(J71:N71),"-")</f>
        <v/>
      </c>
      <c r="P71" s="32">
        <f>IFERROR(O71-I71,"-")</f>
        <v/>
      </c>
    </row>
    <row r="72" ht="15" customHeight="1" s="50">
      <c r="A72" s="9" t="inlineStr">
        <is>
          <t>banknote</t>
        </is>
      </c>
      <c r="B72" s="9" t="inlineStr">
        <is>
          <t>far</t>
        </is>
      </c>
      <c r="C72" s="31" t="n">
        <v>0.5</v>
      </c>
      <c r="D72" s="19" t="n">
        <v>0.467</v>
      </c>
      <c r="E72" s="19" t="n">
        <v>0.473</v>
      </c>
      <c r="F72" s="19" t="n">
        <v>0.577</v>
      </c>
      <c r="G72" s="19" t="n">
        <v>0.515</v>
      </c>
      <c r="H72" s="19" t="n">
        <v>0.523</v>
      </c>
      <c r="I72" s="20">
        <f>IFERROR(AVERAGE(D72:H72),"-")</f>
        <v/>
      </c>
      <c r="J72" s="19" t="n">
        <v>0.516</v>
      </c>
      <c r="K72" s="19" t="n">
        <v>0.534</v>
      </c>
      <c r="L72" s="19" t="n">
        <v>0.453</v>
      </c>
      <c r="M72" s="19" t="n">
        <v>0.509</v>
      </c>
      <c r="N72" s="19" t="n">
        <v>0.48</v>
      </c>
      <c r="O72" s="20">
        <f>IFERROR(AVERAGE(J72:N72),"-")</f>
        <v/>
      </c>
      <c r="P72" s="32">
        <f>IFERROR(O72-I72,"-")</f>
        <v/>
      </c>
    </row>
    <row r="73" ht="15" customHeight="1" s="50">
      <c r="A73" s="9" t="inlineStr">
        <is>
          <t>breast_cancer</t>
        </is>
      </c>
      <c r="B73" s="9" t="inlineStr">
        <is>
          <t>(clean)</t>
        </is>
      </c>
      <c r="C73" s="31" t="n">
        <v>0</v>
      </c>
      <c r="D73" s="19" t="n">
        <v>0.967</v>
      </c>
      <c r="E73" s="19" t="n">
        <v>0.965</v>
      </c>
      <c r="F73" s="19" t="n">
        <v>0.965</v>
      </c>
      <c r="G73" s="19" t="n">
        <v>0.963</v>
      </c>
      <c r="H73" s="19" t="n">
        <v>0.965</v>
      </c>
      <c r="I73" s="20">
        <f>IFERROR(AVERAGE(D73:H73),"-")</f>
        <v/>
      </c>
      <c r="J73" s="19" t="n">
        <v>0.96</v>
      </c>
      <c r="K73" s="19" t="n">
        <v>0.956</v>
      </c>
      <c r="L73" s="19" t="n">
        <v>0.972</v>
      </c>
      <c r="M73" s="19" t="n">
        <v>0.951</v>
      </c>
      <c r="N73" s="19" t="n">
        <v>0.96</v>
      </c>
      <c r="O73" s="20">
        <f>IFERROR(AVERAGE(J73:N73),"-")</f>
        <v/>
      </c>
      <c r="P73" s="32">
        <f>IFERROR(O73-I73,"-")</f>
        <v/>
      </c>
    </row>
    <row r="74" ht="15" customHeight="1" s="50">
      <c r="A74" s="9" t="inlineStr">
        <is>
          <t>breast_cancer</t>
        </is>
      </c>
      <c r="B74" s="9" t="inlineStr">
        <is>
          <t>symmetric</t>
        </is>
      </c>
      <c r="C74" s="31" t="n">
        <v>0.2</v>
      </c>
      <c r="D74" s="19" t="n">
        <v>0.838</v>
      </c>
      <c r="E74" s="19" t="n">
        <v>0.8120000000000001</v>
      </c>
      <c r="F74" s="19" t="n">
        <v>0.819</v>
      </c>
      <c r="G74" s="19" t="n">
        <v>0.826</v>
      </c>
      <c r="H74" s="19" t="n">
        <v>0.837</v>
      </c>
      <c r="I74" s="20">
        <f>IFERROR(AVERAGE(D74:H74),"-")</f>
        <v/>
      </c>
      <c r="J74" s="19" t="n">
        <v>0.903</v>
      </c>
      <c r="K74" s="19" t="n">
        <v>0.886</v>
      </c>
      <c r="L74" s="19" t="n">
        <v>0.805</v>
      </c>
      <c r="M74" s="19" t="n">
        <v>0.795</v>
      </c>
      <c r="N74" s="19" t="n">
        <v>0.88</v>
      </c>
      <c r="O74" s="20">
        <f>IFERROR(AVERAGE(J74:N74),"-")</f>
        <v/>
      </c>
      <c r="P74" s="32">
        <f>IFERROR(O74-I74,"-")</f>
        <v/>
      </c>
    </row>
    <row r="75" ht="15" customHeight="1" s="50">
      <c r="A75" s="9" t="inlineStr">
        <is>
          <t>breast_cancer</t>
        </is>
      </c>
      <c r="B75" s="9" t="inlineStr">
        <is>
          <t>symmetric</t>
        </is>
      </c>
      <c r="C75" s="31" t="n">
        <v>0.3</v>
      </c>
      <c r="D75" s="19" t="n">
        <v>0.721</v>
      </c>
      <c r="E75" s="19" t="n">
        <v>0.786</v>
      </c>
      <c r="F75" s="19" t="n">
        <v>0.754</v>
      </c>
      <c r="G75" s="19" t="n">
        <v>0.752</v>
      </c>
      <c r="H75" s="19" t="n">
        <v>0.775</v>
      </c>
      <c r="I75" s="20">
        <f>IFERROR(AVERAGE(D75:H75),"-")</f>
        <v/>
      </c>
      <c r="J75" s="19" t="n">
        <v>0.796</v>
      </c>
      <c r="K75" s="19" t="n">
        <v>0.603</v>
      </c>
      <c r="L75" s="19" t="n">
        <v>0.602</v>
      </c>
      <c r="M75" s="19" t="n">
        <v>0.6840000000000001</v>
      </c>
      <c r="N75" s="19" t="n">
        <v>0.773</v>
      </c>
      <c r="O75" s="20">
        <f>IFERROR(AVERAGE(J75:N75),"-")</f>
        <v/>
      </c>
      <c r="P75" s="32">
        <f>IFERROR(O75-I75,"-")</f>
        <v/>
      </c>
    </row>
    <row r="76" ht="15" customHeight="1" s="50">
      <c r="A76" s="9" t="inlineStr">
        <is>
          <t>breast_cancer</t>
        </is>
      </c>
      <c r="B76" s="9" t="inlineStr">
        <is>
          <t>symmetric</t>
        </is>
      </c>
      <c r="C76" s="31" t="n">
        <v>0.4</v>
      </c>
      <c r="D76" s="19" t="n">
        <v>0.643</v>
      </c>
      <c r="E76" s="19" t="n">
        <v>0.627</v>
      </c>
      <c r="F76" s="19" t="n">
        <v>0.699</v>
      </c>
      <c r="G76" s="19" t="n">
        <v>0.656</v>
      </c>
      <c r="H76" s="19" t="n">
        <v>0.608</v>
      </c>
      <c r="I76" s="20">
        <f>IFERROR(AVERAGE(D76:H76),"-")</f>
        <v/>
      </c>
      <c r="J76" s="19" t="n">
        <v>0.659</v>
      </c>
      <c r="K76" s="19" t="n">
        <v>0.766</v>
      </c>
      <c r="L76" s="19" t="n">
        <v>0.737</v>
      </c>
      <c r="M76" s="19" t="n">
        <v>0.52</v>
      </c>
      <c r="N76" s="19" t="n">
        <v>0.661</v>
      </c>
      <c r="O76" s="20">
        <f>IFERROR(AVERAGE(J76:N76),"-")</f>
        <v/>
      </c>
      <c r="P76" s="32">
        <f>IFERROR(O76-I76,"-")</f>
        <v/>
      </c>
    </row>
    <row r="77" ht="15" customHeight="1" s="50">
      <c r="A77" s="9" t="inlineStr">
        <is>
          <t>breast_cancer</t>
        </is>
      </c>
      <c r="B77" s="9" t="inlineStr">
        <is>
          <t>symmetric</t>
        </is>
      </c>
      <c r="C77" s="31" t="n">
        <v>0.5</v>
      </c>
      <c r="D77" s="19" t="n">
        <v>0.499</v>
      </c>
      <c r="E77" s="19" t="n">
        <v>0.534</v>
      </c>
      <c r="F77" s="19" t="n">
        <v>0.501</v>
      </c>
      <c r="G77" s="19" t="n">
        <v>0.501</v>
      </c>
      <c r="H77" s="19" t="n">
        <v>0.48</v>
      </c>
      <c r="I77" s="20">
        <f>IFERROR(AVERAGE(D77:H77),"-")</f>
        <v/>
      </c>
      <c r="J77" s="19" t="n">
        <v>0.471</v>
      </c>
      <c r="K77" s="19" t="n">
        <v>0.473</v>
      </c>
      <c r="L77" s="19" t="n">
        <v>0.513</v>
      </c>
      <c r="M77" s="19" t="n">
        <v>0.455</v>
      </c>
      <c r="N77" s="19" t="n">
        <v>0.425</v>
      </c>
      <c r="O77" s="20">
        <f>IFERROR(AVERAGE(J77:N77),"-")</f>
        <v/>
      </c>
      <c r="P77" s="32">
        <f>IFERROR(O77-I77,"-")</f>
        <v/>
      </c>
    </row>
    <row r="78" ht="15" customHeight="1" s="50">
      <c r="A78" s="9" t="inlineStr">
        <is>
          <t>breast_cancer</t>
        </is>
      </c>
      <c r="B78" s="9" t="inlineStr">
        <is>
          <t>asymmetric</t>
        </is>
      </c>
      <c r="C78" s="31" t="n">
        <v>0.2</v>
      </c>
      <c r="D78" s="19" t="n">
        <v>0.891</v>
      </c>
      <c r="E78" s="19" t="n">
        <v>0.893</v>
      </c>
      <c r="F78" s="19" t="n">
        <v>0.898</v>
      </c>
      <c r="G78" s="19" t="n">
        <v>0.905</v>
      </c>
      <c r="H78" s="19" t="n">
        <v>0.901</v>
      </c>
      <c r="I78" s="20">
        <f>IFERROR(AVERAGE(D78:H78),"-")</f>
        <v/>
      </c>
      <c r="J78" s="19" t="n">
        <v>0.914</v>
      </c>
      <c r="K78" s="19" t="n">
        <v>0.921</v>
      </c>
      <c r="L78" s="19" t="n">
        <v>0.9350000000000001</v>
      </c>
      <c r="M78" s="19" t="n">
        <v>0.917</v>
      </c>
      <c r="N78" s="19" t="n">
        <v>0.903</v>
      </c>
      <c r="O78" s="20">
        <f>IFERROR(AVERAGE(J78:N78),"-")</f>
        <v/>
      </c>
      <c r="P78" s="32">
        <f>IFERROR(O78-I78,"-")</f>
        <v/>
      </c>
    </row>
    <row r="79" ht="15" customHeight="1" s="50">
      <c r="A79" s="9" t="inlineStr">
        <is>
          <t>breast_cancer</t>
        </is>
      </c>
      <c r="B79" s="9" t="inlineStr">
        <is>
          <t>asymmetric</t>
        </is>
      </c>
      <c r="C79" s="31" t="n">
        <v>0.3</v>
      </c>
      <c r="D79" s="19" t="n">
        <v>0.88</v>
      </c>
      <c r="E79" s="19" t="n">
        <v>0.859</v>
      </c>
      <c r="F79" s="19" t="n">
        <v>0.868</v>
      </c>
      <c r="G79" s="19" t="n">
        <v>0.856</v>
      </c>
      <c r="H79" s="19" t="n">
        <v>0.861</v>
      </c>
      <c r="I79" s="20">
        <f>IFERROR(AVERAGE(D79:H79),"-")</f>
        <v/>
      </c>
      <c r="J79" s="19" t="n">
        <v>0.875</v>
      </c>
      <c r="K79" s="19" t="n">
        <v>0.851</v>
      </c>
      <c r="L79" s="19" t="n">
        <v>0.8070000000000001</v>
      </c>
      <c r="M79" s="19" t="n">
        <v>0.8</v>
      </c>
      <c r="N79" s="19" t="n">
        <v>0.847</v>
      </c>
      <c r="O79" s="20">
        <f>IFERROR(AVERAGE(J79:N79),"-")</f>
        <v/>
      </c>
      <c r="P79" s="32">
        <f>IFERROR(O79-I79,"-")</f>
        <v/>
      </c>
    </row>
    <row r="80" ht="15" customHeight="1" s="50">
      <c r="A80" s="9" t="inlineStr">
        <is>
          <t>breast_cancer</t>
        </is>
      </c>
      <c r="B80" s="9" t="inlineStr">
        <is>
          <t>asymmetric</t>
        </is>
      </c>
      <c r="C80" s="31" t="n">
        <v>0.4</v>
      </c>
      <c r="D80" s="19" t="n">
        <v>0.821</v>
      </c>
      <c r="E80" s="19" t="n">
        <v>0.842</v>
      </c>
      <c r="F80" s="19" t="n">
        <v>0.824</v>
      </c>
      <c r="G80" s="19" t="n">
        <v>0.821</v>
      </c>
      <c r="H80" s="19" t="n">
        <v>0.821</v>
      </c>
      <c r="I80" s="20">
        <f>IFERROR(AVERAGE(D80:H80),"-")</f>
        <v/>
      </c>
      <c r="J80" s="19" t="n">
        <v>0.802</v>
      </c>
      <c r="K80" s="19" t="n">
        <v>0.823</v>
      </c>
      <c r="L80" s="19" t="n">
        <v>0.835</v>
      </c>
      <c r="M80" s="19" t="n">
        <v>0.758</v>
      </c>
      <c r="N80" s="19" t="n">
        <v>0.819</v>
      </c>
      <c r="O80" s="20">
        <f>IFERROR(AVERAGE(J80:N80),"-")</f>
        <v/>
      </c>
      <c r="P80" s="32">
        <f>IFERROR(O80-I80,"-")</f>
        <v/>
      </c>
    </row>
    <row r="81" ht="15" customHeight="1" s="50">
      <c r="A81" s="9" t="inlineStr">
        <is>
          <t>breast_cancer</t>
        </is>
      </c>
      <c r="B81" s="9" t="inlineStr">
        <is>
          <t>asymmetric</t>
        </is>
      </c>
      <c r="C81" s="31" t="n">
        <v>0.5</v>
      </c>
      <c r="D81" s="19" t="n">
        <v>0.777</v>
      </c>
      <c r="E81" s="19" t="n">
        <v>0.8080000000000001</v>
      </c>
      <c r="F81" s="19" t="n">
        <v>0.794</v>
      </c>
      <c r="G81" s="19" t="n">
        <v>0.791</v>
      </c>
      <c r="H81" s="19" t="n">
        <v>0.786</v>
      </c>
      <c r="I81" s="20">
        <f>IFERROR(AVERAGE(D81:H81),"-")</f>
        <v/>
      </c>
      <c r="J81" s="19" t="n">
        <v>0.738</v>
      </c>
      <c r="K81" s="19" t="n">
        <v>0.801</v>
      </c>
      <c r="L81" s="19" t="n">
        <v>0.844</v>
      </c>
      <c r="M81" s="19" t="n">
        <v>0.775</v>
      </c>
      <c r="N81" s="19" t="n">
        <v>0.736</v>
      </c>
      <c r="O81" s="20">
        <f>IFERROR(AVERAGE(J81:N81),"-")</f>
        <v/>
      </c>
      <c r="P81" s="32">
        <f>IFERROR(O81-I81,"-")</f>
        <v/>
      </c>
    </row>
    <row r="82" ht="15" customHeight="1" s="50">
      <c r="A82" s="9" t="inlineStr">
        <is>
          <t>breast_cancer</t>
        </is>
      </c>
      <c r="B82" s="9" t="inlineStr">
        <is>
          <t>boundary</t>
        </is>
      </c>
      <c r="C82" s="31" t="n">
        <v>0.2</v>
      </c>
      <c r="D82" s="19" t="n">
        <v>0.861</v>
      </c>
      <c r="E82" s="19" t="n">
        <v>0.866</v>
      </c>
      <c r="F82" s="19" t="n">
        <v>0.854</v>
      </c>
      <c r="G82" s="19" t="n">
        <v>0.868</v>
      </c>
      <c r="H82" s="19" t="n">
        <v>0.858</v>
      </c>
      <c r="I82" s="20">
        <f>IFERROR(AVERAGE(D82:H82),"-")</f>
        <v/>
      </c>
      <c r="J82" s="19" t="n">
        <v>0.835</v>
      </c>
      <c r="K82" s="19" t="n">
        <v>0.754</v>
      </c>
      <c r="L82" s="19" t="n">
        <v>0.858</v>
      </c>
      <c r="M82" s="19" t="n">
        <v>0.821</v>
      </c>
      <c r="N82" s="19" t="n">
        <v>0.788</v>
      </c>
      <c r="O82" s="20">
        <f>IFERROR(AVERAGE(J82:N82),"-")</f>
        <v/>
      </c>
      <c r="P82" s="32">
        <f>IFERROR(O82-I82,"-")</f>
        <v/>
      </c>
    </row>
    <row r="83" ht="15" customHeight="1" s="50">
      <c r="A83" s="9" t="inlineStr">
        <is>
          <t>breast_cancer</t>
        </is>
      </c>
      <c r="B83" s="9" t="inlineStr">
        <is>
          <t>boundary</t>
        </is>
      </c>
      <c r="C83" s="31" t="n">
        <v>0.3</v>
      </c>
      <c r="D83" s="19" t="n">
        <v>0.733</v>
      </c>
      <c r="E83" s="19" t="n">
        <v>0.777</v>
      </c>
      <c r="F83" s="19" t="n">
        <v>0.756</v>
      </c>
      <c r="G83" s="19" t="n">
        <v>0.757</v>
      </c>
      <c r="H83" s="19" t="n">
        <v>0.742</v>
      </c>
      <c r="I83" s="20">
        <f>IFERROR(AVERAGE(D83:H83),"-")</f>
        <v/>
      </c>
      <c r="J83" s="19" t="n">
        <v>0.754</v>
      </c>
      <c r="K83" s="19" t="n">
        <v>0.6899999999999999</v>
      </c>
      <c r="L83" s="19" t="n">
        <v>0.777</v>
      </c>
      <c r="M83" s="19" t="n">
        <v>0.752</v>
      </c>
      <c r="N83" s="19" t="n">
        <v>0.736</v>
      </c>
      <c r="O83" s="20">
        <f>IFERROR(AVERAGE(J83:N83),"-")</f>
        <v/>
      </c>
      <c r="P83" s="32">
        <f>IFERROR(O83-I83,"-")</f>
        <v/>
      </c>
    </row>
    <row r="84" ht="15" customHeight="1" s="50">
      <c r="A84" s="9" t="inlineStr">
        <is>
          <t>breast_cancer</t>
        </is>
      </c>
      <c r="B84" s="9" t="inlineStr">
        <is>
          <t>boundary</t>
        </is>
      </c>
      <c r="C84" s="31" t="n">
        <v>0.4</v>
      </c>
      <c r="D84" s="19" t="n">
        <v>0.678</v>
      </c>
      <c r="E84" s="19" t="n">
        <v>0.641</v>
      </c>
      <c r="F84" s="19" t="n">
        <v>0.596</v>
      </c>
      <c r="G84" s="19" t="n">
        <v>0.6860000000000001</v>
      </c>
      <c r="H84" s="19" t="n">
        <v>0.634</v>
      </c>
      <c r="I84" s="20">
        <f>IFERROR(AVERAGE(D84:H84),"-")</f>
        <v/>
      </c>
      <c r="J84" s="19" t="n">
        <v>0.67</v>
      </c>
      <c r="K84" s="19" t="n">
        <v>0.698</v>
      </c>
      <c r="L84" s="19" t="n">
        <v>0.677</v>
      </c>
      <c r="M84" s="19" t="n">
        <v>0.515</v>
      </c>
      <c r="N84" s="19" t="n">
        <v>0.494</v>
      </c>
      <c r="O84" s="20">
        <f>IFERROR(AVERAGE(J84:N84),"-")</f>
        <v/>
      </c>
      <c r="P84" s="32">
        <f>IFERROR(O84-I84,"-")</f>
        <v/>
      </c>
    </row>
    <row r="85" ht="15" customHeight="1" s="50">
      <c r="A85" s="9" t="inlineStr">
        <is>
          <t>breast_cancer</t>
        </is>
      </c>
      <c r="B85" s="9" t="inlineStr">
        <is>
          <t>boundary</t>
        </is>
      </c>
      <c r="C85" s="31" t="n">
        <v>0.5</v>
      </c>
      <c r="D85" s="19" t="n">
        <v>0.534</v>
      </c>
      <c r="E85" s="19" t="n">
        <v>0.495</v>
      </c>
      <c r="F85" s="19" t="n">
        <v>0.497</v>
      </c>
      <c r="G85" s="19" t="n">
        <v>0.497</v>
      </c>
      <c r="H85" s="19" t="n">
        <v>0.452</v>
      </c>
      <c r="I85" s="20">
        <f>IFERROR(AVERAGE(D85:H85),"-")</f>
        <v/>
      </c>
      <c r="J85" s="19" t="n">
        <v>0.518</v>
      </c>
      <c r="K85" s="19" t="n">
        <v>0.496</v>
      </c>
      <c r="L85" s="19" t="n">
        <v>0.617</v>
      </c>
      <c r="M85" s="19" t="n">
        <v>0.438</v>
      </c>
      <c r="N85" s="19" t="n">
        <v>0.585</v>
      </c>
      <c r="O85" s="20">
        <f>IFERROR(AVERAGE(J85:N85),"-")</f>
        <v/>
      </c>
      <c r="P85" s="32">
        <f>IFERROR(O85-I85,"-")</f>
        <v/>
      </c>
    </row>
    <row r="86" ht="15" customHeight="1" s="50">
      <c r="A86" s="9" t="inlineStr">
        <is>
          <t>breast_cancer</t>
        </is>
      </c>
      <c r="B86" s="9" t="inlineStr">
        <is>
          <t>far</t>
        </is>
      </c>
      <c r="C86" s="31" t="n">
        <v>0.2</v>
      </c>
      <c r="D86" s="19" t="n">
        <v>0.8139999999999999</v>
      </c>
      <c r="E86" s="19" t="n">
        <v>0.84</v>
      </c>
      <c r="F86" s="19" t="n">
        <v>0.801</v>
      </c>
      <c r="G86" s="19" t="n">
        <v>0.854</v>
      </c>
      <c r="H86" s="19" t="n">
        <v>0.835</v>
      </c>
      <c r="I86" s="20">
        <f>IFERROR(AVERAGE(D86:H86),"-")</f>
        <v/>
      </c>
      <c r="J86" s="19" t="n">
        <v>0.828</v>
      </c>
      <c r="K86" s="19" t="n">
        <v>0.787</v>
      </c>
      <c r="L86" s="19" t="n">
        <v>0.8120000000000001</v>
      </c>
      <c r="M86" s="19" t="n">
        <v>0.858</v>
      </c>
      <c r="N86" s="19" t="n">
        <v>0.872</v>
      </c>
      <c r="O86" s="20">
        <f>IFERROR(AVERAGE(J86:N86),"-")</f>
        <v/>
      </c>
      <c r="P86" s="32">
        <f>IFERROR(O86-I86,"-")</f>
        <v/>
      </c>
    </row>
    <row r="87" ht="15" customHeight="1" s="50">
      <c r="A87" s="9" t="inlineStr">
        <is>
          <t>breast_cancer</t>
        </is>
      </c>
      <c r="B87" s="9" t="inlineStr">
        <is>
          <t>far</t>
        </is>
      </c>
      <c r="C87" s="31" t="n">
        <v>0.3</v>
      </c>
      <c r="D87" s="19" t="n">
        <v>0.744</v>
      </c>
      <c r="E87" s="19" t="n">
        <v>0.728</v>
      </c>
      <c r="F87" s="19" t="n">
        <v>0.747</v>
      </c>
      <c r="G87" s="19" t="n">
        <v>0.733</v>
      </c>
      <c r="H87" s="19" t="n">
        <v>0.758</v>
      </c>
      <c r="I87" s="20">
        <f>IFERROR(AVERAGE(D87:H87),"-")</f>
        <v/>
      </c>
      <c r="J87" s="19" t="n">
        <v>0.6909999999999999</v>
      </c>
      <c r="K87" s="19" t="n">
        <v>0.759</v>
      </c>
      <c r="L87" s="19" t="n">
        <v>0.631</v>
      </c>
      <c r="M87" s="19" t="n">
        <v>0.764</v>
      </c>
      <c r="N87" s="19" t="n">
        <v>0.6889999999999999</v>
      </c>
      <c r="O87" s="20">
        <f>IFERROR(AVERAGE(J87:N87),"-")</f>
        <v/>
      </c>
      <c r="P87" s="32">
        <f>IFERROR(O87-I87,"-")</f>
        <v/>
      </c>
    </row>
    <row r="88" ht="15" customHeight="1" s="50">
      <c r="A88" s="9" t="inlineStr">
        <is>
          <t>breast_cancer</t>
        </is>
      </c>
      <c r="B88" s="9" t="inlineStr">
        <is>
          <t>far</t>
        </is>
      </c>
      <c r="C88" s="31" t="n">
        <v>0.4</v>
      </c>
      <c r="D88" s="19" t="n">
        <v>0.61</v>
      </c>
      <c r="E88" s="19" t="n">
        <v>0.647</v>
      </c>
      <c r="F88" s="19" t="n">
        <v>0.671</v>
      </c>
      <c r="G88" s="19" t="n">
        <v>0.661</v>
      </c>
      <c r="H88" s="19" t="n">
        <v>0.634</v>
      </c>
      <c r="I88" s="20">
        <f>IFERROR(AVERAGE(D88:H88),"-")</f>
        <v/>
      </c>
      <c r="J88" s="19" t="n">
        <v>0.709</v>
      </c>
      <c r="K88" s="19" t="n">
        <v>0.549</v>
      </c>
      <c r="L88" s="19" t="n">
        <v>0.5629999999999999</v>
      </c>
      <c r="M88" s="19" t="n">
        <v>0.5580000000000001</v>
      </c>
      <c r="N88" s="19" t="n">
        <v>0.659</v>
      </c>
      <c r="O88" s="20">
        <f>IFERROR(AVERAGE(J88:N88),"-")</f>
        <v/>
      </c>
      <c r="P88" s="32">
        <f>IFERROR(O88-I88,"-")</f>
        <v/>
      </c>
    </row>
    <row r="89" ht="15" customHeight="1" s="50">
      <c r="A89" s="9" t="inlineStr">
        <is>
          <t>breast_cancer</t>
        </is>
      </c>
      <c r="B89" s="9" t="inlineStr">
        <is>
          <t>far</t>
        </is>
      </c>
      <c r="C89" s="31" t="n">
        <v>0.5</v>
      </c>
      <c r="D89" s="19" t="n">
        <v>0.482</v>
      </c>
      <c r="E89" s="19" t="n">
        <v>0.485</v>
      </c>
      <c r="F89" s="19" t="n">
        <v>0.499</v>
      </c>
      <c r="G89" s="19" t="n">
        <v>0.45</v>
      </c>
      <c r="H89" s="19" t="n">
        <v>0.476</v>
      </c>
      <c r="I89" s="20">
        <f>IFERROR(AVERAGE(D89:H89),"-")</f>
        <v/>
      </c>
      <c r="J89" s="19" t="n">
        <v>0.473</v>
      </c>
      <c r="K89" s="19" t="n">
        <v>0.543</v>
      </c>
      <c r="L89" s="19" t="n">
        <v>0.492</v>
      </c>
      <c r="M89" s="19" t="n">
        <v>0.396</v>
      </c>
      <c r="N89" s="19" t="n">
        <v>0.538</v>
      </c>
      <c r="O89" s="20">
        <f>IFERROR(AVERAGE(J89:N89),"-")</f>
        <v/>
      </c>
      <c r="P89" s="32">
        <f>IFERROR(O89-I89,"-")</f>
        <v/>
      </c>
    </row>
    <row r="90" ht="15" customHeight="1" s="50">
      <c r="A90" s="9" t="inlineStr">
        <is>
          <t>german</t>
        </is>
      </c>
      <c r="B90" s="9" t="inlineStr">
        <is>
          <t>(clean)</t>
        </is>
      </c>
      <c r="C90" s="31" t="n">
        <v>0</v>
      </c>
      <c r="D90" s="19" t="n">
        <v>0.739</v>
      </c>
      <c r="E90" s="19" t="n">
        <v>0.727</v>
      </c>
      <c r="F90" s="19" t="n">
        <v>0.73</v>
      </c>
      <c r="G90" s="19" t="n">
        <v>0.74</v>
      </c>
      <c r="H90" s="19" t="n">
        <v>0.74</v>
      </c>
      <c r="I90" s="20">
        <f>IFERROR(AVERAGE(D90:H90),"-")</f>
        <v/>
      </c>
      <c r="J90" s="19" t="n">
        <v>0.727</v>
      </c>
      <c r="K90" s="19" t="n">
        <v>0.728</v>
      </c>
      <c r="L90" s="19" t="n">
        <v>0.735</v>
      </c>
      <c r="M90" s="19" t="n">
        <v>0.65</v>
      </c>
      <c r="N90" s="19" t="n">
        <v>0.725</v>
      </c>
      <c r="O90" s="20">
        <f>IFERROR(AVERAGE(J90:N90),"-")</f>
        <v/>
      </c>
      <c r="P90" s="32">
        <f>IFERROR(O90-I90,"-")</f>
        <v/>
      </c>
    </row>
    <row r="91" ht="15" customHeight="1" s="50">
      <c r="A91" s="9" t="inlineStr">
        <is>
          <t>german</t>
        </is>
      </c>
      <c r="B91" s="9" t="inlineStr">
        <is>
          <t>symmetric</t>
        </is>
      </c>
      <c r="C91" s="31" t="n">
        <v>0.2</v>
      </c>
      <c r="D91" s="19" t="n">
        <v>0.671</v>
      </c>
      <c r="E91" s="19" t="n">
        <v>0.649</v>
      </c>
      <c r="F91" s="19" t="n">
        <v>0.663</v>
      </c>
      <c r="G91" s="19" t="n">
        <v>0.6830000000000001</v>
      </c>
      <c r="H91" s="19" t="n">
        <v>0.636</v>
      </c>
      <c r="I91" s="20">
        <f>IFERROR(AVERAGE(D91:H91),"-")</f>
        <v/>
      </c>
      <c r="J91" s="19" t="n">
        <v>0.644</v>
      </c>
      <c r="K91" s="19" t="n">
        <v>0.66</v>
      </c>
      <c r="L91" s="19" t="n">
        <v>0.617</v>
      </c>
      <c r="M91" s="19" t="n">
        <v>0.696</v>
      </c>
      <c r="N91" s="19" t="n">
        <v>0.667</v>
      </c>
      <c r="O91" s="20">
        <f>IFERROR(AVERAGE(J91:N91),"-")</f>
        <v/>
      </c>
      <c r="P91" s="32">
        <f>IFERROR(O91-I91,"-")</f>
        <v/>
      </c>
    </row>
    <row r="92" ht="15" customHeight="1" s="50">
      <c r="A92" s="9" t="inlineStr">
        <is>
          <t>german</t>
        </is>
      </c>
      <c r="B92" s="9" t="inlineStr">
        <is>
          <t>symmetric</t>
        </is>
      </c>
      <c r="C92" s="31" t="n">
        <v>0.3</v>
      </c>
      <c r="D92" s="19" t="n">
        <v>0.615</v>
      </c>
      <c r="E92" s="19" t="n">
        <v>0.623</v>
      </c>
      <c r="F92" s="19" t="n">
        <v>0.612</v>
      </c>
      <c r="G92" s="19" t="n">
        <v>0.603</v>
      </c>
      <c r="H92" s="19" t="n">
        <v>0.631</v>
      </c>
      <c r="I92" s="20">
        <f>IFERROR(AVERAGE(D92:H92),"-")</f>
        <v/>
      </c>
      <c r="J92" s="19" t="n">
        <v>0.597</v>
      </c>
      <c r="K92" s="19" t="n">
        <v>0.596</v>
      </c>
      <c r="L92" s="19" t="n">
        <v>0.583</v>
      </c>
      <c r="M92" s="19" t="n">
        <v>0.669</v>
      </c>
      <c r="N92" s="19" t="n">
        <v>0.581</v>
      </c>
      <c r="O92" s="20">
        <f>IFERROR(AVERAGE(J92:N92),"-")</f>
        <v/>
      </c>
      <c r="P92" s="32">
        <f>IFERROR(O92-I92,"-")</f>
        <v/>
      </c>
    </row>
    <row r="93" ht="15" customHeight="1" s="50">
      <c r="A93" s="9" t="inlineStr">
        <is>
          <t>german</t>
        </is>
      </c>
      <c r="B93" s="9" t="inlineStr">
        <is>
          <t>symmetric</t>
        </is>
      </c>
      <c r="C93" s="31" t="n">
        <v>0.4</v>
      </c>
      <c r="D93" s="19" t="n">
        <v>0.5590000000000001</v>
      </c>
      <c r="E93" s="19" t="n">
        <v>0.554</v>
      </c>
      <c r="F93" s="19" t="n">
        <v>0.6</v>
      </c>
      <c r="G93" s="19" t="n">
        <v>0.572</v>
      </c>
      <c r="H93" s="19" t="n">
        <v>0.534</v>
      </c>
      <c r="I93" s="20">
        <f>IFERROR(AVERAGE(D93:H93),"-")</f>
        <v/>
      </c>
      <c r="J93" s="19" t="n">
        <v>0.572</v>
      </c>
      <c r="K93" s="19" t="n">
        <v>0.575</v>
      </c>
      <c r="L93" s="19" t="n">
        <v>0.476</v>
      </c>
      <c r="M93" s="19" t="n">
        <v>0.586</v>
      </c>
      <c r="N93" s="19" t="n">
        <v>0.603</v>
      </c>
      <c r="O93" s="20">
        <f>IFERROR(AVERAGE(J93:N93),"-")</f>
        <v/>
      </c>
      <c r="P93" s="32">
        <f>IFERROR(O93-I93,"-")</f>
        <v/>
      </c>
    </row>
    <row r="94" ht="15" customHeight="1" s="50">
      <c r="A94" s="9" t="inlineStr">
        <is>
          <t>german</t>
        </is>
      </c>
      <c r="B94" s="9" t="inlineStr">
        <is>
          <t>symmetric</t>
        </is>
      </c>
      <c r="C94" s="31" t="n">
        <v>0.5</v>
      </c>
      <c r="D94" s="19" t="n">
        <v>0.488</v>
      </c>
      <c r="E94" s="19" t="n">
        <v>0.532</v>
      </c>
      <c r="F94" s="19" t="n">
        <v>0.498</v>
      </c>
      <c r="G94" s="19" t="n">
        <v>0.481</v>
      </c>
      <c r="H94" s="19" t="n">
        <v>0.515</v>
      </c>
      <c r="I94" s="20">
        <f>IFERROR(AVERAGE(D94:H94),"-")</f>
        <v/>
      </c>
      <c r="J94" s="19" t="n">
        <v>0.503</v>
      </c>
      <c r="K94" s="19" t="n">
        <v>0.451</v>
      </c>
      <c r="L94" s="19" t="n">
        <v>0.499</v>
      </c>
      <c r="M94" s="19" t="n">
        <v>0.524</v>
      </c>
      <c r="N94" s="19" t="n">
        <v>0.437</v>
      </c>
      <c r="O94" s="20">
        <f>IFERROR(AVERAGE(J94:N94),"-")</f>
        <v/>
      </c>
      <c r="P94" s="32">
        <f>IFERROR(O94-I94,"-")</f>
        <v/>
      </c>
    </row>
    <row r="95" ht="15" customHeight="1" s="50">
      <c r="A95" s="9" t="inlineStr">
        <is>
          <t>german</t>
        </is>
      </c>
      <c r="B95" s="9" t="inlineStr">
        <is>
          <t>asymmetric</t>
        </is>
      </c>
      <c r="C95" s="31" t="n">
        <v>0.2</v>
      </c>
      <c r="D95" s="19" t="n">
        <v>0.735</v>
      </c>
      <c r="E95" s="19" t="n">
        <v>0.705</v>
      </c>
      <c r="F95" s="19" t="n">
        <v>0.724</v>
      </c>
      <c r="G95" s="19" t="n">
        <v>0.735</v>
      </c>
      <c r="H95" s="19" t="n">
        <v>0.715</v>
      </c>
      <c r="I95" s="20">
        <f>IFERROR(AVERAGE(D95:H95),"-")</f>
        <v/>
      </c>
      <c r="J95" s="19" t="n">
        <v>0.728</v>
      </c>
      <c r="K95" s="19" t="n">
        <v>0.717</v>
      </c>
      <c r="L95" s="19" t="n">
        <v>0.723</v>
      </c>
      <c r="M95" s="19" t="n">
        <v>0.733</v>
      </c>
      <c r="N95" s="19" t="n">
        <v>0.719</v>
      </c>
      <c r="O95" s="20">
        <f>IFERROR(AVERAGE(J95:N95),"-")</f>
        <v/>
      </c>
      <c r="P95" s="32">
        <f>IFERROR(O95-I95,"-")</f>
        <v/>
      </c>
    </row>
    <row r="96" ht="15" customHeight="1" s="50">
      <c r="A96" s="9" t="inlineStr">
        <is>
          <t>german</t>
        </is>
      </c>
      <c r="B96" s="9" t="inlineStr">
        <is>
          <t>asymmetric</t>
        </is>
      </c>
      <c r="C96" s="31" t="n">
        <v>0.3</v>
      </c>
      <c r="D96" s="19" t="n">
        <v>0.716</v>
      </c>
      <c r="E96" s="19" t="n">
        <v>0.725</v>
      </c>
      <c r="F96" s="19" t="n">
        <v>0.714</v>
      </c>
      <c r="G96" s="19" t="n">
        <v>0.715</v>
      </c>
      <c r="H96" s="19" t="n">
        <v>0.735</v>
      </c>
      <c r="I96" s="20">
        <f>IFERROR(AVERAGE(D96:H96),"-")</f>
        <v/>
      </c>
      <c r="J96" s="19" t="n">
        <v>0.712</v>
      </c>
      <c r="K96" s="19" t="n">
        <v>0.734</v>
      </c>
      <c r="L96" s="19" t="n">
        <v>0.725</v>
      </c>
      <c r="M96" s="19" t="n">
        <v>0.716</v>
      </c>
      <c r="N96" s="19" t="n">
        <v>0.722</v>
      </c>
      <c r="O96" s="20">
        <f>IFERROR(AVERAGE(J96:N96),"-")</f>
        <v/>
      </c>
      <c r="P96" s="32">
        <f>IFERROR(O96-I96,"-")</f>
        <v/>
      </c>
    </row>
    <row r="97" ht="15" customHeight="1" s="50">
      <c r="A97" s="9" t="inlineStr">
        <is>
          <t>german</t>
        </is>
      </c>
      <c r="B97" s="9" t="inlineStr">
        <is>
          <t>asymmetric</t>
        </is>
      </c>
      <c r="C97" s="31" t="n">
        <v>0.4</v>
      </c>
      <c r="D97" s="19" t="n">
        <v>0.727</v>
      </c>
      <c r="E97" s="19" t="n">
        <v>0.726</v>
      </c>
      <c r="F97" s="19" t="n">
        <v>0.717</v>
      </c>
      <c r="G97" s="19" t="n">
        <v>0.728</v>
      </c>
      <c r="H97" s="19" t="n">
        <v>0.71</v>
      </c>
      <c r="I97" s="20">
        <f>IFERROR(AVERAGE(D97:H97),"-")</f>
        <v/>
      </c>
      <c r="J97" s="19" t="n">
        <v>0.709</v>
      </c>
      <c r="K97" s="19" t="n">
        <v>0.715</v>
      </c>
      <c r="L97" s="19" t="n">
        <v>0.714</v>
      </c>
      <c r="M97" s="19" t="n">
        <v>0.723</v>
      </c>
      <c r="N97" s="19" t="n">
        <v>0.719</v>
      </c>
      <c r="O97" s="20">
        <f>IFERROR(AVERAGE(J97:N97),"-")</f>
        <v/>
      </c>
      <c r="P97" s="32">
        <f>IFERROR(O97-I97,"-")</f>
        <v/>
      </c>
    </row>
    <row r="98" ht="15" customHeight="1" s="50">
      <c r="A98" s="9" t="inlineStr">
        <is>
          <t>german</t>
        </is>
      </c>
      <c r="B98" s="9" t="inlineStr">
        <is>
          <t>asymmetric</t>
        </is>
      </c>
      <c r="C98" s="31" t="n">
        <v>0.5</v>
      </c>
      <c r="D98" s="19" t="n">
        <v>0.718</v>
      </c>
      <c r="E98" s="19" t="n">
        <v>0.705</v>
      </c>
      <c r="F98" s="19" t="n">
        <v>0.738</v>
      </c>
      <c r="G98" s="19" t="n">
        <v>0.729</v>
      </c>
      <c r="H98" s="19" t="n">
        <v>0.719</v>
      </c>
      <c r="I98" s="20">
        <f>IFERROR(AVERAGE(D98:H98),"-")</f>
        <v/>
      </c>
      <c r="J98" s="19" t="n">
        <v>0.717</v>
      </c>
      <c r="K98" s="19" t="n">
        <v>0.708</v>
      </c>
      <c r="L98" s="19" t="n">
        <v>0.71</v>
      </c>
      <c r="M98" s="19" t="n">
        <v>0.703</v>
      </c>
      <c r="N98" s="19" t="n">
        <v>0.711</v>
      </c>
      <c r="O98" s="20">
        <f>IFERROR(AVERAGE(J98:N98),"-")</f>
        <v/>
      </c>
      <c r="P98" s="32">
        <f>IFERROR(O98-I98,"-")</f>
        <v/>
      </c>
    </row>
    <row r="99" ht="15" customHeight="1" s="50">
      <c r="A99" s="9" t="inlineStr">
        <is>
          <t>german</t>
        </is>
      </c>
      <c r="B99" s="9" t="inlineStr">
        <is>
          <t>boundary</t>
        </is>
      </c>
      <c r="C99" s="31" t="n">
        <v>0.2</v>
      </c>
      <c r="D99" s="19" t="n">
        <v>0.729</v>
      </c>
      <c r="E99" s="19" t="n">
        <v>0.706</v>
      </c>
      <c r="F99" s="19" t="n">
        <v>0.707</v>
      </c>
      <c r="G99" s="19" t="n">
        <v>0.703</v>
      </c>
      <c r="H99" s="19" t="n">
        <v>0.722</v>
      </c>
      <c r="I99" s="20">
        <f>IFERROR(AVERAGE(D99:H99),"-")</f>
        <v/>
      </c>
      <c r="J99" s="19" t="n">
        <v>0.733</v>
      </c>
      <c r="K99" s="19" t="n">
        <v>0.718</v>
      </c>
      <c r="L99" s="19" t="n">
        <v>0.728</v>
      </c>
      <c r="M99" s="19" t="n">
        <v>0.728</v>
      </c>
      <c r="N99" s="19" t="n">
        <v>0.724</v>
      </c>
      <c r="O99" s="20">
        <f>IFERROR(AVERAGE(J99:N99),"-")</f>
        <v/>
      </c>
      <c r="P99" s="32">
        <f>IFERROR(O99-I99,"-")</f>
        <v/>
      </c>
    </row>
    <row r="100" ht="15" customHeight="1" s="50">
      <c r="A100" s="9" t="inlineStr">
        <is>
          <t>german</t>
        </is>
      </c>
      <c r="B100" s="9" t="inlineStr">
        <is>
          <t>boundary</t>
        </is>
      </c>
      <c r="C100" s="31" t="n">
        <v>0.3</v>
      </c>
      <c r="D100" s="19" t="n">
        <v>0.702</v>
      </c>
      <c r="E100" s="19" t="n">
        <v>0.696</v>
      </c>
      <c r="F100" s="19" t="n">
        <v>0.703</v>
      </c>
      <c r="G100" s="19" t="n">
        <v>0.668</v>
      </c>
      <c r="H100" s="19" t="n">
        <v>0.708</v>
      </c>
      <c r="I100" s="20">
        <f>IFERROR(AVERAGE(D100:H100),"-")</f>
        <v/>
      </c>
      <c r="J100" s="19" t="n">
        <v>0.678</v>
      </c>
      <c r="K100" s="19" t="n">
        <v>0.6929999999999999</v>
      </c>
      <c r="L100" s="19" t="n">
        <v>0.678</v>
      </c>
      <c r="M100" s="19" t="n">
        <v>0.6860000000000001</v>
      </c>
      <c r="N100" s="19" t="n">
        <v>0.629</v>
      </c>
      <c r="O100" s="20">
        <f>IFERROR(AVERAGE(J100:N100),"-")</f>
        <v/>
      </c>
      <c r="P100" s="32">
        <f>IFERROR(O100-I100,"-")</f>
        <v/>
      </c>
    </row>
    <row r="101" ht="15" customHeight="1" s="50">
      <c r="A101" s="9" t="inlineStr">
        <is>
          <t>german</t>
        </is>
      </c>
      <c r="B101" s="9" t="inlineStr">
        <is>
          <t>boundary</t>
        </is>
      </c>
      <c r="C101" s="31" t="n">
        <v>0.4</v>
      </c>
      <c r="D101" s="19" t="n">
        <v>0.674</v>
      </c>
      <c r="E101" s="19" t="n">
        <v>0.651</v>
      </c>
      <c r="F101" s="19" t="n">
        <v>0.655</v>
      </c>
      <c r="G101" s="19" t="n">
        <v>0.641</v>
      </c>
      <c r="H101" s="19" t="n">
        <v>0.642</v>
      </c>
      <c r="I101" s="20">
        <f>IFERROR(AVERAGE(D101:H101),"-")</f>
        <v/>
      </c>
      <c r="J101" s="19" t="n">
        <v>0.71</v>
      </c>
      <c r="K101" s="19" t="n">
        <v>0.5679999999999999</v>
      </c>
      <c r="L101" s="19" t="n">
        <v>0.666</v>
      </c>
      <c r="M101" s="19" t="n">
        <v>0.6909999999999999</v>
      </c>
      <c r="N101" s="19" t="n">
        <v>0.699</v>
      </c>
      <c r="O101" s="20">
        <f>IFERROR(AVERAGE(J101:N101),"-")</f>
        <v/>
      </c>
      <c r="P101" s="32">
        <f>IFERROR(O101-I101,"-")</f>
        <v/>
      </c>
    </row>
    <row r="102" ht="15" customHeight="1" s="50">
      <c r="A102" s="9" t="inlineStr">
        <is>
          <t>german</t>
        </is>
      </c>
      <c r="B102" s="9" t="inlineStr">
        <is>
          <t>boundary</t>
        </is>
      </c>
      <c r="C102" s="31" t="n">
        <v>0.5</v>
      </c>
      <c r="D102" s="19" t="n">
        <v>0.478</v>
      </c>
      <c r="E102" s="19" t="n">
        <v>0.51</v>
      </c>
      <c r="F102" s="19" t="n">
        <v>0.507</v>
      </c>
      <c r="G102" s="19" t="n">
        <v>0.499</v>
      </c>
      <c r="H102" s="19" t="n">
        <v>0.452</v>
      </c>
      <c r="I102" s="20">
        <f>IFERROR(AVERAGE(D102:H102),"-")</f>
        <v/>
      </c>
      <c r="J102" s="19" t="n">
        <v>0.509</v>
      </c>
      <c r="K102" s="19" t="n">
        <v>0.5590000000000001</v>
      </c>
      <c r="L102" s="19" t="n">
        <v>0.404</v>
      </c>
      <c r="M102" s="19" t="n">
        <v>0.379</v>
      </c>
      <c r="N102" s="19" t="n">
        <v>0.462</v>
      </c>
      <c r="O102" s="20">
        <f>IFERROR(AVERAGE(J102:N102),"-")</f>
        <v/>
      </c>
      <c r="P102" s="32">
        <f>IFERROR(O102-I102,"-")</f>
        <v/>
      </c>
    </row>
    <row r="103" ht="15" customHeight="1" s="50">
      <c r="A103" s="9" t="inlineStr">
        <is>
          <t>german</t>
        </is>
      </c>
      <c r="B103" s="9" t="inlineStr">
        <is>
          <t>far</t>
        </is>
      </c>
      <c r="C103" s="31" t="n">
        <v>0.2</v>
      </c>
      <c r="D103" s="19" t="n">
        <v>0.698</v>
      </c>
      <c r="E103" s="19" t="n">
        <v>0.674</v>
      </c>
      <c r="F103" s="19" t="n">
        <v>0.678</v>
      </c>
      <c r="G103" s="19" t="n">
        <v>0.6909999999999999</v>
      </c>
      <c r="H103" s="19" t="n">
        <v>0.704</v>
      </c>
      <c r="I103" s="20">
        <f>IFERROR(AVERAGE(D103:H103),"-")</f>
        <v/>
      </c>
      <c r="J103" s="19" t="n">
        <v>0.699</v>
      </c>
      <c r="K103" s="19" t="n">
        <v>0.697</v>
      </c>
      <c r="L103" s="19" t="n">
        <v>0.712</v>
      </c>
      <c r="M103" s="19" t="n">
        <v>0.623</v>
      </c>
      <c r="N103" s="19" t="n">
        <v>0.711</v>
      </c>
      <c r="O103" s="20">
        <f>IFERROR(AVERAGE(J103:N103),"-")</f>
        <v/>
      </c>
      <c r="P103" s="32">
        <f>IFERROR(O103-I103,"-")</f>
        <v/>
      </c>
    </row>
    <row r="104" ht="15" customHeight="1" s="50">
      <c r="A104" s="9" t="inlineStr">
        <is>
          <t>german</t>
        </is>
      </c>
      <c r="B104" s="9" t="inlineStr">
        <is>
          <t>far</t>
        </is>
      </c>
      <c r="C104" s="31" t="n">
        <v>0.3</v>
      </c>
      <c r="D104" s="19" t="n">
        <v>0.625</v>
      </c>
      <c r="E104" s="19" t="n">
        <v>0.648</v>
      </c>
      <c r="F104" s="19" t="n">
        <v>0.652</v>
      </c>
      <c r="G104" s="19" t="n">
        <v>0.644</v>
      </c>
      <c r="H104" s="19" t="n">
        <v>0.621</v>
      </c>
      <c r="I104" s="20">
        <f>IFERROR(AVERAGE(D104:H104),"-")</f>
        <v/>
      </c>
      <c r="J104" s="19" t="n">
        <v>0.577</v>
      </c>
      <c r="K104" s="19" t="n">
        <v>0.63</v>
      </c>
      <c r="L104" s="19" t="n">
        <v>0.681</v>
      </c>
      <c r="M104" s="19" t="n">
        <v>0.623</v>
      </c>
      <c r="N104" s="19" t="n">
        <v>0.68</v>
      </c>
      <c r="O104" s="20">
        <f>IFERROR(AVERAGE(J104:N104),"-")</f>
        <v/>
      </c>
      <c r="P104" s="32">
        <f>IFERROR(O104-I104,"-")</f>
        <v/>
      </c>
    </row>
    <row r="105" ht="15" customHeight="1" s="50">
      <c r="A105" s="9" t="inlineStr">
        <is>
          <t>german</t>
        </is>
      </c>
      <c r="B105" s="9" t="inlineStr">
        <is>
          <t>far</t>
        </is>
      </c>
      <c r="C105" s="31" t="n">
        <v>0.4</v>
      </c>
      <c r="D105" s="19" t="n">
        <v>0.583</v>
      </c>
      <c r="E105" s="19" t="n">
        <v>0.535</v>
      </c>
      <c r="F105" s="19" t="n">
        <v>0.5590000000000001</v>
      </c>
      <c r="G105" s="19" t="n">
        <v>0.57</v>
      </c>
      <c r="H105" s="19" t="n">
        <v>0.58</v>
      </c>
      <c r="I105" s="20">
        <f>IFERROR(AVERAGE(D105:H105),"-")</f>
        <v/>
      </c>
      <c r="J105" s="19" t="n">
        <v>0.668</v>
      </c>
      <c r="K105" s="19" t="n">
        <v>0.549</v>
      </c>
      <c r="L105" s="19" t="n">
        <v>0.62</v>
      </c>
      <c r="M105" s="19" t="n">
        <v>0.511</v>
      </c>
      <c r="N105" s="19" t="n">
        <v>0.638</v>
      </c>
      <c r="O105" s="20">
        <f>IFERROR(AVERAGE(J105:N105),"-")</f>
        <v/>
      </c>
      <c r="P105" s="32">
        <f>IFERROR(O105-I105,"-")</f>
        <v/>
      </c>
    </row>
    <row r="106" ht="15" customHeight="1" s="50">
      <c r="A106" s="9" t="inlineStr">
        <is>
          <t>german</t>
        </is>
      </c>
      <c r="B106" s="9" t="inlineStr">
        <is>
          <t>far</t>
        </is>
      </c>
      <c r="C106" s="31" t="n">
        <v>0.5</v>
      </c>
      <c r="D106" s="19" t="n">
        <v>0.506</v>
      </c>
      <c r="E106" s="19" t="n">
        <v>0.487</v>
      </c>
      <c r="F106" s="19" t="n">
        <v>0.51</v>
      </c>
      <c r="G106" s="19" t="n">
        <v>0.502</v>
      </c>
      <c r="H106" s="19" t="n">
        <v>0.491</v>
      </c>
      <c r="I106" s="20">
        <f>IFERROR(AVERAGE(D106:H106),"-")</f>
        <v/>
      </c>
      <c r="J106" s="19" t="n">
        <v>0.529</v>
      </c>
      <c r="K106" s="19" t="n">
        <v>0.476</v>
      </c>
      <c r="L106" s="19" t="n">
        <v>0.536</v>
      </c>
      <c r="M106" s="19" t="n">
        <v>0.418</v>
      </c>
      <c r="N106" s="19" t="n">
        <v>0.436</v>
      </c>
      <c r="O106" s="20">
        <f>IFERROR(AVERAGE(J106:N106),"-")</f>
        <v/>
      </c>
      <c r="P106" s="32">
        <f>IFERROR(O106-I106,"-")</f>
        <v/>
      </c>
    </row>
    <row r="107" ht="15" customHeight="1" s="50">
      <c r="A107" s="9" t="inlineStr">
        <is>
          <t>haberman</t>
        </is>
      </c>
      <c r="B107" s="9" t="inlineStr">
        <is>
          <t>(clean)</t>
        </is>
      </c>
      <c r="C107" s="31" t="n">
        <v>0</v>
      </c>
      <c r="D107" s="19" t="n">
        <v>0.739</v>
      </c>
      <c r="E107" s="19" t="n">
        <v>0.719</v>
      </c>
      <c r="F107" s="19" t="n">
        <v>0.716</v>
      </c>
      <c r="G107" s="19" t="n">
        <v>0.726</v>
      </c>
      <c r="H107" s="19" t="n">
        <v>0.739</v>
      </c>
      <c r="I107" s="20">
        <f>IFERROR(AVERAGE(D107:H107),"-")</f>
        <v/>
      </c>
      <c r="J107" s="19" t="n">
        <v>0.719</v>
      </c>
      <c r="K107" s="19" t="n">
        <v>0.666</v>
      </c>
      <c r="L107" s="19" t="n">
        <v>0.64</v>
      </c>
      <c r="M107" s="19" t="n">
        <v>0.723</v>
      </c>
      <c r="N107" s="19" t="n">
        <v>0.625</v>
      </c>
      <c r="O107" s="20">
        <f>IFERROR(AVERAGE(J107:N107),"-")</f>
        <v/>
      </c>
      <c r="P107" s="32">
        <f>IFERROR(O107-I107,"-")</f>
        <v/>
      </c>
    </row>
    <row r="108" ht="15" customHeight="1" s="50">
      <c r="A108" s="9" t="inlineStr">
        <is>
          <t>haberman</t>
        </is>
      </c>
      <c r="B108" s="9" t="inlineStr">
        <is>
          <t>symmetric</t>
        </is>
      </c>
      <c r="C108" s="31" t="n">
        <v>0.2</v>
      </c>
      <c r="D108" s="19" t="n">
        <v>0.663</v>
      </c>
      <c r="E108" s="19" t="n">
        <v>0.706</v>
      </c>
      <c r="F108" s="19" t="n">
        <v>0.696</v>
      </c>
      <c r="G108" s="19" t="n">
        <v>0.706</v>
      </c>
      <c r="H108" s="19" t="n">
        <v>0.677</v>
      </c>
      <c r="I108" s="20">
        <f>IFERROR(AVERAGE(D108:H108),"-")</f>
        <v/>
      </c>
      <c r="J108" s="19" t="n">
        <v>0.706</v>
      </c>
      <c r="K108" s="19" t="n">
        <v>0.538</v>
      </c>
      <c r="L108" s="19" t="n">
        <v>0.618</v>
      </c>
      <c r="M108" s="19" t="n">
        <v>0.716</v>
      </c>
      <c r="N108" s="19" t="n">
        <v>0.466</v>
      </c>
      <c r="O108" s="20">
        <f>IFERROR(AVERAGE(J108:N108),"-")</f>
        <v/>
      </c>
      <c r="P108" s="32">
        <f>IFERROR(O108-I108,"-")</f>
        <v/>
      </c>
    </row>
    <row r="109" ht="15" customHeight="1" s="50">
      <c r="A109" s="9" t="inlineStr">
        <is>
          <t>haberman</t>
        </is>
      </c>
      <c r="B109" s="9" t="inlineStr">
        <is>
          <t>symmetric</t>
        </is>
      </c>
      <c r="C109" s="31" t="n">
        <v>0.3</v>
      </c>
      <c r="D109" s="19" t="n">
        <v>0.641</v>
      </c>
      <c r="E109" s="19" t="n">
        <v>0.657</v>
      </c>
      <c r="F109" s="19" t="n">
        <v>0.647</v>
      </c>
      <c r="G109" s="19" t="n">
        <v>0.648</v>
      </c>
      <c r="H109" s="19" t="n">
        <v>0.605</v>
      </c>
      <c r="I109" s="20">
        <f>IFERROR(AVERAGE(D109:H109),"-")</f>
        <v/>
      </c>
      <c r="J109" s="19" t="n">
        <v>0.46</v>
      </c>
      <c r="K109" s="19" t="n">
        <v>0.552</v>
      </c>
      <c r="L109" s="19" t="n">
        <v>0.484</v>
      </c>
      <c r="M109" s="19" t="n">
        <v>0.484</v>
      </c>
      <c r="N109" s="19" t="n">
        <v>0.634</v>
      </c>
      <c r="O109" s="20">
        <f>IFERROR(AVERAGE(J109:N109),"-")</f>
        <v/>
      </c>
      <c r="P109" s="32">
        <f>IFERROR(O109-I109,"-")</f>
        <v/>
      </c>
    </row>
    <row r="110" ht="15" customHeight="1" s="50">
      <c r="A110" s="9" t="inlineStr">
        <is>
          <t>haberman</t>
        </is>
      </c>
      <c r="B110" s="9" t="inlineStr">
        <is>
          <t>symmetric</t>
        </is>
      </c>
      <c r="C110" s="31" t="n">
        <v>0.4</v>
      </c>
      <c r="D110" s="19" t="n">
        <v>0.569</v>
      </c>
      <c r="E110" s="19" t="n">
        <v>0.542</v>
      </c>
      <c r="F110" s="19" t="n">
        <v>0.578</v>
      </c>
      <c r="G110" s="19" t="n">
        <v>0.625</v>
      </c>
      <c r="H110" s="19" t="n">
        <v>0.585</v>
      </c>
      <c r="I110" s="20">
        <f>IFERROR(AVERAGE(D110:H110),"-")</f>
        <v/>
      </c>
      <c r="J110" s="19" t="n">
        <v>0.493</v>
      </c>
      <c r="K110" s="19" t="n">
        <v>0.553</v>
      </c>
      <c r="L110" s="19" t="n">
        <v>0.491</v>
      </c>
      <c r="M110" s="19" t="n">
        <v>0.65</v>
      </c>
      <c r="N110" s="19" t="n">
        <v>0.618</v>
      </c>
      <c r="O110" s="20">
        <f>IFERROR(AVERAGE(J110:N110),"-")</f>
        <v/>
      </c>
      <c r="P110" s="32">
        <f>IFERROR(O110-I110,"-")</f>
        <v/>
      </c>
    </row>
    <row r="111" ht="15" customHeight="1" s="50">
      <c r="A111" s="9" t="inlineStr">
        <is>
          <t>haberman</t>
        </is>
      </c>
      <c r="B111" s="9" t="inlineStr">
        <is>
          <t>symmetric</t>
        </is>
      </c>
      <c r="C111" s="31" t="n">
        <v>0.5</v>
      </c>
      <c r="D111" s="19" t="n">
        <v>0.461</v>
      </c>
      <c r="E111" s="19" t="n">
        <v>0.553</v>
      </c>
      <c r="F111" s="19" t="n">
        <v>0.529</v>
      </c>
      <c r="G111" s="19" t="n">
        <v>0.493</v>
      </c>
      <c r="H111" s="19" t="n">
        <v>0.569</v>
      </c>
      <c r="I111" s="20">
        <f>IFERROR(AVERAGE(D111:H111),"-")</f>
        <v/>
      </c>
      <c r="J111" s="19" t="n">
        <v>0.503</v>
      </c>
      <c r="K111" s="19" t="n">
        <v>0.419</v>
      </c>
      <c r="L111" s="19" t="n">
        <v>0.487</v>
      </c>
      <c r="M111" s="19" t="n">
        <v>0.556</v>
      </c>
      <c r="N111" s="19" t="n">
        <v>0.599</v>
      </c>
      <c r="O111" s="20">
        <f>IFERROR(AVERAGE(J111:N111),"-")</f>
        <v/>
      </c>
      <c r="P111" s="32">
        <f>IFERROR(O111-I111,"-")</f>
        <v/>
      </c>
    </row>
    <row r="112" ht="15" customHeight="1" s="50">
      <c r="A112" s="9" t="inlineStr">
        <is>
          <t>haberman</t>
        </is>
      </c>
      <c r="B112" s="9" t="inlineStr">
        <is>
          <t>asymmetric</t>
        </is>
      </c>
      <c r="C112" s="31" t="n">
        <v>0.2</v>
      </c>
      <c r="D112" s="19" t="n">
        <v>0.663</v>
      </c>
      <c r="E112" s="19" t="n">
        <v>0.676</v>
      </c>
      <c r="F112" s="19" t="n">
        <v>0.6830000000000001</v>
      </c>
      <c r="G112" s="19" t="n">
        <v>0.703</v>
      </c>
      <c r="H112" s="19" t="n">
        <v>0.703</v>
      </c>
      <c r="I112" s="20">
        <f>IFERROR(AVERAGE(D112:H112),"-")</f>
        <v/>
      </c>
      <c r="J112" s="19" t="n">
        <v>0.448</v>
      </c>
      <c r="K112" s="19" t="n">
        <v>0.621</v>
      </c>
      <c r="L112" s="19" t="n">
        <v>0.595</v>
      </c>
      <c r="M112" s="19" t="n">
        <v>0.51</v>
      </c>
      <c r="N112" s="19" t="n">
        <v>0.471</v>
      </c>
      <c r="O112" s="20">
        <f>IFERROR(AVERAGE(J112:N112),"-")</f>
        <v/>
      </c>
      <c r="P112" s="32">
        <f>IFERROR(O112-I112,"-")</f>
        <v/>
      </c>
    </row>
    <row r="113" ht="15" customHeight="1" s="50">
      <c r="A113" s="9" t="inlineStr">
        <is>
          <t>haberman</t>
        </is>
      </c>
      <c r="B113" s="9" t="inlineStr">
        <is>
          <t>asymmetric</t>
        </is>
      </c>
      <c r="C113" s="31" t="n">
        <v>0.3</v>
      </c>
      <c r="D113" s="19" t="n">
        <v>0.624</v>
      </c>
      <c r="E113" s="19" t="n">
        <v>0.611</v>
      </c>
      <c r="F113" s="19" t="n">
        <v>0.614</v>
      </c>
      <c r="G113" s="19" t="n">
        <v>0.595</v>
      </c>
      <c r="H113" s="19" t="n">
        <v>0.585</v>
      </c>
      <c r="I113" s="20">
        <f>IFERROR(AVERAGE(D113:H113),"-")</f>
        <v/>
      </c>
      <c r="J113" s="19" t="n">
        <v>0.699</v>
      </c>
      <c r="K113" s="19" t="n">
        <v>0.601</v>
      </c>
      <c r="L113" s="19" t="n">
        <v>0.722</v>
      </c>
      <c r="M113" s="19" t="n">
        <v>0.629</v>
      </c>
      <c r="N113" s="19" t="n">
        <v>0.468</v>
      </c>
      <c r="O113" s="20">
        <f>IFERROR(AVERAGE(J113:N113),"-")</f>
        <v/>
      </c>
      <c r="P113" s="32">
        <f>IFERROR(O113-I113,"-")</f>
        <v/>
      </c>
    </row>
    <row r="114" ht="15" customHeight="1" s="50">
      <c r="A114" s="9" t="inlineStr">
        <is>
          <t>haberman</t>
        </is>
      </c>
      <c r="B114" s="9" t="inlineStr">
        <is>
          <t>asymmetric</t>
        </is>
      </c>
      <c r="C114" s="31" t="n">
        <v>0.4</v>
      </c>
      <c r="D114" s="19" t="n">
        <v>0.556</v>
      </c>
      <c r="E114" s="19" t="n">
        <v>0.605</v>
      </c>
      <c r="F114" s="19" t="n">
        <v>0.516</v>
      </c>
      <c r="G114" s="19" t="n">
        <v>0.5</v>
      </c>
      <c r="H114" s="19" t="n">
        <v>0.51</v>
      </c>
      <c r="I114" s="20">
        <f>IFERROR(AVERAGE(D114:H114),"-")</f>
        <v/>
      </c>
      <c r="J114" s="19" t="n">
        <v>0.402</v>
      </c>
      <c r="K114" s="19" t="n">
        <v>0.497</v>
      </c>
      <c r="L114" s="19" t="n">
        <v>0.471</v>
      </c>
      <c r="M114" s="19" t="n">
        <v>0.5</v>
      </c>
      <c r="N114" s="19" t="n">
        <v>0.555</v>
      </c>
      <c r="O114" s="20">
        <f>IFERROR(AVERAGE(J114:N114),"-")</f>
        <v/>
      </c>
      <c r="P114" s="32">
        <f>IFERROR(O114-I114,"-")</f>
        <v/>
      </c>
    </row>
    <row r="115" ht="15" customHeight="1" s="50">
      <c r="A115" s="9" t="inlineStr">
        <is>
          <t>haberman</t>
        </is>
      </c>
      <c r="B115" s="9" t="inlineStr">
        <is>
          <t>asymmetric</t>
        </is>
      </c>
      <c r="C115" s="31" t="n">
        <v>0.5</v>
      </c>
      <c r="D115" s="19" t="n">
        <v>0.457</v>
      </c>
      <c r="E115" s="19" t="n">
        <v>0.402</v>
      </c>
      <c r="F115" s="19" t="n">
        <v>0.375</v>
      </c>
      <c r="G115" s="19" t="n">
        <v>0.373</v>
      </c>
      <c r="H115" s="19" t="n">
        <v>0.464</v>
      </c>
      <c r="I115" s="20">
        <f>IFERROR(AVERAGE(D115:H115),"-")</f>
        <v/>
      </c>
      <c r="J115" s="19" t="n">
        <v>0.598</v>
      </c>
      <c r="K115" s="19" t="n">
        <v>0.494</v>
      </c>
      <c r="L115" s="19" t="n">
        <v>0.474</v>
      </c>
      <c r="M115" s="19" t="n">
        <v>0.501</v>
      </c>
      <c r="N115" s="19" t="n">
        <v>0.373</v>
      </c>
      <c r="O115" s="20">
        <f>IFERROR(AVERAGE(J115:N115),"-")</f>
        <v/>
      </c>
      <c r="P115" s="32">
        <f>IFERROR(O115-I115,"-")</f>
        <v/>
      </c>
    </row>
    <row r="116" ht="15" customHeight="1" s="50">
      <c r="A116" s="9" t="inlineStr">
        <is>
          <t>haberman</t>
        </is>
      </c>
      <c r="B116" s="9" t="inlineStr">
        <is>
          <t>boundary</t>
        </is>
      </c>
      <c r="C116" s="31" t="n">
        <v>0.2</v>
      </c>
      <c r="D116" s="19" t="n">
        <v>0.722</v>
      </c>
      <c r="E116" s="19" t="n">
        <v>0.677</v>
      </c>
      <c r="F116" s="19" t="n">
        <v>0.6929999999999999</v>
      </c>
      <c r="G116" s="19" t="n">
        <v>0.742</v>
      </c>
      <c r="H116" s="19" t="n">
        <v>0.719</v>
      </c>
      <c r="I116" s="20">
        <f>IFERROR(AVERAGE(D116:H116),"-")</f>
        <v/>
      </c>
      <c r="J116" s="19" t="n">
        <v>0.536</v>
      </c>
      <c r="K116" s="19" t="n">
        <v>0.585</v>
      </c>
      <c r="L116" s="19" t="n">
        <v>0.538</v>
      </c>
      <c r="M116" s="19" t="n">
        <v>0.497</v>
      </c>
      <c r="N116" s="19" t="n">
        <v>0.641</v>
      </c>
      <c r="O116" s="20">
        <f>IFERROR(AVERAGE(J116:N116),"-")</f>
        <v/>
      </c>
      <c r="P116" s="32">
        <f>IFERROR(O116-I116,"-")</f>
        <v/>
      </c>
    </row>
    <row r="117" ht="15" customHeight="1" s="50">
      <c r="A117" s="9" t="inlineStr">
        <is>
          <t>haberman</t>
        </is>
      </c>
      <c r="B117" s="9" t="inlineStr">
        <is>
          <t>boundary</t>
        </is>
      </c>
      <c r="C117" s="31" t="n">
        <v>0.3</v>
      </c>
      <c r="D117" s="19" t="n">
        <v>0.631</v>
      </c>
      <c r="E117" s="19" t="n">
        <v>0.68</v>
      </c>
      <c r="F117" s="19" t="n">
        <v>0.601</v>
      </c>
      <c r="G117" s="19" t="n">
        <v>0.716</v>
      </c>
      <c r="H117" s="19" t="n">
        <v>0.68</v>
      </c>
      <c r="I117" s="20">
        <f>IFERROR(AVERAGE(D117:H117),"-")</f>
        <v/>
      </c>
      <c r="J117" s="19" t="n">
        <v>0.526</v>
      </c>
      <c r="K117" s="19" t="n">
        <v>0.539</v>
      </c>
      <c r="L117" s="19" t="n">
        <v>0.713</v>
      </c>
      <c r="M117" s="19" t="n">
        <v>0.739</v>
      </c>
      <c r="N117" s="19" t="n">
        <v>0.586</v>
      </c>
      <c r="O117" s="20">
        <f>IFERROR(AVERAGE(J117:N117),"-")</f>
        <v/>
      </c>
      <c r="P117" s="32">
        <f>IFERROR(O117-I117,"-")</f>
        <v/>
      </c>
    </row>
    <row r="118" ht="15" customHeight="1" s="50">
      <c r="A118" s="9" t="inlineStr">
        <is>
          <t>haberman</t>
        </is>
      </c>
      <c r="B118" s="9" t="inlineStr">
        <is>
          <t>boundary</t>
        </is>
      </c>
      <c r="C118" s="31" t="n">
        <v>0.4</v>
      </c>
      <c r="D118" s="19" t="n">
        <v>0.601</v>
      </c>
      <c r="E118" s="19" t="n">
        <v>0.604</v>
      </c>
      <c r="F118" s="19" t="n">
        <v>0.588</v>
      </c>
      <c r="G118" s="19" t="n">
        <v>0.575</v>
      </c>
      <c r="H118" s="19" t="n">
        <v>0.572</v>
      </c>
      <c r="I118" s="20">
        <f>IFERROR(AVERAGE(D118:H118),"-")</f>
        <v/>
      </c>
      <c r="J118" s="19" t="n">
        <v>0.5620000000000001</v>
      </c>
      <c r="K118" s="19" t="n">
        <v>0.483</v>
      </c>
      <c r="L118" s="19" t="n">
        <v>0.476</v>
      </c>
      <c r="M118" s="19" t="n">
        <v>0.601</v>
      </c>
      <c r="N118" s="19" t="n">
        <v>0.51</v>
      </c>
      <c r="O118" s="20">
        <f>IFERROR(AVERAGE(J118:N118),"-")</f>
        <v/>
      </c>
      <c r="P118" s="32">
        <f>IFERROR(O118-I118,"-")</f>
        <v/>
      </c>
    </row>
    <row r="119" ht="15" customHeight="1" s="50">
      <c r="A119" s="9" t="inlineStr">
        <is>
          <t>haberman</t>
        </is>
      </c>
      <c r="B119" s="9" t="inlineStr">
        <is>
          <t>boundary</t>
        </is>
      </c>
      <c r="C119" s="31" t="n">
        <v>0.5</v>
      </c>
      <c r="D119" s="19" t="n">
        <v>0.5590000000000001</v>
      </c>
      <c r="E119" s="19" t="n">
        <v>0.49</v>
      </c>
      <c r="F119" s="19" t="n">
        <v>0.516</v>
      </c>
      <c r="G119" s="19" t="n">
        <v>0.523</v>
      </c>
      <c r="H119" s="19" t="n">
        <v>0.533</v>
      </c>
      <c r="I119" s="20">
        <f>IFERROR(AVERAGE(D119:H119),"-")</f>
        <v/>
      </c>
      <c r="J119" s="19" t="n">
        <v>0.677</v>
      </c>
      <c r="K119" s="19" t="n">
        <v>0.457</v>
      </c>
      <c r="L119" s="19" t="n">
        <v>0.52</v>
      </c>
      <c r="M119" s="19" t="n">
        <v>0.498</v>
      </c>
      <c r="N119" s="19" t="n">
        <v>0.507</v>
      </c>
      <c r="O119" s="20">
        <f>IFERROR(AVERAGE(J119:N119),"-")</f>
        <v/>
      </c>
      <c r="P119" s="32">
        <f>IFERROR(O119-I119,"-")</f>
        <v/>
      </c>
    </row>
    <row r="120" ht="15" customHeight="1" s="50">
      <c r="A120" s="9" t="inlineStr">
        <is>
          <t>haberman</t>
        </is>
      </c>
      <c r="B120" s="9" t="inlineStr">
        <is>
          <t>far</t>
        </is>
      </c>
      <c r="C120" s="31" t="n">
        <v>0.2</v>
      </c>
      <c r="D120" s="19" t="n">
        <v>0.6929999999999999</v>
      </c>
      <c r="E120" s="19" t="n">
        <v>0.644</v>
      </c>
      <c r="F120" s="19" t="n">
        <v>0.68</v>
      </c>
      <c r="G120" s="19" t="n">
        <v>0.6929999999999999</v>
      </c>
      <c r="H120" s="19" t="n">
        <v>0.676</v>
      </c>
      <c r="I120" s="20">
        <f>IFERROR(AVERAGE(D120:H120),"-")</f>
        <v/>
      </c>
      <c r="J120" s="19" t="n">
        <v>0.624</v>
      </c>
      <c r="K120" s="19" t="n">
        <v>0.716</v>
      </c>
      <c r="L120" s="19" t="n">
        <v>0.726</v>
      </c>
      <c r="M120" s="19" t="n">
        <v>0.673</v>
      </c>
      <c r="N120" s="19" t="n">
        <v>0.673</v>
      </c>
      <c r="O120" s="20">
        <f>IFERROR(AVERAGE(J120:N120),"-")</f>
        <v/>
      </c>
      <c r="P120" s="32">
        <f>IFERROR(O120-I120,"-")</f>
        <v/>
      </c>
    </row>
    <row r="121" ht="15" customHeight="1" s="50">
      <c r="A121" s="9" t="inlineStr">
        <is>
          <t>haberman</t>
        </is>
      </c>
      <c r="B121" s="9" t="inlineStr">
        <is>
          <t>far</t>
        </is>
      </c>
      <c r="C121" s="31" t="n">
        <v>0.3</v>
      </c>
      <c r="D121" s="19" t="n">
        <v>0.654</v>
      </c>
      <c r="E121" s="19" t="n">
        <v>0.611</v>
      </c>
      <c r="F121" s="19" t="n">
        <v>0.654</v>
      </c>
      <c r="G121" s="19" t="n">
        <v>0.624</v>
      </c>
      <c r="H121" s="19" t="n">
        <v>0.663</v>
      </c>
      <c r="I121" s="20">
        <f>IFERROR(AVERAGE(D121:H121),"-")</f>
        <v/>
      </c>
      <c r="J121" s="19" t="n">
        <v>0.49</v>
      </c>
      <c r="K121" s="19" t="n">
        <v>0.5600000000000001</v>
      </c>
      <c r="L121" s="19" t="n">
        <v>0.673</v>
      </c>
      <c r="M121" s="19" t="n">
        <v>0.631</v>
      </c>
      <c r="N121" s="19" t="n">
        <v>0.609</v>
      </c>
      <c r="O121" s="20">
        <f>IFERROR(AVERAGE(J121:N121),"-")</f>
        <v/>
      </c>
      <c r="P121" s="32">
        <f>IFERROR(O121-I121,"-")</f>
        <v/>
      </c>
    </row>
    <row r="122" ht="15" customHeight="1" s="50">
      <c r="A122" s="9" t="inlineStr">
        <is>
          <t>haberman</t>
        </is>
      </c>
      <c r="B122" s="9" t="inlineStr">
        <is>
          <t>far</t>
        </is>
      </c>
      <c r="C122" s="31" t="n">
        <v>0.4</v>
      </c>
      <c r="D122" s="19" t="n">
        <v>0.66</v>
      </c>
      <c r="E122" s="19" t="n">
        <v>0.595</v>
      </c>
      <c r="F122" s="19" t="n">
        <v>0.5590000000000001</v>
      </c>
      <c r="G122" s="19" t="n">
        <v>0.66</v>
      </c>
      <c r="H122" s="19" t="n">
        <v>0.543</v>
      </c>
      <c r="I122" s="20">
        <f>IFERROR(AVERAGE(D122:H122),"-")</f>
        <v/>
      </c>
      <c r="J122" s="19" t="n">
        <v>0.6830000000000001</v>
      </c>
      <c r="K122" s="19" t="n">
        <v>0.67</v>
      </c>
      <c r="L122" s="19" t="n">
        <v>0.637</v>
      </c>
      <c r="M122" s="19" t="n">
        <v>0.611</v>
      </c>
      <c r="N122" s="19" t="n">
        <v>0.465</v>
      </c>
      <c r="O122" s="20">
        <f>IFERROR(AVERAGE(J122:N122),"-")</f>
        <v/>
      </c>
      <c r="P122" s="32">
        <f>IFERROR(O122-I122,"-")</f>
        <v/>
      </c>
    </row>
    <row r="123" ht="15" customHeight="1" s="50">
      <c r="A123" s="9" t="inlineStr">
        <is>
          <t>haberman</t>
        </is>
      </c>
      <c r="B123" s="9" t="inlineStr">
        <is>
          <t>far</t>
        </is>
      </c>
      <c r="C123" s="31" t="n">
        <v>0.5</v>
      </c>
      <c r="D123" s="19" t="n">
        <v>0.516</v>
      </c>
      <c r="E123" s="19" t="n">
        <v>0.529</v>
      </c>
      <c r="F123" s="19" t="n">
        <v>0.435</v>
      </c>
      <c r="G123" s="19" t="n">
        <v>0.507</v>
      </c>
      <c r="H123" s="19" t="n">
        <v>0.432</v>
      </c>
      <c r="I123" s="20">
        <f>IFERROR(AVERAGE(D123:H123),"-")</f>
        <v/>
      </c>
      <c r="J123" s="19" t="n">
        <v>0.5580000000000001</v>
      </c>
      <c r="K123" s="19" t="n">
        <v>0.519</v>
      </c>
      <c r="L123" s="19" t="n">
        <v>0.422</v>
      </c>
      <c r="M123" s="19" t="n">
        <v>0.543</v>
      </c>
      <c r="N123" s="19" t="n">
        <v>0.473</v>
      </c>
      <c r="O123" s="20">
        <f>IFERROR(AVERAGE(J123:N123),"-")</f>
        <v/>
      </c>
      <c r="P123" s="32">
        <f>IFERROR(O123-I123,"-")</f>
        <v/>
      </c>
    </row>
    <row r="124" ht="15" customHeight="1" s="50">
      <c r="A124" s="9" t="inlineStr">
        <is>
          <t>heart</t>
        </is>
      </c>
      <c r="B124" s="9" t="inlineStr">
        <is>
          <t>(clean)</t>
        </is>
      </c>
      <c r="C124" s="31" t="n">
        <v>0</v>
      </c>
      <c r="D124" s="19" t="n">
        <v>0.825</v>
      </c>
      <c r="E124" s="19" t="n">
        <v>0.788</v>
      </c>
      <c r="F124" s="19" t="n">
        <v>0.781</v>
      </c>
      <c r="G124" s="19" t="n">
        <v>0.801</v>
      </c>
      <c r="H124" s="19" t="n">
        <v>0.805</v>
      </c>
      <c r="I124" s="20">
        <f>IFERROR(AVERAGE(D124:H124),"-")</f>
        <v/>
      </c>
      <c r="J124" s="19" t="n">
        <v>0.8110000000000001</v>
      </c>
      <c r="K124" s="19" t="n">
        <v>0.788</v>
      </c>
      <c r="L124" s="19" t="n">
        <v>0.788</v>
      </c>
      <c r="M124" s="19" t="n">
        <v>0.801</v>
      </c>
      <c r="N124" s="19" t="n">
        <v>0.788</v>
      </c>
      <c r="O124" s="20">
        <f>IFERROR(AVERAGE(J124:N124),"-")</f>
        <v/>
      </c>
      <c r="P124" s="32">
        <f>IFERROR(O124-I124,"-")</f>
        <v/>
      </c>
    </row>
    <row r="125" ht="15" customHeight="1" s="50">
      <c r="A125" s="9" t="inlineStr">
        <is>
          <t>heart</t>
        </is>
      </c>
      <c r="B125" s="9" t="inlineStr">
        <is>
          <t>symmetric</t>
        </is>
      </c>
      <c r="C125" s="31" t="n">
        <v>0.2</v>
      </c>
      <c r="D125" s="19" t="n">
        <v>0.717</v>
      </c>
      <c r="E125" s="19" t="n">
        <v>0.7</v>
      </c>
      <c r="F125" s="19" t="n">
        <v>0.7</v>
      </c>
      <c r="G125" s="19" t="n">
        <v>0.727</v>
      </c>
      <c r="H125" s="19" t="n">
        <v>0.754</v>
      </c>
      <c r="I125" s="20">
        <f>IFERROR(AVERAGE(D125:H125),"-")</f>
        <v/>
      </c>
      <c r="J125" s="19" t="n">
        <v>0.663</v>
      </c>
      <c r="K125" s="19" t="n">
        <v>0.65</v>
      </c>
      <c r="L125" s="19" t="n">
        <v>0.721</v>
      </c>
      <c r="M125" s="19" t="n">
        <v>0.697</v>
      </c>
      <c r="N125" s="19" t="n">
        <v>0.724</v>
      </c>
      <c r="O125" s="20">
        <f>IFERROR(AVERAGE(J125:N125),"-")</f>
        <v/>
      </c>
      <c r="P125" s="32">
        <f>IFERROR(O125-I125,"-")</f>
        <v/>
      </c>
    </row>
    <row r="126" ht="15" customHeight="1" s="50">
      <c r="A126" s="9" t="inlineStr">
        <is>
          <t>heart</t>
        </is>
      </c>
      <c r="B126" s="9" t="inlineStr">
        <is>
          <t>symmetric</t>
        </is>
      </c>
      <c r="C126" s="31" t="n">
        <v>0.3</v>
      </c>
      <c r="D126" s="19" t="n">
        <v>0.646</v>
      </c>
      <c r="E126" s="19" t="n">
        <v>0.673</v>
      </c>
      <c r="F126" s="19" t="n">
        <v>0.6</v>
      </c>
      <c r="G126" s="19" t="n">
        <v>0.6830000000000001</v>
      </c>
      <c r="H126" s="19" t="n">
        <v>0.64</v>
      </c>
      <c r="I126" s="20">
        <f>IFERROR(AVERAGE(D126:H126),"-")</f>
        <v/>
      </c>
      <c r="J126" s="19" t="n">
        <v>0.713</v>
      </c>
      <c r="K126" s="19" t="n">
        <v>0.68</v>
      </c>
      <c r="L126" s="19" t="n">
        <v>0.64</v>
      </c>
      <c r="M126" s="19" t="n">
        <v>0.592</v>
      </c>
      <c r="N126" s="19" t="n">
        <v>0.65</v>
      </c>
      <c r="O126" s="20">
        <f>IFERROR(AVERAGE(J126:N126),"-")</f>
        <v/>
      </c>
      <c r="P126" s="32">
        <f>IFERROR(O126-I126,"-")</f>
        <v/>
      </c>
    </row>
    <row r="127" ht="15" customHeight="1" s="50">
      <c r="A127" s="9" t="inlineStr">
        <is>
          <t>heart</t>
        </is>
      </c>
      <c r="B127" s="9" t="inlineStr">
        <is>
          <t>symmetric</t>
        </is>
      </c>
      <c r="C127" s="31" t="n">
        <v>0.4</v>
      </c>
      <c r="D127" s="19" t="n">
        <v>0.552</v>
      </c>
      <c r="E127" s="19" t="n">
        <v>0.579</v>
      </c>
      <c r="F127" s="19" t="n">
        <v>0.522</v>
      </c>
      <c r="G127" s="19" t="n">
        <v>0.576</v>
      </c>
      <c r="H127" s="19" t="n">
        <v>0.626</v>
      </c>
      <c r="I127" s="20">
        <f>IFERROR(AVERAGE(D127:H127),"-")</f>
        <v/>
      </c>
      <c r="J127" s="19" t="n">
        <v>0.543</v>
      </c>
      <c r="K127" s="19" t="n">
        <v>0.556</v>
      </c>
      <c r="L127" s="19" t="n">
        <v>0.572</v>
      </c>
      <c r="M127" s="19" t="n">
        <v>0.529</v>
      </c>
      <c r="N127" s="19" t="n">
        <v>0.522</v>
      </c>
      <c r="O127" s="20">
        <f>IFERROR(AVERAGE(J127:N127),"-")</f>
        <v/>
      </c>
      <c r="P127" s="32">
        <f>IFERROR(O127-I127,"-")</f>
        <v/>
      </c>
    </row>
    <row r="128" ht="15" customHeight="1" s="50">
      <c r="A128" s="9" t="inlineStr">
        <is>
          <t>heart</t>
        </is>
      </c>
      <c r="B128" s="9" t="inlineStr">
        <is>
          <t>symmetric</t>
        </is>
      </c>
      <c r="C128" s="31" t="n">
        <v>0.5</v>
      </c>
      <c r="D128" s="19" t="n">
        <v>0.481</v>
      </c>
      <c r="E128" s="19" t="n">
        <v>0.488</v>
      </c>
      <c r="F128" s="19" t="n">
        <v>0.532</v>
      </c>
      <c r="G128" s="19" t="n">
        <v>0.488</v>
      </c>
      <c r="H128" s="19" t="n">
        <v>0.519</v>
      </c>
      <c r="I128" s="20">
        <f>IFERROR(AVERAGE(D128:H128),"-")</f>
        <v/>
      </c>
      <c r="J128" s="19" t="n">
        <v>0.529</v>
      </c>
      <c r="K128" s="19" t="n">
        <v>0.499</v>
      </c>
      <c r="L128" s="19" t="n">
        <v>0.478</v>
      </c>
      <c r="M128" s="19" t="n">
        <v>0.569</v>
      </c>
      <c r="N128" s="19" t="n">
        <v>0.576</v>
      </c>
      <c r="O128" s="20">
        <f>IFERROR(AVERAGE(J128:N128),"-")</f>
        <v/>
      </c>
      <c r="P128" s="32">
        <f>IFERROR(O128-I128,"-")</f>
        <v/>
      </c>
    </row>
    <row r="129" ht="15" customHeight="1" s="50">
      <c r="A129" s="9" t="inlineStr">
        <is>
          <t>heart</t>
        </is>
      </c>
      <c r="B129" s="9" t="inlineStr">
        <is>
          <t>asymmetric</t>
        </is>
      </c>
      <c r="C129" s="31" t="n">
        <v>0.2</v>
      </c>
      <c r="D129" s="19" t="n">
        <v>0.738</v>
      </c>
      <c r="E129" s="19" t="n">
        <v>0.73</v>
      </c>
      <c r="F129" s="19" t="n">
        <v>0.734</v>
      </c>
      <c r="G129" s="19" t="n">
        <v>0.737</v>
      </c>
      <c r="H129" s="19" t="n">
        <v>0.778</v>
      </c>
      <c r="I129" s="20">
        <f>IFERROR(AVERAGE(D129:H129),"-")</f>
        <v/>
      </c>
      <c r="J129" s="19" t="n">
        <v>0.777</v>
      </c>
      <c r="K129" s="19" t="n">
        <v>0.774</v>
      </c>
      <c r="L129" s="19" t="n">
        <v>0.737</v>
      </c>
      <c r="M129" s="19" t="n">
        <v>0.697</v>
      </c>
      <c r="N129" s="19" t="n">
        <v>0.724</v>
      </c>
      <c r="O129" s="20">
        <f>IFERROR(AVERAGE(J129:N129),"-")</f>
        <v/>
      </c>
      <c r="P129" s="32">
        <f>IFERROR(O129-I129,"-")</f>
        <v/>
      </c>
    </row>
    <row r="130" ht="15" customHeight="1" s="50">
      <c r="A130" s="9" t="inlineStr">
        <is>
          <t>heart</t>
        </is>
      </c>
      <c r="B130" s="9" t="inlineStr">
        <is>
          <t>asymmetric</t>
        </is>
      </c>
      <c r="C130" s="31" t="n">
        <v>0.3</v>
      </c>
      <c r="D130" s="19" t="n">
        <v>0.761</v>
      </c>
      <c r="E130" s="19" t="n">
        <v>0.7</v>
      </c>
      <c r="F130" s="19" t="n">
        <v>0.731</v>
      </c>
      <c r="G130" s="19" t="n">
        <v>0.754</v>
      </c>
      <c r="H130" s="19" t="n">
        <v>0.751</v>
      </c>
      <c r="I130" s="20">
        <f>IFERROR(AVERAGE(D130:H130),"-")</f>
        <v/>
      </c>
      <c r="J130" s="19" t="n">
        <v>0.737</v>
      </c>
      <c r="K130" s="19" t="n">
        <v>0.707</v>
      </c>
      <c r="L130" s="19" t="n">
        <v>0.734</v>
      </c>
      <c r="M130" s="19" t="n">
        <v>0.731</v>
      </c>
      <c r="N130" s="19" t="n">
        <v>0.724</v>
      </c>
      <c r="O130" s="20">
        <f>IFERROR(AVERAGE(J130:N130),"-")</f>
        <v/>
      </c>
      <c r="P130" s="32">
        <f>IFERROR(O130-I130,"-")</f>
        <v/>
      </c>
    </row>
    <row r="131" ht="15" customHeight="1" s="50">
      <c r="A131" s="9" t="inlineStr">
        <is>
          <t>heart</t>
        </is>
      </c>
      <c r="B131" s="9" t="inlineStr">
        <is>
          <t>asymmetric</t>
        </is>
      </c>
      <c r="C131" s="31" t="n">
        <v>0.4</v>
      </c>
      <c r="D131" s="19" t="n">
        <v>0.6840000000000001</v>
      </c>
      <c r="E131" s="19" t="n">
        <v>0.649</v>
      </c>
      <c r="F131" s="19" t="n">
        <v>0.66</v>
      </c>
      <c r="G131" s="19" t="n">
        <v>0.6840000000000001</v>
      </c>
      <c r="H131" s="19" t="n">
        <v>0.68</v>
      </c>
      <c r="I131" s="20">
        <f>IFERROR(AVERAGE(D131:H131),"-")</f>
        <v/>
      </c>
      <c r="J131" s="19" t="n">
        <v>0.673</v>
      </c>
      <c r="K131" s="19" t="n">
        <v>0.704</v>
      </c>
      <c r="L131" s="19" t="n">
        <v>0.704</v>
      </c>
      <c r="M131" s="19" t="n">
        <v>0.7</v>
      </c>
      <c r="N131" s="19" t="n">
        <v>0.646</v>
      </c>
      <c r="O131" s="20">
        <f>IFERROR(AVERAGE(J131:N131),"-")</f>
        <v/>
      </c>
      <c r="P131" s="32">
        <f>IFERROR(O131-I131,"-")</f>
        <v/>
      </c>
    </row>
    <row r="132" ht="15" customHeight="1" s="50">
      <c r="A132" s="9" t="inlineStr">
        <is>
          <t>heart</t>
        </is>
      </c>
      <c r="B132" s="9" t="inlineStr">
        <is>
          <t>asymmetric</t>
        </is>
      </c>
      <c r="C132" s="31" t="n">
        <v>0.5</v>
      </c>
      <c r="D132" s="19" t="n">
        <v>0.599</v>
      </c>
      <c r="E132" s="19" t="n">
        <v>0.593</v>
      </c>
      <c r="F132" s="19" t="n">
        <v>0.636</v>
      </c>
      <c r="G132" s="19" t="n">
        <v>0.609</v>
      </c>
      <c r="H132" s="19" t="n">
        <v>0.656</v>
      </c>
      <c r="I132" s="20">
        <f>IFERROR(AVERAGE(D132:H132),"-")</f>
        <v/>
      </c>
      <c r="J132" s="19" t="n">
        <v>0.626</v>
      </c>
      <c r="K132" s="19" t="n">
        <v>0.586</v>
      </c>
      <c r="L132" s="19" t="n">
        <v>0.62</v>
      </c>
      <c r="M132" s="19" t="n">
        <v>0.607</v>
      </c>
      <c r="N132" s="19" t="n">
        <v>0.508</v>
      </c>
      <c r="O132" s="20">
        <f>IFERROR(AVERAGE(J132:N132),"-")</f>
        <v/>
      </c>
      <c r="P132" s="32">
        <f>IFERROR(O132-I132,"-")</f>
        <v/>
      </c>
    </row>
    <row r="133" ht="15" customHeight="1" s="50">
      <c r="A133" s="9" t="inlineStr">
        <is>
          <t>heart</t>
        </is>
      </c>
      <c r="B133" s="9" t="inlineStr">
        <is>
          <t>boundary</t>
        </is>
      </c>
      <c r="C133" s="31" t="n">
        <v>0.2</v>
      </c>
      <c r="D133" s="19" t="n">
        <v>0.8149999999999999</v>
      </c>
      <c r="E133" s="19" t="n">
        <v>0.761</v>
      </c>
      <c r="F133" s="19" t="n">
        <v>0.758</v>
      </c>
      <c r="G133" s="19" t="n">
        <v>0.781</v>
      </c>
      <c r="H133" s="19" t="n">
        <v>0.8149999999999999</v>
      </c>
      <c r="I133" s="20">
        <f>IFERROR(AVERAGE(D133:H133),"-")</f>
        <v/>
      </c>
      <c r="J133" s="19" t="n">
        <v>0.785</v>
      </c>
      <c r="K133" s="19" t="n">
        <v>0.751</v>
      </c>
      <c r="L133" s="19" t="n">
        <v>0.758</v>
      </c>
      <c r="M133" s="19" t="n">
        <v>0.761</v>
      </c>
      <c r="N133" s="19" t="n">
        <v>0.805</v>
      </c>
      <c r="O133" s="20">
        <f>IFERROR(AVERAGE(J133:N133),"-")</f>
        <v/>
      </c>
      <c r="P133" s="32">
        <f>IFERROR(O133-I133,"-")</f>
        <v/>
      </c>
    </row>
    <row r="134" ht="15" customHeight="1" s="50">
      <c r="A134" s="9" t="inlineStr">
        <is>
          <t>heart</t>
        </is>
      </c>
      <c r="B134" s="9" t="inlineStr">
        <is>
          <t>boundary</t>
        </is>
      </c>
      <c r="C134" s="31" t="n">
        <v>0.3</v>
      </c>
      <c r="D134" s="19" t="n">
        <v>0.734</v>
      </c>
      <c r="E134" s="19" t="n">
        <v>0.721</v>
      </c>
      <c r="F134" s="19" t="n">
        <v>0.697</v>
      </c>
      <c r="G134" s="19" t="n">
        <v>0.758</v>
      </c>
      <c r="H134" s="19" t="n">
        <v>0.754</v>
      </c>
      <c r="I134" s="20">
        <f>IFERROR(AVERAGE(D134:H134),"-")</f>
        <v/>
      </c>
      <c r="J134" s="19" t="n">
        <v>0.6870000000000001</v>
      </c>
      <c r="K134" s="19" t="n">
        <v>0.704</v>
      </c>
      <c r="L134" s="19" t="n">
        <v>0.697</v>
      </c>
      <c r="M134" s="19" t="n">
        <v>0.704</v>
      </c>
      <c r="N134" s="19" t="n">
        <v>0.724</v>
      </c>
      <c r="O134" s="20">
        <f>IFERROR(AVERAGE(J134:N134),"-")</f>
        <v/>
      </c>
      <c r="P134" s="32">
        <f>IFERROR(O134-I134,"-")</f>
        <v/>
      </c>
    </row>
    <row r="135" ht="15" customHeight="1" s="50">
      <c r="A135" s="9" t="inlineStr">
        <is>
          <t>heart</t>
        </is>
      </c>
      <c r="B135" s="9" t="inlineStr">
        <is>
          <t>boundary</t>
        </is>
      </c>
      <c r="C135" s="31" t="n">
        <v>0.4</v>
      </c>
      <c r="D135" s="19" t="n">
        <v>0.663</v>
      </c>
      <c r="E135" s="19" t="n">
        <v>0.67</v>
      </c>
      <c r="F135" s="19" t="n">
        <v>0.627</v>
      </c>
      <c r="G135" s="19" t="n">
        <v>0.636</v>
      </c>
      <c r="H135" s="19" t="n">
        <v>0.65</v>
      </c>
      <c r="I135" s="20">
        <f>IFERROR(AVERAGE(D135:H135),"-")</f>
        <v/>
      </c>
      <c r="J135" s="19" t="n">
        <v>0.66</v>
      </c>
      <c r="K135" s="19" t="n">
        <v>0.606</v>
      </c>
      <c r="L135" s="19" t="n">
        <v>0.647</v>
      </c>
      <c r="M135" s="19" t="n">
        <v>0.579</v>
      </c>
      <c r="N135" s="19" t="n">
        <v>0.653</v>
      </c>
      <c r="O135" s="20">
        <f>IFERROR(AVERAGE(J135:N135),"-")</f>
        <v/>
      </c>
      <c r="P135" s="32">
        <f>IFERROR(O135-I135,"-")</f>
        <v/>
      </c>
    </row>
    <row r="136" ht="15" customHeight="1" s="50">
      <c r="A136" s="9" t="inlineStr">
        <is>
          <t>heart</t>
        </is>
      </c>
      <c r="B136" s="9" t="inlineStr">
        <is>
          <t>boundary</t>
        </is>
      </c>
      <c r="C136" s="31" t="n">
        <v>0.5</v>
      </c>
      <c r="D136" s="19" t="n">
        <v>0.552</v>
      </c>
      <c r="E136" s="19" t="n">
        <v>0.518</v>
      </c>
      <c r="F136" s="19" t="n">
        <v>0.475</v>
      </c>
      <c r="G136" s="19" t="n">
        <v>0.539</v>
      </c>
      <c r="H136" s="19" t="n">
        <v>0.461</v>
      </c>
      <c r="I136" s="20">
        <f>IFERROR(AVERAGE(D136:H136),"-")</f>
        <v/>
      </c>
      <c r="J136" s="19" t="n">
        <v>0.546</v>
      </c>
      <c r="K136" s="19" t="n">
        <v>0.5590000000000001</v>
      </c>
      <c r="L136" s="19" t="n">
        <v>0.586</v>
      </c>
      <c r="M136" s="19" t="n">
        <v>0.508</v>
      </c>
      <c r="N136" s="19" t="n">
        <v>0.481</v>
      </c>
      <c r="O136" s="20">
        <f>IFERROR(AVERAGE(J136:N136),"-")</f>
        <v/>
      </c>
      <c r="P136" s="32">
        <f>IFERROR(O136-I136,"-")</f>
        <v/>
      </c>
    </row>
    <row r="137" ht="15" customHeight="1" s="50">
      <c r="A137" s="9" t="inlineStr">
        <is>
          <t>heart</t>
        </is>
      </c>
      <c r="B137" s="9" t="inlineStr">
        <is>
          <t>far</t>
        </is>
      </c>
      <c r="C137" s="31" t="n">
        <v>0.2</v>
      </c>
      <c r="D137" s="19" t="n">
        <v>0.7</v>
      </c>
      <c r="E137" s="19" t="n">
        <v>0.737</v>
      </c>
      <c r="F137" s="19" t="n">
        <v>0.694</v>
      </c>
      <c r="G137" s="19" t="n">
        <v>0.707</v>
      </c>
      <c r="H137" s="19" t="n">
        <v>0.734</v>
      </c>
      <c r="I137" s="20">
        <f>IFERROR(AVERAGE(D137:H137),"-")</f>
        <v/>
      </c>
      <c r="J137" s="19" t="n">
        <v>0.7</v>
      </c>
      <c r="K137" s="19" t="n">
        <v>0.71</v>
      </c>
      <c r="L137" s="19" t="n">
        <v>0.664</v>
      </c>
      <c r="M137" s="19" t="n">
        <v>0.73</v>
      </c>
      <c r="N137" s="19" t="n">
        <v>0.65</v>
      </c>
      <c r="O137" s="20">
        <f>IFERROR(AVERAGE(J137:N137),"-")</f>
        <v/>
      </c>
      <c r="P137" s="32">
        <f>IFERROR(O137-I137,"-")</f>
        <v/>
      </c>
    </row>
    <row r="138" ht="15" customHeight="1" s="50">
      <c r="A138" s="9" t="inlineStr">
        <is>
          <t>heart</t>
        </is>
      </c>
      <c r="B138" s="9" t="inlineStr">
        <is>
          <t>far</t>
        </is>
      </c>
      <c r="C138" s="31" t="n">
        <v>0.3</v>
      </c>
      <c r="D138" s="19" t="n">
        <v>0.66</v>
      </c>
      <c r="E138" s="19" t="n">
        <v>0.579</v>
      </c>
      <c r="F138" s="19" t="n">
        <v>0.62</v>
      </c>
      <c r="G138" s="19" t="n">
        <v>0.6830000000000001</v>
      </c>
      <c r="H138" s="19" t="n">
        <v>0.613</v>
      </c>
      <c r="I138" s="20">
        <f>IFERROR(AVERAGE(D138:H138),"-")</f>
        <v/>
      </c>
      <c r="J138" s="19" t="n">
        <v>0.62</v>
      </c>
      <c r="K138" s="19" t="n">
        <v>0.542</v>
      </c>
      <c r="L138" s="19" t="n">
        <v>0.643</v>
      </c>
      <c r="M138" s="19" t="n">
        <v>0.65</v>
      </c>
      <c r="N138" s="19" t="n">
        <v>0.67</v>
      </c>
      <c r="O138" s="20">
        <f>IFERROR(AVERAGE(J138:N138),"-")</f>
        <v/>
      </c>
      <c r="P138" s="32">
        <f>IFERROR(O138-I138,"-")</f>
        <v/>
      </c>
    </row>
    <row r="139" ht="15" customHeight="1" s="50">
      <c r="A139" s="9" t="inlineStr">
        <is>
          <t>heart</t>
        </is>
      </c>
      <c r="B139" s="9" t="inlineStr">
        <is>
          <t>far</t>
        </is>
      </c>
      <c r="C139" s="31" t="n">
        <v>0.4</v>
      </c>
      <c r="D139" s="19" t="n">
        <v>0.643</v>
      </c>
      <c r="E139" s="19" t="n">
        <v>0.5620000000000001</v>
      </c>
      <c r="F139" s="19" t="n">
        <v>0.556</v>
      </c>
      <c r="G139" s="19" t="n">
        <v>0.535</v>
      </c>
      <c r="H139" s="19" t="n">
        <v>0.673</v>
      </c>
      <c r="I139" s="20">
        <f>IFERROR(AVERAGE(D139:H139),"-")</f>
        <v/>
      </c>
      <c r="J139" s="19" t="n">
        <v>0.626</v>
      </c>
      <c r="K139" s="19" t="n">
        <v>0.552</v>
      </c>
      <c r="L139" s="19" t="n">
        <v>0.516</v>
      </c>
      <c r="M139" s="19" t="n">
        <v>0.556</v>
      </c>
      <c r="N139" s="19" t="n">
        <v>0.619</v>
      </c>
      <c r="O139" s="20">
        <f>IFERROR(AVERAGE(J139:N139),"-")</f>
        <v/>
      </c>
      <c r="P139" s="32">
        <f>IFERROR(O139-I139,"-")</f>
        <v/>
      </c>
    </row>
    <row r="140" ht="15" customHeight="1" s="50">
      <c r="A140" s="9" t="inlineStr">
        <is>
          <t>heart</t>
        </is>
      </c>
      <c r="B140" s="9" t="inlineStr">
        <is>
          <t>far</t>
        </is>
      </c>
      <c r="C140" s="31" t="n">
        <v>0.5</v>
      </c>
      <c r="D140" s="19" t="n">
        <v>0.447</v>
      </c>
      <c r="E140" s="19" t="n">
        <v>0.512</v>
      </c>
      <c r="F140" s="19" t="n">
        <v>0.478</v>
      </c>
      <c r="G140" s="19" t="n">
        <v>0.502</v>
      </c>
      <c r="H140" s="19" t="n">
        <v>0.512</v>
      </c>
      <c r="I140" s="20">
        <f>IFERROR(AVERAGE(D140:H140),"-")</f>
        <v/>
      </c>
      <c r="J140" s="19" t="n">
        <v>0.468</v>
      </c>
      <c r="K140" s="19" t="n">
        <v>0.542</v>
      </c>
      <c r="L140" s="19" t="n">
        <v>0.465</v>
      </c>
      <c r="M140" s="19" t="n">
        <v>0.492</v>
      </c>
      <c r="N140" s="19" t="n">
        <v>0.5590000000000001</v>
      </c>
      <c r="O140" s="20">
        <f>IFERROR(AVERAGE(J140:N140),"-")</f>
        <v/>
      </c>
      <c r="P140" s="32">
        <f>IFERROR(O140-I140,"-")</f>
        <v/>
      </c>
    </row>
    <row r="141" ht="15" customHeight="1" s="50">
      <c r="A141" s="9" t="inlineStr">
        <is>
          <t>ionosphere</t>
        </is>
      </c>
      <c r="B141" s="9" t="inlineStr">
        <is>
          <t>(clean)</t>
        </is>
      </c>
      <c r="C141" s="31" t="n">
        <v>0</v>
      </c>
      <c r="D141" s="19" t="n">
        <v>0.915</v>
      </c>
      <c r="E141" s="19" t="n">
        <v>0.929</v>
      </c>
      <c r="F141" s="19" t="n">
        <v>0.926</v>
      </c>
      <c r="G141" s="19" t="n">
        <v>0.92</v>
      </c>
      <c r="H141" s="19" t="n">
        <v>0.926</v>
      </c>
      <c r="I141" s="20">
        <f>IFERROR(AVERAGE(D141:H141),"-")</f>
        <v/>
      </c>
      <c r="J141" s="19" t="n">
        <v>0.92</v>
      </c>
      <c r="K141" s="19" t="n">
        <v>0.9340000000000001</v>
      </c>
      <c r="L141" s="19" t="n">
        <v>0.929</v>
      </c>
      <c r="M141" s="19" t="n">
        <v>0.92</v>
      </c>
      <c r="N141" s="19" t="n">
        <v>0.903</v>
      </c>
      <c r="O141" s="20">
        <f>IFERROR(AVERAGE(J141:N141),"-")</f>
        <v/>
      </c>
      <c r="P141" s="32">
        <f>IFERROR(O141-I141,"-")</f>
        <v/>
      </c>
    </row>
    <row r="142" ht="15" customHeight="1" s="50">
      <c r="A142" s="9" t="inlineStr">
        <is>
          <t>ionosphere</t>
        </is>
      </c>
      <c r="B142" s="9" t="inlineStr">
        <is>
          <t>symmetric</t>
        </is>
      </c>
      <c r="C142" s="31" t="n">
        <v>0.2</v>
      </c>
      <c r="D142" s="19" t="n">
        <v>0.852</v>
      </c>
      <c r="E142" s="19" t="n">
        <v>0.835</v>
      </c>
      <c r="F142" s="19" t="n">
        <v>0.846</v>
      </c>
      <c r="G142" s="19" t="n">
        <v>0.829</v>
      </c>
      <c r="H142" s="19" t="n">
        <v>0.852</v>
      </c>
      <c r="I142" s="20">
        <f>IFERROR(AVERAGE(D142:H142),"-")</f>
        <v/>
      </c>
      <c r="J142" s="19" t="n">
        <v>0.797</v>
      </c>
      <c r="K142" s="19" t="n">
        <v>0.786</v>
      </c>
      <c r="L142" s="19" t="n">
        <v>0.863</v>
      </c>
      <c r="M142" s="19" t="n">
        <v>0.841</v>
      </c>
      <c r="N142" s="19" t="n">
        <v>0.6830000000000001</v>
      </c>
      <c r="O142" s="20">
        <f>IFERROR(AVERAGE(J142:N142),"-")</f>
        <v/>
      </c>
      <c r="P142" s="32">
        <f>IFERROR(O142-I142,"-")</f>
        <v/>
      </c>
    </row>
    <row r="143" ht="15" customHeight="1" s="50">
      <c r="A143" s="9" t="inlineStr">
        <is>
          <t>ionosphere</t>
        </is>
      </c>
      <c r="B143" s="9" t="inlineStr">
        <is>
          <t>symmetric</t>
        </is>
      </c>
      <c r="C143" s="31" t="n">
        <v>0.3</v>
      </c>
      <c r="D143" s="19" t="n">
        <v>0.752</v>
      </c>
      <c r="E143" s="19" t="n">
        <v>0.8120000000000001</v>
      </c>
      <c r="F143" s="19" t="n">
        <v>0.792</v>
      </c>
      <c r="G143" s="19" t="n">
        <v>0.766</v>
      </c>
      <c r="H143" s="19" t="n">
        <v>0.798</v>
      </c>
      <c r="I143" s="20">
        <f>IFERROR(AVERAGE(D143:H143),"-")</f>
        <v/>
      </c>
      <c r="J143" s="19" t="n">
        <v>0.741</v>
      </c>
      <c r="K143" s="19" t="n">
        <v>0.644</v>
      </c>
      <c r="L143" s="19" t="n">
        <v>0.777</v>
      </c>
      <c r="M143" s="19" t="n">
        <v>0.732</v>
      </c>
      <c r="N143" s="19" t="n">
        <v>0.604</v>
      </c>
      <c r="O143" s="20">
        <f>IFERROR(AVERAGE(J143:N143),"-")</f>
        <v/>
      </c>
      <c r="P143" s="32">
        <f>IFERROR(O143-I143,"-")</f>
        <v/>
      </c>
    </row>
    <row r="144" ht="15" customHeight="1" s="50">
      <c r="A144" s="9" t="inlineStr">
        <is>
          <t>ionosphere</t>
        </is>
      </c>
      <c r="B144" s="9" t="inlineStr">
        <is>
          <t>symmetric</t>
        </is>
      </c>
      <c r="C144" s="31" t="n">
        <v>0.4</v>
      </c>
      <c r="D144" s="19" t="n">
        <v>0.695</v>
      </c>
      <c r="E144" s="19" t="n">
        <v>0.712</v>
      </c>
      <c r="F144" s="19" t="n">
        <v>0.658</v>
      </c>
      <c r="G144" s="19" t="n">
        <v>0.664</v>
      </c>
      <c r="H144" s="19" t="n">
        <v>0.6919999999999999</v>
      </c>
      <c r="I144" s="20">
        <f>IFERROR(AVERAGE(D144:H144),"-")</f>
        <v/>
      </c>
      <c r="J144" s="19" t="n">
        <v>0.644</v>
      </c>
      <c r="K144" s="19" t="n">
        <v>0.695</v>
      </c>
      <c r="L144" s="19" t="n">
        <v>0.53</v>
      </c>
      <c r="M144" s="19" t="n">
        <v>0.5649999999999999</v>
      </c>
      <c r="N144" s="19" t="n">
        <v>0.623</v>
      </c>
      <c r="O144" s="20">
        <f>IFERROR(AVERAGE(J144:N144),"-")</f>
        <v/>
      </c>
      <c r="P144" s="32">
        <f>IFERROR(O144-I144,"-")</f>
        <v/>
      </c>
    </row>
    <row r="145" ht="15" customHeight="1" s="50">
      <c r="A145" s="9" t="inlineStr">
        <is>
          <t>ionosphere</t>
        </is>
      </c>
      <c r="B145" s="9" t="inlineStr">
        <is>
          <t>symmetric</t>
        </is>
      </c>
      <c r="C145" s="31" t="n">
        <v>0.5</v>
      </c>
      <c r="D145" s="19" t="n">
        <v>0.476</v>
      </c>
      <c r="E145" s="19" t="n">
        <v>0.51</v>
      </c>
      <c r="F145" s="19" t="n">
        <v>0.513</v>
      </c>
      <c r="G145" s="19" t="n">
        <v>0.51</v>
      </c>
      <c r="H145" s="19" t="n">
        <v>0.553</v>
      </c>
      <c r="I145" s="20">
        <f>IFERROR(AVERAGE(D145:H145),"-")</f>
        <v/>
      </c>
      <c r="J145" s="19" t="n">
        <v>0.513</v>
      </c>
      <c r="K145" s="19" t="n">
        <v>0.476</v>
      </c>
      <c r="L145" s="19" t="n">
        <v>0.462</v>
      </c>
      <c r="M145" s="19" t="n">
        <v>0.55</v>
      </c>
      <c r="N145" s="19" t="n">
        <v>0.448</v>
      </c>
      <c r="O145" s="20">
        <f>IFERROR(AVERAGE(J145:N145),"-")</f>
        <v/>
      </c>
      <c r="P145" s="32">
        <f>IFERROR(O145-I145,"-")</f>
        <v/>
      </c>
    </row>
    <row r="146" ht="15" customHeight="1" s="50">
      <c r="A146" s="9" t="inlineStr">
        <is>
          <t>ionosphere</t>
        </is>
      </c>
      <c r="B146" s="9" t="inlineStr">
        <is>
          <t>asymmetric</t>
        </is>
      </c>
      <c r="C146" s="31" t="n">
        <v>0.2</v>
      </c>
      <c r="D146" s="19" t="n">
        <v>0.92</v>
      </c>
      <c r="E146" s="19" t="n">
        <v>0.906</v>
      </c>
      <c r="F146" s="19" t="n">
        <v>0.914</v>
      </c>
      <c r="G146" s="19" t="n">
        <v>0.909</v>
      </c>
      <c r="H146" s="19" t="n">
        <v>0.912</v>
      </c>
      <c r="I146" s="20">
        <f>IFERROR(AVERAGE(D146:H146),"-")</f>
        <v/>
      </c>
      <c r="J146" s="19" t="n">
        <v>0.923</v>
      </c>
      <c r="K146" s="19" t="n">
        <v>0.912</v>
      </c>
      <c r="L146" s="19" t="n">
        <v>0.863</v>
      </c>
      <c r="M146" s="19" t="n">
        <v>0.895</v>
      </c>
      <c r="N146" s="19" t="n">
        <v>0.912</v>
      </c>
      <c r="O146" s="20">
        <f>IFERROR(AVERAGE(J146:N146),"-")</f>
        <v/>
      </c>
      <c r="P146" s="32">
        <f>IFERROR(O146-I146,"-")</f>
        <v/>
      </c>
    </row>
    <row r="147" ht="15" customHeight="1" s="50">
      <c r="A147" s="9" t="inlineStr">
        <is>
          <t>ionosphere</t>
        </is>
      </c>
      <c r="B147" s="9" t="inlineStr">
        <is>
          <t>asymmetric</t>
        </is>
      </c>
      <c r="C147" s="31" t="n">
        <v>0.3</v>
      </c>
      <c r="D147" s="19" t="n">
        <v>0.886</v>
      </c>
      <c r="E147" s="19" t="n">
        <v>0.889</v>
      </c>
      <c r="F147" s="19" t="n">
        <v>0.889</v>
      </c>
      <c r="G147" s="19" t="n">
        <v>0.883</v>
      </c>
      <c r="H147" s="19" t="n">
        <v>0.883</v>
      </c>
      <c r="I147" s="20">
        <f>IFERROR(AVERAGE(D147:H147),"-")</f>
        <v/>
      </c>
      <c r="J147" s="19" t="n">
        <v>0.86</v>
      </c>
      <c r="K147" s="19" t="n">
        <v>0.894</v>
      </c>
      <c r="L147" s="19" t="n">
        <v>0.883</v>
      </c>
      <c r="M147" s="19" t="n">
        <v>0.849</v>
      </c>
      <c r="N147" s="19" t="n">
        <v>0.9</v>
      </c>
      <c r="O147" s="20">
        <f>IFERROR(AVERAGE(J147:N147),"-")</f>
        <v/>
      </c>
      <c r="P147" s="32">
        <f>IFERROR(O147-I147,"-")</f>
        <v/>
      </c>
    </row>
    <row r="148" ht="15" customHeight="1" s="50">
      <c r="A148" s="9" t="inlineStr">
        <is>
          <t>ionosphere</t>
        </is>
      </c>
      <c r="B148" s="9" t="inlineStr">
        <is>
          <t>asymmetric</t>
        </is>
      </c>
      <c r="C148" s="31" t="n">
        <v>0.4</v>
      </c>
      <c r="D148" s="19" t="n">
        <v>0.857</v>
      </c>
      <c r="E148" s="19" t="n">
        <v>0.8120000000000001</v>
      </c>
      <c r="F148" s="19" t="n">
        <v>0.852</v>
      </c>
      <c r="G148" s="19" t="n">
        <v>0.852</v>
      </c>
      <c r="H148" s="19" t="n">
        <v>0.877</v>
      </c>
      <c r="I148" s="20">
        <f>IFERROR(AVERAGE(D148:H148),"-")</f>
        <v/>
      </c>
      <c r="J148" s="19" t="n">
        <v>0.832</v>
      </c>
      <c r="K148" s="19" t="n">
        <v>0.82</v>
      </c>
      <c r="L148" s="19" t="n">
        <v>0.843</v>
      </c>
      <c r="M148" s="19" t="n">
        <v>0.849</v>
      </c>
      <c r="N148" s="19" t="n">
        <v>0.875</v>
      </c>
      <c r="O148" s="20">
        <f>IFERROR(AVERAGE(J148:N148),"-")</f>
        <v/>
      </c>
      <c r="P148" s="32">
        <f>IFERROR(O148-I148,"-")</f>
        <v/>
      </c>
    </row>
    <row r="149" ht="15" customHeight="1" s="50">
      <c r="A149" s="9" t="inlineStr">
        <is>
          <t>ionosphere</t>
        </is>
      </c>
      <c r="B149" s="9" t="inlineStr">
        <is>
          <t>asymmetric</t>
        </is>
      </c>
      <c r="C149" s="31" t="n">
        <v>0.5</v>
      </c>
      <c r="D149" s="19" t="n">
        <v>0.832</v>
      </c>
      <c r="E149" s="19" t="n">
        <v>0.778</v>
      </c>
      <c r="F149" s="19" t="n">
        <v>0.803</v>
      </c>
      <c r="G149" s="19" t="n">
        <v>0.803</v>
      </c>
      <c r="H149" s="19" t="n">
        <v>0.801</v>
      </c>
      <c r="I149" s="20">
        <f>IFERROR(AVERAGE(D149:H149),"-")</f>
        <v/>
      </c>
      <c r="J149" s="19" t="n">
        <v>0.767</v>
      </c>
      <c r="K149" s="19" t="n">
        <v>0.701</v>
      </c>
      <c r="L149" s="19" t="n">
        <v>0.8149999999999999</v>
      </c>
      <c r="M149" s="19" t="n">
        <v>0.786</v>
      </c>
      <c r="N149" s="19" t="n">
        <v>0.79</v>
      </c>
      <c r="O149" s="20">
        <f>IFERROR(AVERAGE(J149:N149),"-")</f>
        <v/>
      </c>
      <c r="P149" s="32">
        <f>IFERROR(O149-I149,"-")</f>
        <v/>
      </c>
    </row>
    <row r="150" ht="15" customHeight="1" s="50">
      <c r="A150" s="9" t="inlineStr">
        <is>
          <t>ionosphere</t>
        </is>
      </c>
      <c r="B150" s="9" t="inlineStr">
        <is>
          <t>boundary</t>
        </is>
      </c>
      <c r="C150" s="31" t="n">
        <v>0.2</v>
      </c>
      <c r="D150" s="19" t="n">
        <v>0.866</v>
      </c>
      <c r="E150" s="19" t="n">
        <v>0.855</v>
      </c>
      <c r="F150" s="19" t="n">
        <v>0.877</v>
      </c>
      <c r="G150" s="19" t="n">
        <v>0.858</v>
      </c>
      <c r="H150" s="19" t="n">
        <v>0.892</v>
      </c>
      <c r="I150" s="20">
        <f>IFERROR(AVERAGE(D150:H150),"-")</f>
        <v/>
      </c>
      <c r="J150" s="19" t="n">
        <v>0.773</v>
      </c>
      <c r="K150" s="19" t="n">
        <v>0.846</v>
      </c>
      <c r="L150" s="19" t="n">
        <v>0.795</v>
      </c>
      <c r="M150" s="19" t="n">
        <v>0.8120000000000001</v>
      </c>
      <c r="N150" s="19" t="n">
        <v>0.78</v>
      </c>
      <c r="O150" s="20">
        <f>IFERROR(AVERAGE(J150:N150),"-")</f>
        <v/>
      </c>
      <c r="P150" s="32">
        <f>IFERROR(O150-I150,"-")</f>
        <v/>
      </c>
    </row>
    <row r="151" ht="15" customHeight="1" s="50">
      <c r="A151" s="9" t="inlineStr">
        <is>
          <t>ionosphere</t>
        </is>
      </c>
      <c r="B151" s="9" t="inlineStr">
        <is>
          <t>boundary</t>
        </is>
      </c>
      <c r="C151" s="31" t="n">
        <v>0.3</v>
      </c>
      <c r="D151" s="19" t="n">
        <v>0.755</v>
      </c>
      <c r="E151" s="19" t="n">
        <v>0.778</v>
      </c>
      <c r="F151" s="19" t="n">
        <v>0.792</v>
      </c>
      <c r="G151" s="19" t="n">
        <v>0.784</v>
      </c>
      <c r="H151" s="19" t="n">
        <v>0.795</v>
      </c>
      <c r="I151" s="20">
        <f>IFERROR(AVERAGE(D151:H151),"-")</f>
        <v/>
      </c>
      <c r="J151" s="19" t="n">
        <v>0.743</v>
      </c>
      <c r="K151" s="19" t="n">
        <v>0.6899999999999999</v>
      </c>
      <c r="L151" s="19" t="n">
        <v>0.8149999999999999</v>
      </c>
      <c r="M151" s="19" t="n">
        <v>0.732</v>
      </c>
      <c r="N151" s="19" t="n">
        <v>0.61</v>
      </c>
      <c r="O151" s="20">
        <f>IFERROR(AVERAGE(J151:N151),"-")</f>
        <v/>
      </c>
      <c r="P151" s="32">
        <f>IFERROR(O151-I151,"-")</f>
        <v/>
      </c>
    </row>
    <row r="152" ht="15" customHeight="1" s="50">
      <c r="A152" s="9" t="inlineStr">
        <is>
          <t>ionosphere</t>
        </is>
      </c>
      <c r="B152" s="9" t="inlineStr">
        <is>
          <t>boundary</t>
        </is>
      </c>
      <c r="C152" s="31" t="n">
        <v>0.4</v>
      </c>
      <c r="D152" s="19" t="n">
        <v>0.655</v>
      </c>
      <c r="E152" s="19" t="n">
        <v>0.638</v>
      </c>
      <c r="F152" s="19" t="n">
        <v>0.638</v>
      </c>
      <c r="G152" s="19" t="n">
        <v>0.612</v>
      </c>
      <c r="H152" s="19" t="n">
        <v>0.6870000000000001</v>
      </c>
      <c r="I152" s="20">
        <f>IFERROR(AVERAGE(D152:H152),"-")</f>
        <v/>
      </c>
      <c r="J152" s="19" t="n">
        <v>0.681</v>
      </c>
      <c r="K152" s="19" t="n">
        <v>0.612</v>
      </c>
      <c r="L152" s="19" t="n">
        <v>0.592</v>
      </c>
      <c r="M152" s="19" t="n">
        <v>0.772</v>
      </c>
      <c r="N152" s="19" t="n">
        <v>0.792</v>
      </c>
      <c r="O152" s="20">
        <f>IFERROR(AVERAGE(J152:N152),"-")</f>
        <v/>
      </c>
      <c r="P152" s="32">
        <f>IFERROR(O152-I152,"-")</f>
        <v/>
      </c>
    </row>
    <row r="153" ht="15" customHeight="1" s="50">
      <c r="A153" s="9" t="inlineStr">
        <is>
          <t>ionosphere</t>
        </is>
      </c>
      <c r="B153" s="9" t="inlineStr">
        <is>
          <t>boundary</t>
        </is>
      </c>
      <c r="C153" s="31" t="n">
        <v>0.5</v>
      </c>
      <c r="D153" s="19" t="n">
        <v>0.556</v>
      </c>
      <c r="E153" s="19" t="n">
        <v>0.51</v>
      </c>
      <c r="F153" s="19" t="n">
        <v>0.461</v>
      </c>
      <c r="G153" s="19" t="n">
        <v>0.487</v>
      </c>
      <c r="H153" s="19" t="n">
        <v>0.542</v>
      </c>
      <c r="I153" s="20">
        <f>IFERROR(AVERAGE(D153:H153),"-")</f>
        <v/>
      </c>
      <c r="J153" s="19" t="n">
        <v>0.532</v>
      </c>
      <c r="K153" s="19" t="n">
        <v>0.5580000000000001</v>
      </c>
      <c r="L153" s="19" t="n">
        <v>0.5590000000000001</v>
      </c>
      <c r="M153" s="19" t="n">
        <v>0.527</v>
      </c>
      <c r="N153" s="19" t="n">
        <v>0.496</v>
      </c>
      <c r="O153" s="20">
        <f>IFERROR(AVERAGE(J153:N153),"-")</f>
        <v/>
      </c>
      <c r="P153" s="32">
        <f>IFERROR(O153-I153,"-")</f>
        <v/>
      </c>
    </row>
    <row r="154" ht="15" customHeight="1" s="50">
      <c r="A154" s="9" t="inlineStr">
        <is>
          <t>ionosphere</t>
        </is>
      </c>
      <c r="B154" s="9" t="inlineStr">
        <is>
          <t>far</t>
        </is>
      </c>
      <c r="C154" s="31" t="n">
        <v>0.2</v>
      </c>
      <c r="D154" s="19" t="n">
        <v>0.764</v>
      </c>
      <c r="E154" s="19" t="n">
        <v>0.78</v>
      </c>
      <c r="F154" s="19" t="n">
        <v>0.792</v>
      </c>
      <c r="G154" s="19" t="n">
        <v>0.709</v>
      </c>
      <c r="H154" s="19" t="n">
        <v>0.798</v>
      </c>
      <c r="I154" s="20">
        <f>IFERROR(AVERAGE(D154:H154),"-")</f>
        <v/>
      </c>
      <c r="J154" s="19" t="n">
        <v>0.775</v>
      </c>
      <c r="K154" s="19" t="n">
        <v>0.741</v>
      </c>
      <c r="L154" s="19" t="n">
        <v>0.695</v>
      </c>
      <c r="M154" s="19" t="n">
        <v>0.701</v>
      </c>
      <c r="N154" s="19" t="n">
        <v>0.775</v>
      </c>
      <c r="O154" s="20">
        <f>IFERROR(AVERAGE(J154:N154),"-")</f>
        <v/>
      </c>
      <c r="P154" s="32">
        <f>IFERROR(O154-I154,"-")</f>
        <v/>
      </c>
    </row>
    <row r="155" ht="15" customHeight="1" s="50">
      <c r="A155" s="9" t="inlineStr">
        <is>
          <t>ionosphere</t>
        </is>
      </c>
      <c r="B155" s="9" t="inlineStr">
        <is>
          <t>far</t>
        </is>
      </c>
      <c r="C155" s="31" t="n">
        <v>0.3</v>
      </c>
      <c r="D155" s="19" t="n">
        <v>0.721</v>
      </c>
      <c r="E155" s="19" t="n">
        <v>0.635</v>
      </c>
      <c r="F155" s="19" t="n">
        <v>0.701</v>
      </c>
      <c r="G155" s="19" t="n">
        <v>0.652</v>
      </c>
      <c r="H155" s="19" t="n">
        <v>0.667</v>
      </c>
      <c r="I155" s="20">
        <f>IFERROR(AVERAGE(D155:H155),"-")</f>
        <v/>
      </c>
      <c r="J155" s="19" t="n">
        <v>0.63</v>
      </c>
      <c r="K155" s="19" t="n">
        <v>0.487</v>
      </c>
      <c r="L155" s="19" t="n">
        <v>0.647</v>
      </c>
      <c r="M155" s="19" t="n">
        <v>0.538</v>
      </c>
      <c r="N155" s="19" t="n">
        <v>0.576</v>
      </c>
      <c r="O155" s="20">
        <f>IFERROR(AVERAGE(J155:N155),"-")</f>
        <v/>
      </c>
      <c r="P155" s="32">
        <f>IFERROR(O155-I155,"-")</f>
        <v/>
      </c>
    </row>
    <row r="156" ht="15" customHeight="1" s="50">
      <c r="A156" s="9" t="inlineStr">
        <is>
          <t>ionosphere</t>
        </is>
      </c>
      <c r="B156" s="9" t="inlineStr">
        <is>
          <t>far</t>
        </is>
      </c>
      <c r="C156" s="31" t="n">
        <v>0.4</v>
      </c>
      <c r="D156" s="19" t="n">
        <v>0.578</v>
      </c>
      <c r="E156" s="19" t="n">
        <v>0.604</v>
      </c>
      <c r="F156" s="19" t="n">
        <v>0.57</v>
      </c>
      <c r="G156" s="19" t="n">
        <v>0.624</v>
      </c>
      <c r="H156" s="19" t="n">
        <v>0.627</v>
      </c>
      <c r="I156" s="20">
        <f>IFERROR(AVERAGE(D156:H156),"-")</f>
        <v/>
      </c>
      <c r="J156" s="19" t="n">
        <v>0.661</v>
      </c>
      <c r="K156" s="19" t="n">
        <v>0.569</v>
      </c>
      <c r="L156" s="19" t="n">
        <v>0.307</v>
      </c>
      <c r="M156" s="19" t="n">
        <v>0.542</v>
      </c>
      <c r="N156" s="19" t="n">
        <v>0.513</v>
      </c>
      <c r="O156" s="20">
        <f>IFERROR(AVERAGE(J156:N156),"-")</f>
        <v/>
      </c>
      <c r="P156" s="32">
        <f>IFERROR(O156-I156,"-")</f>
        <v/>
      </c>
    </row>
    <row r="157" ht="15" customHeight="1" s="50">
      <c r="A157" s="9" t="inlineStr">
        <is>
          <t>ionosphere</t>
        </is>
      </c>
      <c r="B157" s="9" t="inlineStr">
        <is>
          <t>far</t>
        </is>
      </c>
      <c r="C157" s="31" t="n">
        <v>0.5</v>
      </c>
      <c r="D157" s="19" t="n">
        <v>0.51</v>
      </c>
      <c r="E157" s="19" t="n">
        <v>0.459</v>
      </c>
      <c r="F157" s="19" t="n">
        <v>0.476</v>
      </c>
      <c r="G157" s="19" t="n">
        <v>0.493</v>
      </c>
      <c r="H157" s="19" t="n">
        <v>0.533</v>
      </c>
      <c r="I157" s="20">
        <f>IFERROR(AVERAGE(D157:H157),"-")</f>
        <v/>
      </c>
      <c r="J157" s="19" t="n">
        <v>0.545</v>
      </c>
      <c r="K157" s="19" t="n">
        <v>0.5620000000000001</v>
      </c>
      <c r="L157" s="19" t="n">
        <v>0.405</v>
      </c>
      <c r="M157" s="19" t="n">
        <v>0.489</v>
      </c>
      <c r="N157" s="19" t="n">
        <v>0.541</v>
      </c>
      <c r="O157" s="20">
        <f>IFERROR(AVERAGE(J157:N157),"-")</f>
        <v/>
      </c>
      <c r="P157" s="32">
        <f>IFERROR(O157-I157,"-")</f>
        <v/>
      </c>
    </row>
    <row r="158" ht="15" customHeight="1" s="50">
      <c r="A158" s="9" t="inlineStr">
        <is>
          <t>sonar</t>
        </is>
      </c>
      <c r="B158" s="9" t="inlineStr">
        <is>
          <t>(clean)</t>
        </is>
      </c>
      <c r="C158" s="31" t="n">
        <v>0</v>
      </c>
      <c r="D158" s="19" t="n">
        <v>0.837</v>
      </c>
      <c r="E158" s="19" t="n">
        <v>0.856</v>
      </c>
      <c r="F158" s="19" t="n">
        <v>0.837</v>
      </c>
      <c r="G158" s="19" t="n">
        <v>0.846</v>
      </c>
      <c r="H158" s="19" t="n">
        <v>0.842</v>
      </c>
      <c r="I158" s="20">
        <f>IFERROR(AVERAGE(D158:H158),"-")</f>
        <v/>
      </c>
      <c r="J158" s="19" t="n">
        <v>0.8129999999999999</v>
      </c>
      <c r="K158" s="19" t="n">
        <v>0.827</v>
      </c>
      <c r="L158" s="19" t="n">
        <v>0.846</v>
      </c>
      <c r="M158" s="19" t="n">
        <v>0.8169999999999999</v>
      </c>
      <c r="N158" s="19" t="n">
        <v>0.847</v>
      </c>
      <c r="O158" s="20">
        <f>IFERROR(AVERAGE(J158:N158),"-")</f>
        <v/>
      </c>
      <c r="P158" s="32">
        <f>IFERROR(O158-I158,"-")</f>
        <v/>
      </c>
    </row>
    <row r="159" ht="15" customHeight="1" s="50">
      <c r="A159" s="9" t="inlineStr">
        <is>
          <t>sonar</t>
        </is>
      </c>
      <c r="B159" s="9" t="inlineStr">
        <is>
          <t>symmetric</t>
        </is>
      </c>
      <c r="C159" s="31" t="n">
        <v>0.2</v>
      </c>
      <c r="D159" s="19" t="n">
        <v>0.803</v>
      </c>
      <c r="E159" s="19" t="n">
        <v>0.726</v>
      </c>
      <c r="F159" s="19" t="n">
        <v>0.716</v>
      </c>
      <c r="G159" s="19" t="n">
        <v>0.754</v>
      </c>
      <c r="H159" s="19" t="n">
        <v>0.741</v>
      </c>
      <c r="I159" s="20">
        <f>IFERROR(AVERAGE(D159:H159),"-")</f>
        <v/>
      </c>
      <c r="J159" s="19" t="n">
        <v>0.793</v>
      </c>
      <c r="K159" s="19" t="n">
        <v>0.741</v>
      </c>
      <c r="L159" s="19" t="n">
        <v>0.697</v>
      </c>
      <c r="M159" s="19" t="n">
        <v>0.725</v>
      </c>
      <c r="N159" s="19" t="n">
        <v>0.736</v>
      </c>
      <c r="O159" s="20">
        <f>IFERROR(AVERAGE(J159:N159),"-")</f>
        <v/>
      </c>
      <c r="P159" s="32">
        <f>IFERROR(O159-I159,"-")</f>
        <v/>
      </c>
    </row>
    <row r="160" ht="15" customHeight="1" s="50">
      <c r="A160" s="9" t="inlineStr">
        <is>
          <t>sonar</t>
        </is>
      </c>
      <c r="B160" s="9" t="inlineStr">
        <is>
          <t>symmetric</t>
        </is>
      </c>
      <c r="C160" s="31" t="n">
        <v>0.3</v>
      </c>
      <c r="D160" s="19" t="n">
        <v>0.716</v>
      </c>
      <c r="E160" s="19" t="n">
        <v>0.712</v>
      </c>
      <c r="F160" s="19" t="n">
        <v>0.645</v>
      </c>
      <c r="G160" s="19" t="n">
        <v>0.634</v>
      </c>
      <c r="H160" s="19" t="n">
        <v>0.6879999999999999</v>
      </c>
      <c r="I160" s="20">
        <f>IFERROR(AVERAGE(D160:H160),"-")</f>
        <v/>
      </c>
      <c r="J160" s="19" t="n">
        <v>0.712</v>
      </c>
      <c r="K160" s="19" t="n">
        <v>0.64</v>
      </c>
      <c r="L160" s="19" t="n">
        <v>0.649</v>
      </c>
      <c r="M160" s="19" t="n">
        <v>0.663</v>
      </c>
      <c r="N160" s="19" t="n">
        <v>0.634</v>
      </c>
      <c r="O160" s="20">
        <f>IFERROR(AVERAGE(J160:N160),"-")</f>
        <v/>
      </c>
      <c r="P160" s="32">
        <f>IFERROR(O160-I160,"-")</f>
        <v/>
      </c>
    </row>
    <row r="161" ht="15" customHeight="1" s="50">
      <c r="A161" s="9" t="inlineStr">
        <is>
          <t>sonar</t>
        </is>
      </c>
      <c r="B161" s="9" t="inlineStr">
        <is>
          <t>symmetric</t>
        </is>
      </c>
      <c r="C161" s="31" t="n">
        <v>0.4</v>
      </c>
      <c r="D161" s="19" t="n">
        <v>0.552</v>
      </c>
      <c r="E161" s="19" t="n">
        <v>0.596</v>
      </c>
      <c r="F161" s="19" t="n">
        <v>0.611</v>
      </c>
      <c r="G161" s="19" t="n">
        <v>0.576</v>
      </c>
      <c r="H161" s="19" t="n">
        <v>0.543</v>
      </c>
      <c r="I161" s="20">
        <f>IFERROR(AVERAGE(D161:H161),"-")</f>
        <v/>
      </c>
      <c r="J161" s="19" t="n">
        <v>0.576</v>
      </c>
      <c r="K161" s="19" t="n">
        <v>0.5580000000000001</v>
      </c>
      <c r="L161" s="19" t="n">
        <v>0.582</v>
      </c>
      <c r="M161" s="19" t="n">
        <v>0.591</v>
      </c>
      <c r="N161" s="19" t="n">
        <v>0.533</v>
      </c>
      <c r="O161" s="20">
        <f>IFERROR(AVERAGE(J161:N161),"-")</f>
        <v/>
      </c>
      <c r="P161" s="32">
        <f>IFERROR(O161-I161,"-")</f>
        <v/>
      </c>
    </row>
    <row r="162" ht="15" customHeight="1" s="50">
      <c r="A162" s="9" t="inlineStr">
        <is>
          <t>sonar</t>
        </is>
      </c>
      <c r="B162" s="9" t="inlineStr">
        <is>
          <t>symmetric</t>
        </is>
      </c>
      <c r="C162" s="31" t="n">
        <v>0.5</v>
      </c>
      <c r="D162" s="19" t="n">
        <v>0.447</v>
      </c>
      <c r="E162" s="19" t="n">
        <v>0.615</v>
      </c>
      <c r="F162" s="19" t="n">
        <v>0.518</v>
      </c>
      <c r="G162" s="19" t="n">
        <v>0.573</v>
      </c>
      <c r="H162" s="19" t="n">
        <v>0.49</v>
      </c>
      <c r="I162" s="20">
        <f>IFERROR(AVERAGE(D162:H162),"-")</f>
        <v/>
      </c>
      <c r="J162" s="19" t="n">
        <v>0.491</v>
      </c>
      <c r="K162" s="19" t="n">
        <v>0.539</v>
      </c>
      <c r="L162" s="19" t="n">
        <v>0.489</v>
      </c>
      <c r="M162" s="19" t="n">
        <v>0.524</v>
      </c>
      <c r="N162" s="19" t="n">
        <v>0.529</v>
      </c>
      <c r="O162" s="20">
        <f>IFERROR(AVERAGE(J162:N162),"-")</f>
        <v/>
      </c>
      <c r="P162" s="32">
        <f>IFERROR(O162-I162,"-")</f>
        <v/>
      </c>
    </row>
    <row r="163" ht="15" customHeight="1" s="50">
      <c r="A163" s="9" t="inlineStr">
        <is>
          <t>sonar</t>
        </is>
      </c>
      <c r="B163" s="9" t="inlineStr">
        <is>
          <t>asymmetric</t>
        </is>
      </c>
      <c r="C163" s="31" t="n">
        <v>0.2</v>
      </c>
      <c r="D163" s="19" t="n">
        <v>0.846</v>
      </c>
      <c r="E163" s="19" t="n">
        <v>0.774</v>
      </c>
      <c r="F163" s="19" t="n">
        <v>0.77</v>
      </c>
      <c r="G163" s="19" t="n">
        <v>0.778</v>
      </c>
      <c r="H163" s="19" t="n">
        <v>0.765</v>
      </c>
      <c r="I163" s="20">
        <f>IFERROR(AVERAGE(D163:H163),"-")</f>
        <v/>
      </c>
      <c r="J163" s="19" t="n">
        <v>0.798</v>
      </c>
      <c r="K163" s="19" t="n">
        <v>0.716</v>
      </c>
      <c r="L163" s="19" t="n">
        <v>0.731</v>
      </c>
      <c r="M163" s="19" t="n">
        <v>0.735</v>
      </c>
      <c r="N163" s="19" t="n">
        <v>0.788</v>
      </c>
      <c r="O163" s="20">
        <f>IFERROR(AVERAGE(J163:N163),"-")</f>
        <v/>
      </c>
      <c r="P163" s="32">
        <f>IFERROR(O163-I163,"-")</f>
        <v/>
      </c>
    </row>
    <row r="164" ht="15" customHeight="1" s="50">
      <c r="A164" s="9" t="inlineStr">
        <is>
          <t>sonar</t>
        </is>
      </c>
      <c r="B164" s="9" t="inlineStr">
        <is>
          <t>asymmetric</t>
        </is>
      </c>
      <c r="C164" s="31" t="n">
        <v>0.3</v>
      </c>
      <c r="D164" s="19" t="n">
        <v>0.75</v>
      </c>
      <c r="E164" s="19" t="n">
        <v>0.774</v>
      </c>
      <c r="F164" s="19" t="n">
        <v>0.765</v>
      </c>
      <c r="G164" s="19" t="n">
        <v>0.774</v>
      </c>
      <c r="H164" s="19" t="n">
        <v>0.736</v>
      </c>
      <c r="I164" s="20">
        <f>IFERROR(AVERAGE(D164:H164),"-")</f>
        <v/>
      </c>
      <c r="J164" s="19" t="n">
        <v>0.735</v>
      </c>
      <c r="K164" s="19" t="n">
        <v>0.736</v>
      </c>
      <c r="L164" s="19" t="n">
        <v>0.702</v>
      </c>
      <c r="M164" s="19" t="n">
        <v>0.715</v>
      </c>
      <c r="N164" s="19" t="n">
        <v>0.707</v>
      </c>
      <c r="O164" s="20">
        <f>IFERROR(AVERAGE(J164:N164),"-")</f>
        <v/>
      </c>
      <c r="P164" s="32">
        <f>IFERROR(O164-I164,"-")</f>
        <v/>
      </c>
    </row>
    <row r="165" ht="15" customHeight="1" s="50">
      <c r="A165" s="9" t="inlineStr">
        <is>
          <t>sonar</t>
        </is>
      </c>
      <c r="B165" s="9" t="inlineStr">
        <is>
          <t>asymmetric</t>
        </is>
      </c>
      <c r="C165" s="31" t="n">
        <v>0.4</v>
      </c>
      <c r="D165" s="19" t="n">
        <v>0.6830000000000001</v>
      </c>
      <c r="E165" s="19" t="n">
        <v>0.6830000000000001</v>
      </c>
      <c r="F165" s="19" t="n">
        <v>0.711</v>
      </c>
      <c r="G165" s="19" t="n">
        <v>0.6820000000000001</v>
      </c>
      <c r="H165" s="19" t="n">
        <v>0.649</v>
      </c>
      <c r="I165" s="20">
        <f>IFERROR(AVERAGE(D165:H165),"-")</f>
        <v/>
      </c>
      <c r="J165" s="19" t="n">
        <v>0.654</v>
      </c>
      <c r="K165" s="19" t="n">
        <v>0.63</v>
      </c>
      <c r="L165" s="19" t="n">
        <v>0.635</v>
      </c>
      <c r="M165" s="19" t="n">
        <v>0.643</v>
      </c>
      <c r="N165" s="19" t="n">
        <v>0.62</v>
      </c>
      <c r="O165" s="20">
        <f>IFERROR(AVERAGE(J165:N165),"-")</f>
        <v/>
      </c>
      <c r="P165" s="32">
        <f>IFERROR(O165-I165,"-")</f>
        <v/>
      </c>
    </row>
    <row r="166" ht="15" customHeight="1" s="50">
      <c r="A166" s="9" t="inlineStr">
        <is>
          <t>sonar</t>
        </is>
      </c>
      <c r="B166" s="9" t="inlineStr">
        <is>
          <t>asymmetric</t>
        </is>
      </c>
      <c r="C166" s="31" t="n">
        <v>0.5</v>
      </c>
      <c r="D166" s="19" t="n">
        <v>0.63</v>
      </c>
      <c r="E166" s="19" t="n">
        <v>0.63</v>
      </c>
      <c r="F166" s="19" t="n">
        <v>0.615</v>
      </c>
      <c r="G166" s="19" t="n">
        <v>0.649</v>
      </c>
      <c r="H166" s="19" t="n">
        <v>0.606</v>
      </c>
      <c r="I166" s="20">
        <f>IFERROR(AVERAGE(D166:H166),"-")</f>
        <v/>
      </c>
      <c r="J166" s="19" t="n">
        <v>0.611</v>
      </c>
      <c r="K166" s="19" t="n">
        <v>0.635</v>
      </c>
      <c r="L166" s="19" t="n">
        <v>0.596</v>
      </c>
      <c r="M166" s="19" t="n">
        <v>0.524</v>
      </c>
      <c r="N166" s="19" t="n">
        <v>0.5580000000000001</v>
      </c>
      <c r="O166" s="20">
        <f>IFERROR(AVERAGE(J166:N166),"-")</f>
        <v/>
      </c>
      <c r="P166" s="32">
        <f>IFERROR(O166-I166,"-")</f>
        <v/>
      </c>
    </row>
    <row r="167" ht="15" customHeight="1" s="50">
      <c r="A167" s="9" t="inlineStr">
        <is>
          <t>sonar</t>
        </is>
      </c>
      <c r="B167" s="9" t="inlineStr">
        <is>
          <t>boundary</t>
        </is>
      </c>
      <c r="C167" s="31" t="n">
        <v>0.2</v>
      </c>
      <c r="D167" s="19" t="n">
        <v>0.745</v>
      </c>
      <c r="E167" s="19" t="n">
        <v>0.769</v>
      </c>
      <c r="F167" s="19" t="n">
        <v>0.779</v>
      </c>
      <c r="G167" s="19" t="n">
        <v>0.75</v>
      </c>
      <c r="H167" s="19" t="n">
        <v>0.76</v>
      </c>
      <c r="I167" s="20">
        <f>IFERROR(AVERAGE(D167:H167),"-")</f>
        <v/>
      </c>
      <c r="J167" s="19" t="n">
        <v>0.769</v>
      </c>
      <c r="K167" s="19" t="n">
        <v>0.74</v>
      </c>
      <c r="L167" s="19" t="n">
        <v>0.788</v>
      </c>
      <c r="M167" s="19" t="n">
        <v>0.764</v>
      </c>
      <c r="N167" s="19" t="n">
        <v>0.755</v>
      </c>
      <c r="O167" s="20">
        <f>IFERROR(AVERAGE(J167:N167),"-")</f>
        <v/>
      </c>
      <c r="P167" s="32">
        <f>IFERROR(O167-I167,"-")</f>
        <v/>
      </c>
    </row>
    <row r="168" ht="15" customHeight="1" s="50">
      <c r="A168" s="9" t="inlineStr">
        <is>
          <t>sonar</t>
        </is>
      </c>
      <c r="B168" s="9" t="inlineStr">
        <is>
          <t>boundary</t>
        </is>
      </c>
      <c r="C168" s="31" t="n">
        <v>0.3</v>
      </c>
      <c r="D168" s="19" t="n">
        <v>0.702</v>
      </c>
      <c r="E168" s="19" t="n">
        <v>0.6820000000000001</v>
      </c>
      <c r="F168" s="19" t="n">
        <v>0.697</v>
      </c>
      <c r="G168" s="19" t="n">
        <v>0.6919999999999999</v>
      </c>
      <c r="H168" s="19" t="n">
        <v>0.75</v>
      </c>
      <c r="I168" s="20">
        <f>IFERROR(AVERAGE(D168:H168),"-")</f>
        <v/>
      </c>
      <c r="J168" s="19" t="n">
        <v>0.716</v>
      </c>
      <c r="K168" s="19" t="n">
        <v>0.726</v>
      </c>
      <c r="L168" s="19" t="n">
        <v>0.6879999999999999</v>
      </c>
      <c r="M168" s="19" t="n">
        <v>0.721</v>
      </c>
      <c r="N168" s="19" t="n">
        <v>0.755</v>
      </c>
      <c r="O168" s="20">
        <f>IFERROR(AVERAGE(J168:N168),"-")</f>
        <v/>
      </c>
      <c r="P168" s="32">
        <f>IFERROR(O168-I168,"-")</f>
        <v/>
      </c>
    </row>
    <row r="169" ht="15" customHeight="1" s="50">
      <c r="A169" s="9" t="inlineStr">
        <is>
          <t>sonar</t>
        </is>
      </c>
      <c r="B169" s="9" t="inlineStr">
        <is>
          <t>boundary</t>
        </is>
      </c>
      <c r="C169" s="31" t="n">
        <v>0.4</v>
      </c>
      <c r="D169" s="19" t="n">
        <v>0.626</v>
      </c>
      <c r="E169" s="19" t="n">
        <v>0.62</v>
      </c>
      <c r="F169" s="19" t="n">
        <v>0.654</v>
      </c>
      <c r="G169" s="19" t="n">
        <v>0.659</v>
      </c>
      <c r="H169" s="19" t="n">
        <v>0.659</v>
      </c>
      <c r="I169" s="20">
        <f>IFERROR(AVERAGE(D169:H169),"-")</f>
        <v/>
      </c>
      <c r="J169" s="19" t="n">
        <v>0.6929999999999999</v>
      </c>
      <c r="K169" s="19" t="n">
        <v>0.635</v>
      </c>
      <c r="L169" s="19" t="n">
        <v>0.625</v>
      </c>
      <c r="M169" s="19" t="n">
        <v>0.648</v>
      </c>
      <c r="N169" s="19" t="n">
        <v>0.639</v>
      </c>
      <c r="O169" s="20">
        <f>IFERROR(AVERAGE(J169:N169),"-")</f>
        <v/>
      </c>
      <c r="P169" s="32">
        <f>IFERROR(O169-I169,"-")</f>
        <v/>
      </c>
    </row>
    <row r="170" ht="15" customHeight="1" s="50">
      <c r="A170" s="9" t="inlineStr">
        <is>
          <t>sonar</t>
        </is>
      </c>
      <c r="B170" s="9" t="inlineStr">
        <is>
          <t>boundary</t>
        </is>
      </c>
      <c r="C170" s="31" t="n">
        <v>0.5</v>
      </c>
      <c r="D170" s="19" t="n">
        <v>0.505</v>
      </c>
      <c r="E170" s="19" t="n">
        <v>0.441</v>
      </c>
      <c r="F170" s="19" t="n">
        <v>0.471</v>
      </c>
      <c r="G170" s="19" t="n">
        <v>0.481</v>
      </c>
      <c r="H170" s="19" t="n">
        <v>0.524</v>
      </c>
      <c r="I170" s="20">
        <f>IFERROR(AVERAGE(D170:H170),"-")</f>
        <v/>
      </c>
      <c r="J170" s="19" t="n">
        <v>0.534</v>
      </c>
      <c r="K170" s="19" t="n">
        <v>0.495</v>
      </c>
      <c r="L170" s="19" t="n">
        <v>0.51</v>
      </c>
      <c r="M170" s="19" t="n">
        <v>0.442</v>
      </c>
      <c r="N170" s="19" t="n">
        <v>0.495</v>
      </c>
      <c r="O170" s="20">
        <f>IFERROR(AVERAGE(J170:N170),"-")</f>
        <v/>
      </c>
      <c r="P170" s="32">
        <f>IFERROR(O170-I170,"-")</f>
        <v/>
      </c>
    </row>
    <row r="171" ht="15" customHeight="1" s="50">
      <c r="A171" s="9" t="inlineStr">
        <is>
          <t>sonar</t>
        </is>
      </c>
      <c r="B171" s="9" t="inlineStr">
        <is>
          <t>far</t>
        </is>
      </c>
      <c r="C171" s="31" t="n">
        <v>0.2</v>
      </c>
      <c r="D171" s="19" t="n">
        <v>0.75</v>
      </c>
      <c r="E171" s="19" t="n">
        <v>0.774</v>
      </c>
      <c r="F171" s="19" t="n">
        <v>0.736</v>
      </c>
      <c r="G171" s="19" t="n">
        <v>0.746</v>
      </c>
      <c r="H171" s="19" t="n">
        <v>0.721</v>
      </c>
      <c r="I171" s="20">
        <f>IFERROR(AVERAGE(D171:H171),"-")</f>
        <v/>
      </c>
      <c r="J171" s="19" t="n">
        <v>0.6870000000000001</v>
      </c>
      <c r="K171" s="19" t="n">
        <v>0.707</v>
      </c>
      <c r="L171" s="19" t="n">
        <v>0.759</v>
      </c>
      <c r="M171" s="19" t="n">
        <v>0.726</v>
      </c>
      <c r="N171" s="19" t="n">
        <v>0.731</v>
      </c>
      <c r="O171" s="20">
        <f>IFERROR(AVERAGE(J171:N171),"-")</f>
        <v/>
      </c>
      <c r="P171" s="32">
        <f>IFERROR(O171-I171,"-")</f>
        <v/>
      </c>
    </row>
    <row r="172" ht="15" customHeight="1" s="50">
      <c r="A172" s="9" t="inlineStr">
        <is>
          <t>sonar</t>
        </is>
      </c>
      <c r="B172" s="9" t="inlineStr">
        <is>
          <t>far</t>
        </is>
      </c>
      <c r="C172" s="31" t="n">
        <v>0.3</v>
      </c>
      <c r="D172" s="19" t="n">
        <v>0.6870000000000001</v>
      </c>
      <c r="E172" s="19" t="n">
        <v>0.6919999999999999</v>
      </c>
      <c r="F172" s="19" t="n">
        <v>0.63</v>
      </c>
      <c r="G172" s="19" t="n">
        <v>0.634</v>
      </c>
      <c r="H172" s="19" t="n">
        <v>0.654</v>
      </c>
      <c r="I172" s="20">
        <f>IFERROR(AVERAGE(D172:H172),"-")</f>
        <v/>
      </c>
      <c r="J172" s="19" t="n">
        <v>0.672</v>
      </c>
      <c r="K172" s="19" t="n">
        <v>0.644</v>
      </c>
      <c r="L172" s="19" t="n">
        <v>0.63</v>
      </c>
      <c r="M172" s="19" t="n">
        <v>0.62</v>
      </c>
      <c r="N172" s="19" t="n">
        <v>0.653</v>
      </c>
      <c r="O172" s="20">
        <f>IFERROR(AVERAGE(J172:N172),"-")</f>
        <v/>
      </c>
      <c r="P172" s="32">
        <f>IFERROR(O172-I172,"-")</f>
        <v/>
      </c>
    </row>
    <row r="173" ht="15" customHeight="1" s="50">
      <c r="A173" s="9" t="inlineStr">
        <is>
          <t>sonar</t>
        </is>
      </c>
      <c r="B173" s="9" t="inlineStr">
        <is>
          <t>far</t>
        </is>
      </c>
      <c r="C173" s="31" t="n">
        <v>0.4</v>
      </c>
      <c r="D173" s="19" t="n">
        <v>0.61</v>
      </c>
      <c r="E173" s="19" t="n">
        <v>0.587</v>
      </c>
      <c r="F173" s="19" t="n">
        <v>0.602</v>
      </c>
      <c r="G173" s="19" t="n">
        <v>0.576</v>
      </c>
      <c r="H173" s="19" t="n">
        <v>0.62</v>
      </c>
      <c r="I173" s="20">
        <f>IFERROR(AVERAGE(D173:H173),"-")</f>
        <v/>
      </c>
      <c r="J173" s="19" t="n">
        <v>0.586</v>
      </c>
      <c r="K173" s="19" t="n">
        <v>0.543</v>
      </c>
      <c r="L173" s="19" t="n">
        <v>0.607</v>
      </c>
      <c r="M173" s="19" t="n">
        <v>0.611</v>
      </c>
      <c r="N173" s="19" t="n">
        <v>0.572</v>
      </c>
      <c r="O173" s="20">
        <f>IFERROR(AVERAGE(J173:N173),"-")</f>
        <v/>
      </c>
      <c r="P173" s="32">
        <f>IFERROR(O173-I173,"-")</f>
        <v/>
      </c>
    </row>
    <row r="174" ht="15" customHeight="1" s="50">
      <c r="A174" s="9" t="inlineStr">
        <is>
          <t>sonar</t>
        </is>
      </c>
      <c r="B174" s="9" t="inlineStr">
        <is>
          <t>far</t>
        </is>
      </c>
      <c r="C174" s="31" t="n">
        <v>0.5</v>
      </c>
      <c r="D174" s="19" t="n">
        <v>0.548</v>
      </c>
      <c r="E174" s="19" t="n">
        <v>0.534</v>
      </c>
      <c r="F174" s="19" t="n">
        <v>0.5</v>
      </c>
      <c r="G174" s="19" t="n">
        <v>0.552</v>
      </c>
      <c r="H174" s="19" t="n">
        <v>0.495</v>
      </c>
      <c r="I174" s="20">
        <f>IFERROR(AVERAGE(D174:H174),"-")</f>
        <v/>
      </c>
      <c r="J174" s="19" t="n">
        <v>0.5</v>
      </c>
      <c r="K174" s="19" t="n">
        <v>0.509</v>
      </c>
      <c r="L174" s="19" t="n">
        <v>0.524</v>
      </c>
      <c r="M174" s="19" t="n">
        <v>0.533</v>
      </c>
      <c r="N174" s="19" t="n">
        <v>0.5620000000000001</v>
      </c>
      <c r="O174" s="20">
        <f>IFERROR(AVERAGE(J174:N174),"-")</f>
        <v/>
      </c>
      <c r="P174" s="32">
        <f>IFERROR(O174-I174,"-")</f>
        <v/>
      </c>
    </row>
    <row r="175"/>
    <row r="176" ht="15" customHeight="1" s="50">
      <c r="A176" s="15" t="inlineStr">
        <is>
          <t>Bảng trung bình qua 10 bộ (RBF)</t>
        </is>
      </c>
    </row>
    <row r="177" ht="15" customHeight="1" s="50">
      <c r="A177" s="37" t="inlineStr">
        <is>
          <t>kind</t>
        </is>
      </c>
      <c r="B177" s="37" t="inlineStr">
        <is>
          <t>rate</t>
        </is>
      </c>
      <c r="C177" s="37" t="inlineStr">
        <is>
          <t>hard</t>
        </is>
      </c>
      <c r="D177" s="37" t="inlineStr">
        <is>
          <t>wave</t>
        </is>
      </c>
      <c r="E177" s="37" t="inlineStr">
        <is>
          <t>Δ (wave-hard)</t>
        </is>
      </c>
    </row>
    <row r="178" ht="15" customHeight="1" s="50">
      <c r="A178" s="34" t="inlineStr">
        <is>
          <t>(clean)</t>
        </is>
      </c>
      <c r="B178" s="35" t="n">
        <v>0</v>
      </c>
      <c r="C178" s="22">
        <f>AVERAGEIFS($I$5:$I$174,$B$5:$B$174,A178,$C$5:$C$174,B178)</f>
        <v/>
      </c>
      <c r="D178" s="22">
        <f>AVERAGEIFS($O$5:$O$174,$B$5:$B$174,A178,$C$5:$C$174,B178)</f>
        <v/>
      </c>
      <c r="E178" s="23">
        <f>D178-C178</f>
        <v/>
      </c>
    </row>
    <row r="179" ht="15" customHeight="1" s="50">
      <c r="A179" s="34" t="inlineStr">
        <is>
          <t>symmetric</t>
        </is>
      </c>
      <c r="B179" s="35" t="n">
        <v>0.2</v>
      </c>
      <c r="C179" s="22">
        <f>AVERAGEIFS($I$5:$I$174,$B$5:$B$174,A179,$C$5:$C$174,B179)</f>
        <v/>
      </c>
      <c r="D179" s="22">
        <f>AVERAGEIFS($O$5:$O$174,$B$5:$B$174,A179,$C$5:$C$174,B179)</f>
        <v/>
      </c>
      <c r="E179" s="23">
        <f>D179-C179</f>
        <v/>
      </c>
    </row>
    <row r="180" ht="15" customHeight="1" s="50">
      <c r="A180" s="34" t="inlineStr">
        <is>
          <t>symmetric</t>
        </is>
      </c>
      <c r="B180" s="35" t="n">
        <v>0.3</v>
      </c>
      <c r="C180" s="22">
        <f>AVERAGEIFS($I$5:$I$174,$B$5:$B$174,A180,$C$5:$C$174,B180)</f>
        <v/>
      </c>
      <c r="D180" s="22">
        <f>AVERAGEIFS($O$5:$O$174,$B$5:$B$174,A180,$C$5:$C$174,B180)</f>
        <v/>
      </c>
      <c r="E180" s="23">
        <f>D180-C180</f>
        <v/>
      </c>
    </row>
    <row r="181" ht="15" customHeight="1" s="50">
      <c r="A181" s="34" t="inlineStr">
        <is>
          <t>symmetric</t>
        </is>
      </c>
      <c r="B181" s="35" t="n">
        <v>0.4</v>
      </c>
      <c r="C181" s="22">
        <f>AVERAGEIFS($I$5:$I$174,$B$5:$B$174,A181,$C$5:$C$174,B181)</f>
        <v/>
      </c>
      <c r="D181" s="22">
        <f>AVERAGEIFS($O$5:$O$174,$B$5:$B$174,A181,$C$5:$C$174,B181)</f>
        <v/>
      </c>
      <c r="E181" s="23">
        <f>D181-C181</f>
        <v/>
      </c>
    </row>
    <row r="182" ht="15" customHeight="1" s="50">
      <c r="A182" s="34" t="inlineStr">
        <is>
          <t>symmetric</t>
        </is>
      </c>
      <c r="B182" s="35" t="n">
        <v>0.5</v>
      </c>
      <c r="C182" s="22">
        <f>AVERAGEIFS($I$5:$I$174,$B$5:$B$174,A182,$C$5:$C$174,B182)</f>
        <v/>
      </c>
      <c r="D182" s="22">
        <f>AVERAGEIFS($O$5:$O$174,$B$5:$B$174,A182,$C$5:$C$174,B182)</f>
        <v/>
      </c>
      <c r="E182" s="23">
        <f>D182-C182</f>
        <v/>
      </c>
    </row>
    <row r="183" ht="15" customHeight="1" s="50">
      <c r="A183" s="34" t="inlineStr">
        <is>
          <t>asymmetric</t>
        </is>
      </c>
      <c r="B183" s="35" t="n">
        <v>0.2</v>
      </c>
      <c r="C183" s="22">
        <f>AVERAGEIFS($I$5:$I$174,$B$5:$B$174,A183,$C$5:$C$174,B183)</f>
        <v/>
      </c>
      <c r="D183" s="22">
        <f>AVERAGEIFS($O$5:$O$174,$B$5:$B$174,A183,$C$5:$C$174,B183)</f>
        <v/>
      </c>
      <c r="E183" s="23">
        <f>D183-C183</f>
        <v/>
      </c>
    </row>
    <row r="184" ht="15" customHeight="1" s="50">
      <c r="A184" s="34" t="inlineStr">
        <is>
          <t>asymmetric</t>
        </is>
      </c>
      <c r="B184" s="35" t="n">
        <v>0.3</v>
      </c>
      <c r="C184" s="22">
        <f>AVERAGEIFS($I$5:$I$174,$B$5:$B$174,A184,$C$5:$C$174,B184)</f>
        <v/>
      </c>
      <c r="D184" s="22">
        <f>AVERAGEIFS($O$5:$O$174,$B$5:$B$174,A184,$C$5:$C$174,B184)</f>
        <v/>
      </c>
      <c r="E184" s="23">
        <f>D184-C184</f>
        <v/>
      </c>
    </row>
    <row r="185" ht="15" customHeight="1" s="50">
      <c r="A185" s="34" t="inlineStr">
        <is>
          <t>asymmetric</t>
        </is>
      </c>
      <c r="B185" s="35" t="n">
        <v>0.4</v>
      </c>
      <c r="C185" s="22">
        <f>AVERAGEIFS($I$5:$I$174,$B$5:$B$174,A185,$C$5:$C$174,B185)</f>
        <v/>
      </c>
      <c r="D185" s="22">
        <f>AVERAGEIFS($O$5:$O$174,$B$5:$B$174,A185,$C$5:$C$174,B185)</f>
        <v/>
      </c>
      <c r="E185" s="23">
        <f>D185-C185</f>
        <v/>
      </c>
    </row>
    <row r="186" ht="15" customHeight="1" s="50">
      <c r="A186" s="34" t="inlineStr">
        <is>
          <t>asymmetric</t>
        </is>
      </c>
      <c r="B186" s="35" t="n">
        <v>0.5</v>
      </c>
      <c r="C186" s="22">
        <f>AVERAGEIFS($I$5:$I$174,$B$5:$B$174,A186,$C$5:$C$174,B186)</f>
        <v/>
      </c>
      <c r="D186" s="22">
        <f>AVERAGEIFS($O$5:$O$174,$B$5:$B$174,A186,$C$5:$C$174,B186)</f>
        <v/>
      </c>
      <c r="E186" s="23">
        <f>D186-C186</f>
        <v/>
      </c>
    </row>
    <row r="187" ht="15" customHeight="1" s="50">
      <c r="A187" s="34" t="inlineStr">
        <is>
          <t>boundary</t>
        </is>
      </c>
      <c r="B187" s="35" t="n">
        <v>0.2</v>
      </c>
      <c r="C187" s="22">
        <f>AVERAGEIFS($I$5:$I$174,$B$5:$B$174,A187,$C$5:$C$174,B187)</f>
        <v/>
      </c>
      <c r="D187" s="22">
        <f>AVERAGEIFS($O$5:$O$174,$B$5:$B$174,A187,$C$5:$C$174,B187)</f>
        <v/>
      </c>
      <c r="E187" s="23">
        <f>D187-C187</f>
        <v/>
      </c>
    </row>
    <row r="188" ht="15" customHeight="1" s="50">
      <c r="A188" s="34" t="inlineStr">
        <is>
          <t>boundary</t>
        </is>
      </c>
      <c r="B188" s="35" t="n">
        <v>0.3</v>
      </c>
      <c r="C188" s="22">
        <f>AVERAGEIFS($I$5:$I$174,$B$5:$B$174,A188,$C$5:$C$174,B188)</f>
        <v/>
      </c>
      <c r="D188" s="22">
        <f>AVERAGEIFS($O$5:$O$174,$B$5:$B$174,A188,$C$5:$C$174,B188)</f>
        <v/>
      </c>
      <c r="E188" s="23">
        <f>D188-C188</f>
        <v/>
      </c>
    </row>
    <row r="189" ht="15" customHeight="1" s="50">
      <c r="A189" s="34" t="inlineStr">
        <is>
          <t>boundary</t>
        </is>
      </c>
      <c r="B189" s="35" t="n">
        <v>0.4</v>
      </c>
      <c r="C189" s="22">
        <f>AVERAGEIFS($I$5:$I$174,$B$5:$B$174,A189,$C$5:$C$174,B189)</f>
        <v/>
      </c>
      <c r="D189" s="22">
        <f>AVERAGEIFS($O$5:$O$174,$B$5:$B$174,A189,$C$5:$C$174,B189)</f>
        <v/>
      </c>
      <c r="E189" s="23">
        <f>D189-C189</f>
        <v/>
      </c>
    </row>
    <row r="190" ht="15" customHeight="1" s="50">
      <c r="A190" s="34" t="inlineStr">
        <is>
          <t>boundary</t>
        </is>
      </c>
      <c r="B190" s="35" t="n">
        <v>0.5</v>
      </c>
      <c r="C190" s="22">
        <f>AVERAGEIFS($I$5:$I$174,$B$5:$B$174,A190,$C$5:$C$174,B190)</f>
        <v/>
      </c>
      <c r="D190" s="22">
        <f>AVERAGEIFS($O$5:$O$174,$B$5:$B$174,A190,$C$5:$C$174,B190)</f>
        <v/>
      </c>
      <c r="E190" s="23">
        <f>D190-C190</f>
        <v/>
      </c>
    </row>
    <row r="191" ht="15" customHeight="1" s="50">
      <c r="A191" s="34" t="inlineStr">
        <is>
          <t>far</t>
        </is>
      </c>
      <c r="B191" s="35" t="n">
        <v>0.2</v>
      </c>
      <c r="C191" s="22">
        <f>AVERAGEIFS($I$5:$I$174,$B$5:$B$174,A191,$C$5:$C$174,B191)</f>
        <v/>
      </c>
      <c r="D191" s="22">
        <f>AVERAGEIFS($O$5:$O$174,$B$5:$B$174,A191,$C$5:$C$174,B191)</f>
        <v/>
      </c>
      <c r="E191" s="23">
        <f>D191-C191</f>
        <v/>
      </c>
    </row>
    <row r="192" ht="15" customHeight="1" s="50">
      <c r="A192" s="34" t="inlineStr">
        <is>
          <t>far</t>
        </is>
      </c>
      <c r="B192" s="35" t="n">
        <v>0.3</v>
      </c>
      <c r="C192" s="22">
        <f>AVERAGEIFS($I$5:$I$174,$B$5:$B$174,A192,$C$5:$C$174,B192)</f>
        <v/>
      </c>
      <c r="D192" s="22">
        <f>AVERAGEIFS($O$5:$O$174,$B$5:$B$174,A192,$C$5:$C$174,B192)</f>
        <v/>
      </c>
      <c r="E192" s="23">
        <f>D192-C192</f>
        <v/>
      </c>
    </row>
    <row r="193" ht="15" customHeight="1" s="50">
      <c r="A193" s="34" t="inlineStr">
        <is>
          <t>far</t>
        </is>
      </c>
      <c r="B193" s="35" t="n">
        <v>0.4</v>
      </c>
      <c r="C193" s="22">
        <f>AVERAGEIFS($I$5:$I$174,$B$5:$B$174,A193,$C$5:$C$174,B193)</f>
        <v/>
      </c>
      <c r="D193" s="22">
        <f>AVERAGEIFS($O$5:$O$174,$B$5:$B$174,A193,$C$5:$C$174,B193)</f>
        <v/>
      </c>
      <c r="E193" s="23">
        <f>D193-C193</f>
        <v/>
      </c>
    </row>
    <row r="194" ht="15" customHeight="1" s="50">
      <c r="A194" s="34" t="inlineStr">
        <is>
          <t>far</t>
        </is>
      </c>
      <c r="B194" s="35" t="n">
        <v>0.5</v>
      </c>
      <c r="C194" s="22">
        <f>AVERAGEIFS($I$5:$I$174,$B$5:$B$174,A194,$C$5:$C$174,B194)</f>
        <v/>
      </c>
      <c r="D194" s="22">
        <f>AVERAGEIFS($O$5:$O$174,$B$5:$B$174,A194,$C$5:$C$174,B194)</f>
        <v/>
      </c>
      <c r="E194" s="23">
        <f>D194-C194</f>
        <v/>
      </c>
    </row>
    <row r="195" ht="15" customHeight="1" s="50">
      <c r="A195" s="24" t="inlineStr">
        <is>
          <t>Trung bình tất cả</t>
        </is>
      </c>
      <c r="B195" s="25" t="n"/>
      <c r="C195" s="26">
        <f>AVERAGE(C178:C194)</f>
        <v/>
      </c>
      <c r="D195" s="26">
        <f>AVERAGE(D178:D194)</f>
        <v/>
      </c>
      <c r="E195" s="27">
        <f>AVERAGE(E178:E194)</f>
        <v/>
      </c>
    </row>
  </sheetData>
  <mergeCells count="2">
    <mergeCell ref="A3:N3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97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50" min="1" max="1"/>
    <col width="11" customWidth="1" style="50" min="2" max="2"/>
    <col width="8.85546875" customWidth="1" style="50" min="3" max="35"/>
  </cols>
  <sheetData>
    <row r="1" ht="17.25" customHeight="1" s="50">
      <c r="A1" s="38" t="inlineStr">
        <is>
          <t>Full 170×5 seed, độ thuần pur=0.7 (linear). Lưới hard vs wave × pur=1 vs pur=0.7 + rescue.</t>
        </is>
      </c>
    </row>
    <row r="2">
      <c r="A2" s="39" t="inlineStr">
        <is>
          <t>pur=1 baseline: GB thường (hinge), GB wave. pur=0.7: hard (hinge), wave (đè đa số), wave rescue (hai-tâm chỉ khi một lớp sắp mất bóng, floor=1).</t>
        </is>
      </c>
    </row>
    <row r="3">
      <c r="A3" s="39" t="inlineStr">
        <is>
          <t>Mỗi ô = acc TB 5-fold của 1 seed. TB = TB 5 seed. Wave λ=1 kappa=0; hard d=.1 eps=.05. steps=250.</t>
        </is>
      </c>
    </row>
    <row r="4">
      <c r="A4" s="40" t="inlineStr">
        <is>
          <t>dataset</t>
        </is>
      </c>
      <c r="B4" s="40" t="inlineStr">
        <is>
          <t>kind</t>
        </is>
      </c>
      <c r="C4" s="40" t="inlineStr">
        <is>
          <t>rate</t>
        </is>
      </c>
      <c r="D4" s="40" t="inlineStr">
        <is>
          <t>GB thường@1 s0</t>
        </is>
      </c>
      <c r="E4" s="40" t="inlineStr">
        <is>
          <t>GB thường@1 s1</t>
        </is>
      </c>
      <c r="F4" s="40" t="inlineStr">
        <is>
          <t>GB thường@1 s2</t>
        </is>
      </c>
      <c r="G4" s="40" t="inlineStr">
        <is>
          <t>GB thường@1 s3</t>
        </is>
      </c>
      <c r="H4" s="40" t="inlineStr">
        <is>
          <t>GB thường@1 s4</t>
        </is>
      </c>
      <c r="I4" s="40" t="inlineStr">
        <is>
          <t>GB thường@1 TB</t>
        </is>
      </c>
      <c r="J4" s="40" t="inlineStr">
        <is>
          <t>GB wave@1 s0</t>
        </is>
      </c>
      <c r="K4" s="40" t="inlineStr">
        <is>
          <t>GB wave@1 s1</t>
        </is>
      </c>
      <c r="L4" s="40" t="inlineStr">
        <is>
          <t>GB wave@1 s2</t>
        </is>
      </c>
      <c r="M4" s="40" t="inlineStr">
        <is>
          <t>GB wave@1 s3</t>
        </is>
      </c>
      <c r="N4" s="40" t="inlineStr">
        <is>
          <t>GB wave@1 s4</t>
        </is>
      </c>
      <c r="O4" s="40" t="inlineStr">
        <is>
          <t>GB wave@1 TB</t>
        </is>
      </c>
      <c r="P4" s="40" t="inlineStr">
        <is>
          <t>hard@0.7 s0</t>
        </is>
      </c>
      <c r="Q4" s="40" t="inlineStr">
        <is>
          <t>hard@0.7 s1</t>
        </is>
      </c>
      <c r="R4" s="40" t="inlineStr">
        <is>
          <t>hard@0.7 s2</t>
        </is>
      </c>
      <c r="S4" s="40" t="inlineStr">
        <is>
          <t>hard@0.7 s3</t>
        </is>
      </c>
      <c r="T4" s="40" t="inlineStr">
        <is>
          <t>hard@0.7 s4</t>
        </is>
      </c>
      <c r="U4" s="40" t="inlineStr">
        <is>
          <t>hard@0.7 TB</t>
        </is>
      </c>
      <c r="V4" s="40" t="inlineStr">
        <is>
          <t>wave@0.7 s0</t>
        </is>
      </c>
      <c r="W4" s="40" t="inlineStr">
        <is>
          <t>wave@0.7 s1</t>
        </is>
      </c>
      <c r="X4" s="40" t="inlineStr">
        <is>
          <t>wave@0.7 s2</t>
        </is>
      </c>
      <c r="Y4" s="40" t="inlineStr">
        <is>
          <t>wave@0.7 s3</t>
        </is>
      </c>
      <c r="Z4" s="40" t="inlineStr">
        <is>
          <t>wave@0.7 s4</t>
        </is>
      </c>
      <c r="AA4" s="40" t="inlineStr">
        <is>
          <t>wave@0.7 TB</t>
        </is>
      </c>
      <c r="AB4" s="40" t="inlineStr">
        <is>
          <t>wave@0.7 resc s0</t>
        </is>
      </c>
      <c r="AC4" s="40" t="inlineStr">
        <is>
          <t>wave@0.7 resc s1</t>
        </is>
      </c>
      <c r="AD4" s="40" t="inlineStr">
        <is>
          <t>wave@0.7 resc s2</t>
        </is>
      </c>
      <c r="AE4" s="40" t="inlineStr">
        <is>
          <t>wave@0.7 resc s3</t>
        </is>
      </c>
      <c r="AF4" s="40" t="inlineStr">
        <is>
          <t>wave@0.7 resc s4</t>
        </is>
      </c>
      <c r="AG4" s="40" t="inlineStr">
        <is>
          <t>wave@0.7 resc TB</t>
        </is>
      </c>
      <c r="AH4" s="40" t="inlineStr">
        <is>
          <t>Δ(resc−wave.7)</t>
        </is>
      </c>
      <c r="AI4" s="40" t="inlineStr">
        <is>
          <t>Δ(resc−GBwave)</t>
        </is>
      </c>
    </row>
    <row r="5">
      <c r="A5" s="41" t="inlineStr">
        <is>
          <t>balance_scale</t>
        </is>
      </c>
      <c r="B5" s="42" t="inlineStr">
        <is>
          <t>(clean)</t>
        </is>
      </c>
      <c r="C5" s="42" t="n">
        <v>0</v>
      </c>
      <c r="D5" s="42" t="n">
        <v>0.948</v>
      </c>
      <c r="E5" s="42" t="n">
        <v>0.944</v>
      </c>
      <c r="F5" s="42" t="n">
        <v>0.9389999999999999</v>
      </c>
      <c r="G5" s="42" t="n">
        <v>0.944</v>
      </c>
      <c r="H5" s="42" t="n">
        <v>0.925</v>
      </c>
      <c r="I5" s="43">
        <f>IFERROR(AVERAGE(D5:H5),"")</f>
        <v/>
      </c>
      <c r="J5" s="42" t="n">
        <v>0.95</v>
      </c>
      <c r="K5" s="42" t="n">
        <v>0.95</v>
      </c>
      <c r="L5" s="42" t="n">
        <v>0.946</v>
      </c>
      <c r="M5" s="42" t="n">
        <v>0.951</v>
      </c>
      <c r="N5" s="42" t="n">
        <v>0.944</v>
      </c>
      <c r="O5" s="43">
        <f>IFERROR(AVERAGE(J5:N5),"")</f>
        <v/>
      </c>
      <c r="P5" s="42" t="n">
        <v>0.805</v>
      </c>
      <c r="Q5" s="42" t="n">
        <v>0.776</v>
      </c>
      <c r="R5" s="42" t="n">
        <v>0.8159999999999999</v>
      </c>
      <c r="S5" s="42" t="n">
        <v>0.745</v>
      </c>
      <c r="T5" s="42" t="n">
        <v>0.773</v>
      </c>
      <c r="U5" s="43">
        <f>IFERROR(AVERAGE(P5:T5),"")</f>
        <v/>
      </c>
      <c r="V5" s="42" t="n">
        <v>0.882</v>
      </c>
      <c r="W5" s="42" t="n">
        <v>0.9360000000000001</v>
      </c>
      <c r="X5" s="42" t="n">
        <v>0.8159999999999999</v>
      </c>
      <c r="Y5" s="42" t="n">
        <v>0.95</v>
      </c>
      <c r="Z5" s="42" t="n">
        <v>0.9429999999999999</v>
      </c>
      <c r="AA5" s="43">
        <f>IFERROR(AVERAGE(V5:Z5),"")</f>
        <v/>
      </c>
      <c r="AB5" s="42" t="n">
        <v>0.882</v>
      </c>
      <c r="AC5" s="42" t="n">
        <v>0.9360000000000001</v>
      </c>
      <c r="AD5" s="42" t="n">
        <v>0.8159999999999999</v>
      </c>
      <c r="AE5" s="42" t="n">
        <v>0.95</v>
      </c>
      <c r="AF5" s="42" t="n">
        <v>0.9429999999999999</v>
      </c>
      <c r="AG5" s="43">
        <f>IFERROR(AVERAGE(AB5:AF5),"")</f>
        <v/>
      </c>
      <c r="AH5" s="42">
        <f>IFERROR(AG5-AA5,"")</f>
        <v/>
      </c>
      <c r="AI5" s="42">
        <f>IFERROR(AG5-O5,"")</f>
        <v/>
      </c>
    </row>
    <row r="6">
      <c r="A6" s="41" t="inlineStr">
        <is>
          <t>balance_scale</t>
        </is>
      </c>
      <c r="B6" s="42" t="inlineStr">
        <is>
          <t>symmetric</t>
        </is>
      </c>
      <c r="C6" s="42" t="n">
        <v>0.2</v>
      </c>
      <c r="D6" s="42" t="n">
        <v>0.9360000000000001</v>
      </c>
      <c r="E6" s="42" t="n">
        <v>0.9320000000000001</v>
      </c>
      <c r="F6" s="42" t="n">
        <v>0.92</v>
      </c>
      <c r="G6" s="42" t="n">
        <v>0.929</v>
      </c>
      <c r="H6" s="42" t="n">
        <v>0.9340000000000001</v>
      </c>
      <c r="I6" s="43">
        <f>IFERROR(AVERAGE(D6:H6),"")</f>
        <v/>
      </c>
      <c r="J6" s="42" t="n">
        <v>0.9409999999999999</v>
      </c>
      <c r="K6" s="42" t="n">
        <v>0.95</v>
      </c>
      <c r="L6" s="42" t="n">
        <v>0.925</v>
      </c>
      <c r="M6" s="42" t="n">
        <v>0.924</v>
      </c>
      <c r="N6" s="42" t="n">
        <v>0.929</v>
      </c>
      <c r="O6" s="43">
        <f>IFERROR(AVERAGE(J6:N6),"")</f>
        <v/>
      </c>
      <c r="P6" s="42" t="n">
        <v>0.859</v>
      </c>
      <c r="Q6" s="42" t="n">
        <v>0.88</v>
      </c>
      <c r="R6" s="42" t="n">
        <v>0.868</v>
      </c>
      <c r="S6" s="42" t="n">
        <v>0.897</v>
      </c>
      <c r="T6" s="42" t="n">
        <v>0.861</v>
      </c>
      <c r="U6" s="43">
        <f>IFERROR(AVERAGE(P6:T6),"")</f>
        <v/>
      </c>
      <c r="V6" s="42" t="n">
        <v>0.915</v>
      </c>
      <c r="W6" s="42" t="n">
        <v>0.944</v>
      </c>
      <c r="X6" s="42" t="n">
        <v>0.904</v>
      </c>
      <c r="Y6" s="42" t="n">
        <v>0.95</v>
      </c>
      <c r="Z6" s="42" t="n">
        <v>0.924</v>
      </c>
      <c r="AA6" s="43">
        <f>IFERROR(AVERAGE(V6:Z6),"")</f>
        <v/>
      </c>
      <c r="AB6" s="42" t="n">
        <v>0.915</v>
      </c>
      <c r="AC6" s="42" t="n">
        <v>0.944</v>
      </c>
      <c r="AD6" s="42" t="n">
        <v>0.904</v>
      </c>
      <c r="AE6" s="42" t="n">
        <v>0.95</v>
      </c>
      <c r="AF6" s="42" t="n">
        <v>0.924</v>
      </c>
      <c r="AG6" s="43">
        <f>IFERROR(AVERAGE(AB6:AF6),"")</f>
        <v/>
      </c>
      <c r="AH6" s="42">
        <f>IFERROR(AG6-AA6,"")</f>
        <v/>
      </c>
      <c r="AI6" s="42">
        <f>IFERROR(AG6-O6,"")</f>
        <v/>
      </c>
    </row>
    <row r="7">
      <c r="A7" s="41" t="inlineStr">
        <is>
          <t>balance_scale</t>
        </is>
      </c>
      <c r="B7" s="42" t="inlineStr">
        <is>
          <t>symmetric</t>
        </is>
      </c>
      <c r="C7" s="42" t="n">
        <v>0.3</v>
      </c>
      <c r="D7" s="42" t="n">
        <v>0.859</v>
      </c>
      <c r="E7" s="42" t="n">
        <v>0.9320000000000001</v>
      </c>
      <c r="F7" s="42" t="n">
        <v>0.868</v>
      </c>
      <c r="G7" s="42" t="n">
        <v>0.92</v>
      </c>
      <c r="H7" s="42" t="n">
        <v>0.906</v>
      </c>
      <c r="I7" s="43">
        <f>IFERROR(AVERAGE(D7:H7),"")</f>
        <v/>
      </c>
      <c r="J7" s="42" t="n">
        <v>0.88</v>
      </c>
      <c r="K7" s="42" t="n">
        <v>0.925</v>
      </c>
      <c r="L7" s="42" t="n">
        <v>0.911</v>
      </c>
      <c r="M7" s="42" t="n">
        <v>0.91</v>
      </c>
      <c r="N7" s="42" t="n">
        <v>0.91</v>
      </c>
      <c r="O7" s="43">
        <f>IFERROR(AVERAGE(J7:N7),"")</f>
        <v/>
      </c>
      <c r="P7" s="42" t="n">
        <v>0.824</v>
      </c>
      <c r="Q7" s="42" t="n">
        <v>0.858</v>
      </c>
      <c r="R7" s="42" t="n">
        <v>0.835</v>
      </c>
      <c r="S7" s="42" t="n">
        <v>0.847</v>
      </c>
      <c r="T7" s="42" t="n">
        <v>0.819</v>
      </c>
      <c r="U7" s="43">
        <f>IFERROR(AVERAGE(P7:T7),"")</f>
        <v/>
      </c>
      <c r="V7" s="42" t="n">
        <v>0.861</v>
      </c>
      <c r="W7" s="42" t="n">
        <v>0.884</v>
      </c>
      <c r="X7" s="42" t="n">
        <v>0.905</v>
      </c>
      <c r="Y7" s="42" t="n">
        <v>0.884</v>
      </c>
      <c r="Z7" s="42" t="n">
        <v>0.878</v>
      </c>
      <c r="AA7" s="43">
        <f>IFERROR(AVERAGE(V7:Z7),"")</f>
        <v/>
      </c>
      <c r="AB7" s="42" t="n">
        <v>0.861</v>
      </c>
      <c r="AC7" s="42" t="n">
        <v>0.884</v>
      </c>
      <c r="AD7" s="42" t="n">
        <v>0.905</v>
      </c>
      <c r="AE7" s="42" t="n">
        <v>0.884</v>
      </c>
      <c r="AF7" s="42" t="n">
        <v>0.878</v>
      </c>
      <c r="AG7" s="43">
        <f>IFERROR(AVERAGE(AB7:AF7),"")</f>
        <v/>
      </c>
      <c r="AH7" s="42">
        <f>IFERROR(AG7-AA7,"")</f>
        <v/>
      </c>
      <c r="AI7" s="42">
        <f>IFERROR(AG7-O7,"")</f>
        <v/>
      </c>
    </row>
    <row r="8">
      <c r="A8" s="41" t="inlineStr">
        <is>
          <t>balance_scale</t>
        </is>
      </c>
      <c r="B8" s="42" t="inlineStr">
        <is>
          <t>symmetric</t>
        </is>
      </c>
      <c r="C8" s="42" t="n">
        <v>0.4</v>
      </c>
      <c r="D8" s="42" t="n">
        <v>0.672</v>
      </c>
      <c r="E8" s="42" t="n">
        <v>0.786</v>
      </c>
      <c r="F8" s="42" t="n">
        <v>0.8179999999999999</v>
      </c>
      <c r="G8" s="42" t="n">
        <v>0.8159999999999999</v>
      </c>
      <c r="H8" s="42" t="n">
        <v>0.828</v>
      </c>
      <c r="I8" s="43">
        <f>IFERROR(AVERAGE(D8:H8),"")</f>
        <v/>
      </c>
      <c r="J8" s="42" t="n">
        <v>0.698</v>
      </c>
      <c r="K8" s="42" t="n">
        <v>0.832</v>
      </c>
      <c r="L8" s="42" t="n">
        <v>0.8159999999999999</v>
      </c>
      <c r="M8" s="42" t="n">
        <v>0.794</v>
      </c>
      <c r="N8" s="42" t="n">
        <v>0.849</v>
      </c>
      <c r="O8" s="43">
        <f>IFERROR(AVERAGE(J8:N8),"")</f>
        <v/>
      </c>
      <c r="P8" s="42" t="n">
        <v>0.644</v>
      </c>
      <c r="Q8" s="42" t="n">
        <v>0.75</v>
      </c>
      <c r="R8" s="42" t="n">
        <v>0.788</v>
      </c>
      <c r="S8" s="42" t="n">
        <v>0.774</v>
      </c>
      <c r="T8" s="42" t="n">
        <v>0.832</v>
      </c>
      <c r="U8" s="43">
        <f>IFERROR(AVERAGE(P8:T8),"")</f>
        <v/>
      </c>
      <c r="V8" s="42" t="n">
        <v>0.719</v>
      </c>
      <c r="W8" s="42" t="n">
        <v>0.774</v>
      </c>
      <c r="X8" s="42" t="n">
        <v>0.8070000000000001</v>
      </c>
      <c r="Y8" s="42" t="n">
        <v>0.806</v>
      </c>
      <c r="Z8" s="42" t="n">
        <v>0.863</v>
      </c>
      <c r="AA8" s="43">
        <f>IFERROR(AVERAGE(V8:Z8),"")</f>
        <v/>
      </c>
      <c r="AB8" s="42" t="n">
        <v>0.719</v>
      </c>
      <c r="AC8" s="42" t="n">
        <v>0.774</v>
      </c>
      <c r="AD8" s="42" t="n">
        <v>0.8070000000000001</v>
      </c>
      <c r="AE8" s="42" t="n">
        <v>0.806</v>
      </c>
      <c r="AF8" s="42" t="n">
        <v>0.863</v>
      </c>
      <c r="AG8" s="43">
        <f>IFERROR(AVERAGE(AB8:AF8),"")</f>
        <v/>
      </c>
      <c r="AH8" s="42">
        <f>IFERROR(AG8-AA8,"")</f>
        <v/>
      </c>
      <c r="AI8" s="42">
        <f>IFERROR(AG8-O8,"")</f>
        <v/>
      </c>
    </row>
    <row r="9">
      <c r="A9" s="41" t="inlineStr">
        <is>
          <t>balance_scale</t>
        </is>
      </c>
      <c r="B9" s="42" t="inlineStr">
        <is>
          <t>symmetric</t>
        </is>
      </c>
      <c r="C9" s="42" t="n">
        <v>0.5</v>
      </c>
      <c r="D9" s="42" t="n">
        <v>0.477</v>
      </c>
      <c r="E9" s="42" t="n">
        <v>0.335</v>
      </c>
      <c r="F9" s="42" t="n">
        <v>0.377</v>
      </c>
      <c r="G9" s="42" t="n">
        <v>0.472</v>
      </c>
      <c r="H9" s="42" t="n">
        <v>0.462</v>
      </c>
      <c r="I9" s="43">
        <f>IFERROR(AVERAGE(D9:H9),"")</f>
        <v/>
      </c>
      <c r="J9" s="42" t="n">
        <v>0.538</v>
      </c>
      <c r="K9" s="42" t="n">
        <v>0.491</v>
      </c>
      <c r="L9" s="42" t="n">
        <v>0.531</v>
      </c>
      <c r="M9" s="42" t="n">
        <v>0.61</v>
      </c>
      <c r="N9" s="42" t="n">
        <v>0.502</v>
      </c>
      <c r="O9" s="43">
        <f>IFERROR(AVERAGE(J9:N9),"")</f>
        <v/>
      </c>
      <c r="P9" s="42" t="n">
        <v>0.479</v>
      </c>
      <c r="Q9" s="42" t="n">
        <v>0.305</v>
      </c>
      <c r="R9" s="42" t="n">
        <v>0.424</v>
      </c>
      <c r="S9" s="42" t="n">
        <v>0.483</v>
      </c>
      <c r="T9" s="42" t="n">
        <v>0.503</v>
      </c>
      <c r="U9" s="43">
        <f>IFERROR(AVERAGE(P9:T9),"")</f>
        <v/>
      </c>
      <c r="V9" s="42" t="n">
        <v>0.436</v>
      </c>
      <c r="W9" s="42" t="n">
        <v>0.42</v>
      </c>
      <c r="X9" s="42" t="n">
        <v>0.524</v>
      </c>
      <c r="Y9" s="42" t="n">
        <v>0.54</v>
      </c>
      <c r="Z9" s="42" t="n">
        <v>0.465</v>
      </c>
      <c r="AA9" s="43">
        <f>IFERROR(AVERAGE(V9:Z9),"")</f>
        <v/>
      </c>
      <c r="AB9" s="42" t="n">
        <v>0.436</v>
      </c>
      <c r="AC9" s="42" t="n">
        <v>0.42</v>
      </c>
      <c r="AD9" s="42" t="n">
        <v>0.524</v>
      </c>
      <c r="AE9" s="42" t="n">
        <v>0.54</v>
      </c>
      <c r="AF9" s="42" t="n">
        <v>0.465</v>
      </c>
      <c r="AG9" s="43">
        <f>IFERROR(AVERAGE(AB9:AF9),"")</f>
        <v/>
      </c>
      <c r="AH9" s="42">
        <f>IFERROR(AG9-AA9,"")</f>
        <v/>
      </c>
      <c r="AI9" s="42">
        <f>IFERROR(AG9-O9,"")</f>
        <v/>
      </c>
    </row>
    <row r="10">
      <c r="A10" s="41" t="inlineStr">
        <is>
          <t>balance_scale</t>
        </is>
      </c>
      <c r="B10" s="42" t="inlineStr">
        <is>
          <t>asymmetric</t>
        </is>
      </c>
      <c r="C10" s="42" t="n">
        <v>0.2</v>
      </c>
      <c r="D10" s="42" t="n">
        <v>0.894</v>
      </c>
      <c r="E10" s="42" t="n">
        <v>0.832</v>
      </c>
      <c r="F10" s="42" t="n">
        <v>0.84</v>
      </c>
      <c r="G10" s="42" t="n">
        <v>0.847</v>
      </c>
      <c r="H10" s="42" t="n">
        <v>0.866</v>
      </c>
      <c r="I10" s="43">
        <f>IFERROR(AVERAGE(D10:H10),"")</f>
        <v/>
      </c>
      <c r="J10" s="42" t="n">
        <v>0.846</v>
      </c>
      <c r="K10" s="42" t="n">
        <v>0.854</v>
      </c>
      <c r="L10" s="42" t="n">
        <v>0.861</v>
      </c>
      <c r="M10" s="42" t="n">
        <v>0.835</v>
      </c>
      <c r="N10" s="42" t="n">
        <v>0.878</v>
      </c>
      <c r="O10" s="43">
        <f>IFERROR(AVERAGE(J10:N10),"")</f>
        <v/>
      </c>
      <c r="P10" s="42" t="n">
        <v>0.854</v>
      </c>
      <c r="Q10" s="42" t="n">
        <v>0.88</v>
      </c>
      <c r="R10" s="42" t="n">
        <v>0.753</v>
      </c>
      <c r="S10" s="42" t="n">
        <v>0.91</v>
      </c>
      <c r="T10" s="42" t="n">
        <v>0.828</v>
      </c>
      <c r="U10" s="43">
        <f>IFERROR(AVERAGE(P10:T10),"")</f>
        <v/>
      </c>
      <c r="V10" s="42" t="n">
        <v>0.88</v>
      </c>
      <c r="W10" s="42" t="n">
        <v>0.873</v>
      </c>
      <c r="X10" s="42" t="n">
        <v>0.868</v>
      </c>
      <c r="Y10" s="42" t="n">
        <v>0.887</v>
      </c>
      <c r="Z10" s="42" t="n">
        <v>0.873</v>
      </c>
      <c r="AA10" s="43">
        <f>IFERROR(AVERAGE(V10:Z10),"")</f>
        <v/>
      </c>
      <c r="AB10" s="42" t="n">
        <v>0.88</v>
      </c>
      <c r="AC10" s="42" t="n">
        <v>0.873</v>
      </c>
      <c r="AD10" s="42" t="n">
        <v>0.868</v>
      </c>
      <c r="AE10" s="42" t="n">
        <v>0.887</v>
      </c>
      <c r="AF10" s="42" t="n">
        <v>0.873</v>
      </c>
      <c r="AG10" s="43">
        <f>IFERROR(AVERAGE(AB10:AF10),"")</f>
        <v/>
      </c>
      <c r="AH10" s="42">
        <f>IFERROR(AG10-AA10,"")</f>
        <v/>
      </c>
      <c r="AI10" s="42">
        <f>IFERROR(AG10-O10,"")</f>
        <v/>
      </c>
    </row>
    <row r="11">
      <c r="A11" s="41" t="inlineStr">
        <is>
          <t>balance_scale</t>
        </is>
      </c>
      <c r="B11" s="42" t="inlineStr">
        <is>
          <t>asymmetric</t>
        </is>
      </c>
      <c r="C11" s="42" t="n">
        <v>0.3</v>
      </c>
      <c r="D11" s="42" t="n">
        <v>0.795</v>
      </c>
      <c r="E11" s="42" t="n">
        <v>0.8110000000000001</v>
      </c>
      <c r="F11" s="42" t="n">
        <v>0.772</v>
      </c>
      <c r="G11" s="42" t="n">
        <v>0.804</v>
      </c>
      <c r="H11" s="42" t="n">
        <v>0.799</v>
      </c>
      <c r="I11" s="43">
        <f>IFERROR(AVERAGE(D11:H11),"")</f>
        <v/>
      </c>
      <c r="J11" s="42" t="n">
        <v>0.771</v>
      </c>
      <c r="K11" s="42" t="n">
        <v>0.797</v>
      </c>
      <c r="L11" s="42" t="n">
        <v>0.786</v>
      </c>
      <c r="M11" s="42" t="n">
        <v>0.781</v>
      </c>
      <c r="N11" s="42" t="n">
        <v>0.804</v>
      </c>
      <c r="O11" s="43">
        <f>IFERROR(AVERAGE(J11:N11),"")</f>
        <v/>
      </c>
      <c r="P11" s="42" t="n">
        <v>0.755</v>
      </c>
      <c r="Q11" s="42" t="n">
        <v>0.8</v>
      </c>
      <c r="R11" s="42" t="n">
        <v>0.748</v>
      </c>
      <c r="S11" s="42" t="n">
        <v>0.785</v>
      </c>
      <c r="T11" s="42" t="n">
        <v>0.8</v>
      </c>
      <c r="U11" s="43">
        <f>IFERROR(AVERAGE(P11:T11),"")</f>
        <v/>
      </c>
      <c r="V11" s="42" t="n">
        <v>0.745</v>
      </c>
      <c r="W11" s="42" t="n">
        <v>0.804</v>
      </c>
      <c r="X11" s="42" t="n">
        <v>0.72</v>
      </c>
      <c r="Y11" s="42" t="n">
        <v>0.729</v>
      </c>
      <c r="Z11" s="42" t="n">
        <v>0.774</v>
      </c>
      <c r="AA11" s="43">
        <f>IFERROR(AVERAGE(V11:Z11),"")</f>
        <v/>
      </c>
      <c r="AB11" s="42" t="n">
        <v>0.745</v>
      </c>
      <c r="AC11" s="42" t="n">
        <v>0.804</v>
      </c>
      <c r="AD11" s="42" t="n">
        <v>0.72</v>
      </c>
      <c r="AE11" s="42" t="n">
        <v>0.729</v>
      </c>
      <c r="AF11" s="42" t="n">
        <v>0.774</v>
      </c>
      <c r="AG11" s="43">
        <f>IFERROR(AVERAGE(AB11:AF11),"")</f>
        <v/>
      </c>
      <c r="AH11" s="42">
        <f>IFERROR(AG11-AA11,"")</f>
        <v/>
      </c>
      <c r="AI11" s="42">
        <f>IFERROR(AG11-O11,"")</f>
        <v/>
      </c>
    </row>
    <row r="12">
      <c r="A12" s="41" t="inlineStr">
        <is>
          <t>balance_scale</t>
        </is>
      </c>
      <c r="B12" s="42" t="inlineStr">
        <is>
          <t>asymmetric</t>
        </is>
      </c>
      <c r="C12" s="42" t="n">
        <v>0.4</v>
      </c>
      <c r="D12" s="42" t="n">
        <v>0.74</v>
      </c>
      <c r="E12" s="42" t="n">
        <v>0.733</v>
      </c>
      <c r="F12" s="42" t="n">
        <v>0.726</v>
      </c>
      <c r="G12" s="42" t="n">
        <v>0.734</v>
      </c>
      <c r="H12" s="42" t="n">
        <v>0.748</v>
      </c>
      <c r="I12" s="43">
        <f>IFERROR(AVERAGE(D12:H12),"")</f>
        <v/>
      </c>
      <c r="J12" s="42" t="n">
        <v>0.712</v>
      </c>
      <c r="K12" s="42" t="n">
        <v>0.705</v>
      </c>
      <c r="L12" s="42" t="n">
        <v>0.734</v>
      </c>
      <c r="M12" s="42" t="n">
        <v>0.72</v>
      </c>
      <c r="N12" s="42" t="n">
        <v>0.736</v>
      </c>
      <c r="O12" s="43">
        <f>IFERROR(AVERAGE(J12:N12),"")</f>
        <v/>
      </c>
      <c r="P12" s="42" t="n">
        <v>0.622</v>
      </c>
      <c r="Q12" s="42" t="n">
        <v>0.77</v>
      </c>
      <c r="R12" s="42" t="n">
        <v>0.6870000000000001</v>
      </c>
      <c r="S12" s="42" t="n">
        <v>0.709</v>
      </c>
      <c r="T12" s="42" t="n">
        <v>0.6909999999999999</v>
      </c>
      <c r="U12" s="43">
        <f>IFERROR(AVERAGE(P12:T12),"")</f>
        <v/>
      </c>
      <c r="V12" s="42" t="n">
        <v>0.665</v>
      </c>
      <c r="W12" s="42" t="n">
        <v>0.6830000000000001</v>
      </c>
      <c r="X12" s="42" t="n">
        <v>0.722</v>
      </c>
      <c r="Y12" s="42" t="n">
        <v>0.665</v>
      </c>
      <c r="Z12" s="42" t="n">
        <v>0.696</v>
      </c>
      <c r="AA12" s="43">
        <f>IFERROR(AVERAGE(V12:Z12),"")</f>
        <v/>
      </c>
      <c r="AB12" s="42" t="n">
        <v>0.762</v>
      </c>
      <c r="AC12" s="42" t="n">
        <v>0.769</v>
      </c>
      <c r="AD12" s="42" t="n">
        <v>0.8070000000000001</v>
      </c>
      <c r="AE12" s="42" t="n">
        <v>0.781</v>
      </c>
      <c r="AF12" s="42" t="n">
        <v>0.748</v>
      </c>
      <c r="AG12" s="43">
        <f>IFERROR(AVERAGE(AB12:AF12),"")</f>
        <v/>
      </c>
      <c r="AH12" s="42">
        <f>IFERROR(AG12-AA12,"")</f>
        <v/>
      </c>
      <c r="AI12" s="42">
        <f>IFERROR(AG12-O12,"")</f>
        <v/>
      </c>
    </row>
    <row r="13">
      <c r="A13" s="41" t="inlineStr">
        <is>
          <t>balance_scale</t>
        </is>
      </c>
      <c r="B13" s="42" t="inlineStr">
        <is>
          <t>asymmetric</t>
        </is>
      </c>
      <c r="C13" s="42" t="n">
        <v>0.5</v>
      </c>
      <c r="D13" s="42" t="n">
        <v>0.6889999999999999</v>
      </c>
      <c r="E13" s="42" t="n">
        <v>0.674</v>
      </c>
      <c r="F13" s="42" t="n">
        <v>0.67</v>
      </c>
      <c r="G13" s="42" t="n">
        <v>0.653</v>
      </c>
      <c r="H13" s="42" t="n">
        <v>0.67</v>
      </c>
      <c r="I13" s="43">
        <f>IFERROR(AVERAGE(D13:H13),"")</f>
        <v/>
      </c>
      <c r="J13" s="42" t="n">
        <v>0.653</v>
      </c>
      <c r="K13" s="42" t="n">
        <v>0.651</v>
      </c>
      <c r="L13" s="42" t="n">
        <v>0.667</v>
      </c>
      <c r="M13" s="42" t="n">
        <v>0.656</v>
      </c>
      <c r="N13" s="42" t="n">
        <v>0.663</v>
      </c>
      <c r="O13" s="43">
        <f>IFERROR(AVERAGE(J13:N13),"")</f>
        <v/>
      </c>
      <c r="P13" s="42" t="n"/>
      <c r="Q13" s="42" t="n"/>
      <c r="R13" s="42" t="n"/>
      <c r="S13" s="42" t="n"/>
      <c r="T13" s="42" t="n"/>
      <c r="U13" s="43">
        <f>IFERROR(AVERAGE(P13:T13),"")</f>
        <v/>
      </c>
      <c r="V13" s="42" t="n"/>
      <c r="W13" s="42" t="n"/>
      <c r="X13" s="42" t="n"/>
      <c r="Y13" s="42" t="n"/>
      <c r="Z13" s="42" t="n"/>
      <c r="AA13" s="43">
        <f>IFERROR(AVERAGE(V13:Z13),"")</f>
        <v/>
      </c>
      <c r="AB13" s="42" t="n">
        <v>0.835</v>
      </c>
      <c r="AC13" s="42" t="n">
        <v>0.821</v>
      </c>
      <c r="AD13" s="42" t="n">
        <v>0.854</v>
      </c>
      <c r="AE13" s="42" t="n">
        <v>0.84</v>
      </c>
      <c r="AF13" s="42" t="n">
        <v>0.8110000000000001</v>
      </c>
      <c r="AG13" s="43">
        <f>IFERROR(AVERAGE(AB13:AF13),"")</f>
        <v/>
      </c>
      <c r="AH13" s="42">
        <f>IFERROR(AG13-AA13,"")</f>
        <v/>
      </c>
      <c r="AI13" s="42">
        <f>IFERROR(AG13-O13,"")</f>
        <v/>
      </c>
    </row>
    <row r="14">
      <c r="A14" s="41" t="inlineStr">
        <is>
          <t>balance_scale</t>
        </is>
      </c>
      <c r="B14" s="42" t="inlineStr">
        <is>
          <t>boundary</t>
        </is>
      </c>
      <c r="C14" s="42" t="n">
        <v>0.2</v>
      </c>
      <c r="D14" s="42" t="n">
        <v>0.9320000000000001</v>
      </c>
      <c r="E14" s="42" t="n">
        <v>0.9340000000000001</v>
      </c>
      <c r="F14" s="42" t="n">
        <v>0.9389999999999999</v>
      </c>
      <c r="G14" s="42" t="n">
        <v>0.9340000000000001</v>
      </c>
      <c r="H14" s="42" t="n">
        <v>0.9360000000000001</v>
      </c>
      <c r="I14" s="43">
        <f>IFERROR(AVERAGE(D14:H14),"")</f>
        <v/>
      </c>
      <c r="J14" s="42" t="n">
        <v>0.931</v>
      </c>
      <c r="K14" s="42" t="n">
        <v>0.9360000000000001</v>
      </c>
      <c r="L14" s="42" t="n">
        <v>0.9429999999999999</v>
      </c>
      <c r="M14" s="42" t="n">
        <v>0.9409999999999999</v>
      </c>
      <c r="N14" s="42" t="n">
        <v>0.9360000000000001</v>
      </c>
      <c r="O14" s="43">
        <f>IFERROR(AVERAGE(J14:N14),"")</f>
        <v/>
      </c>
      <c r="P14" s="42" t="n">
        <v>0.849</v>
      </c>
      <c r="Q14" s="42" t="n">
        <v>0.882</v>
      </c>
      <c r="R14" s="42" t="n">
        <v>0.903</v>
      </c>
      <c r="S14" s="42" t="n">
        <v>0.795</v>
      </c>
      <c r="T14" s="42" t="n">
        <v>0.764</v>
      </c>
      <c r="U14" s="43">
        <f>IFERROR(AVERAGE(P14:T14),"")</f>
        <v/>
      </c>
      <c r="V14" s="42" t="n">
        <v>0.918</v>
      </c>
      <c r="W14" s="42" t="n">
        <v>0.899</v>
      </c>
      <c r="X14" s="42" t="n">
        <v>0.917</v>
      </c>
      <c r="Y14" s="42" t="n">
        <v>0.888</v>
      </c>
      <c r="Z14" s="42" t="n">
        <v>0.906</v>
      </c>
      <c r="AA14" s="43">
        <f>IFERROR(AVERAGE(V14:Z14),"")</f>
        <v/>
      </c>
      <c r="AB14" s="42" t="n">
        <v>0.918</v>
      </c>
      <c r="AC14" s="42" t="n">
        <v>0.899</v>
      </c>
      <c r="AD14" s="42" t="n">
        <v>0.917</v>
      </c>
      <c r="AE14" s="42" t="n">
        <v>0.888</v>
      </c>
      <c r="AF14" s="42" t="n">
        <v>0.906</v>
      </c>
      <c r="AG14" s="43">
        <f>IFERROR(AVERAGE(AB14:AF14),"")</f>
        <v/>
      </c>
      <c r="AH14" s="42">
        <f>IFERROR(AG14-AA14,"")</f>
        <v/>
      </c>
      <c r="AI14" s="42">
        <f>IFERROR(AG14-O14,"")</f>
        <v/>
      </c>
    </row>
    <row r="15">
      <c r="A15" s="41" t="inlineStr">
        <is>
          <t>balance_scale</t>
        </is>
      </c>
      <c r="B15" s="42" t="inlineStr">
        <is>
          <t>boundary</t>
        </is>
      </c>
      <c r="C15" s="42" t="n">
        <v>0.3</v>
      </c>
      <c r="D15" s="42" t="n">
        <v>0.9429999999999999</v>
      </c>
      <c r="E15" s="42" t="n">
        <v>0.929</v>
      </c>
      <c r="F15" s="42" t="n">
        <v>0.927</v>
      </c>
      <c r="G15" s="42" t="n">
        <v>0.9409999999999999</v>
      </c>
      <c r="H15" s="42" t="n">
        <v>0.946</v>
      </c>
      <c r="I15" s="43">
        <f>IFERROR(AVERAGE(D15:H15),"")</f>
        <v/>
      </c>
      <c r="J15" s="42" t="n">
        <v>0.9409999999999999</v>
      </c>
      <c r="K15" s="42" t="n">
        <v>0.9429999999999999</v>
      </c>
      <c r="L15" s="42" t="n">
        <v>0.9370000000000001</v>
      </c>
      <c r="M15" s="42" t="n">
        <v>0.9379999999999999</v>
      </c>
      <c r="N15" s="42" t="n">
        <v>0.9409999999999999</v>
      </c>
      <c r="O15" s="43">
        <f>IFERROR(AVERAGE(J15:N15),"")</f>
        <v/>
      </c>
      <c r="P15" s="42" t="n">
        <v>0.877</v>
      </c>
      <c r="Q15" s="42" t="n">
        <v>0.877</v>
      </c>
      <c r="R15" s="42" t="n">
        <v>0.896</v>
      </c>
      <c r="S15" s="42" t="n">
        <v>0.886</v>
      </c>
      <c r="T15" s="42" t="n">
        <v>0.896</v>
      </c>
      <c r="U15" s="43">
        <f>IFERROR(AVERAGE(P15:T15),"")</f>
        <v/>
      </c>
      <c r="V15" s="42" t="n">
        <v>0.889</v>
      </c>
      <c r="W15" s="42" t="n">
        <v>0.903</v>
      </c>
      <c r="X15" s="42" t="n">
        <v>0.894</v>
      </c>
      <c r="Y15" s="42" t="n">
        <v>0.896</v>
      </c>
      <c r="Z15" s="42" t="n">
        <v>0.915</v>
      </c>
      <c r="AA15" s="43">
        <f>IFERROR(AVERAGE(V15:Z15),"")</f>
        <v/>
      </c>
      <c r="AB15" s="42" t="n">
        <v>0.889</v>
      </c>
      <c r="AC15" s="42" t="n">
        <v>0.903</v>
      </c>
      <c r="AD15" s="42" t="n">
        <v>0.894</v>
      </c>
      <c r="AE15" s="42" t="n">
        <v>0.896</v>
      </c>
      <c r="AF15" s="42" t="n">
        <v>0.915</v>
      </c>
      <c r="AG15" s="43">
        <f>IFERROR(AVERAGE(AB15:AF15),"")</f>
        <v/>
      </c>
      <c r="AH15" s="42">
        <f>IFERROR(AG15-AA15,"")</f>
        <v/>
      </c>
      <c r="AI15" s="42">
        <f>IFERROR(AG15-O15,"")</f>
        <v/>
      </c>
    </row>
    <row r="16">
      <c r="A16" s="41" t="inlineStr">
        <is>
          <t>balance_scale</t>
        </is>
      </c>
      <c r="B16" s="42" t="inlineStr">
        <is>
          <t>boundary</t>
        </is>
      </c>
      <c r="C16" s="42" t="n">
        <v>0.4</v>
      </c>
      <c r="D16" s="42" t="n">
        <v>0.903</v>
      </c>
      <c r="E16" s="42" t="n">
        <v>0.9320000000000001</v>
      </c>
      <c r="F16" s="42" t="n">
        <v>0.906</v>
      </c>
      <c r="G16" s="42" t="n">
        <v>0.847</v>
      </c>
      <c r="H16" s="42" t="n">
        <v>0.925</v>
      </c>
      <c r="I16" s="43">
        <f>IFERROR(AVERAGE(D16:H16),"")</f>
        <v/>
      </c>
      <c r="J16" s="42" t="n">
        <v>0.9320000000000001</v>
      </c>
      <c r="K16" s="42" t="n">
        <v>0.918</v>
      </c>
      <c r="L16" s="42" t="n">
        <v>0.92</v>
      </c>
      <c r="M16" s="42" t="n">
        <v>0.911</v>
      </c>
      <c r="N16" s="42" t="n">
        <v>0.944</v>
      </c>
      <c r="O16" s="43">
        <f>IFERROR(AVERAGE(J16:N16),"")</f>
        <v/>
      </c>
      <c r="P16" s="42" t="n">
        <v>0.873</v>
      </c>
      <c r="Q16" s="42" t="n">
        <v>0.887</v>
      </c>
      <c r="R16" s="42" t="n">
        <v>0.734</v>
      </c>
      <c r="S16" s="42" t="n">
        <v>0.8090000000000001</v>
      </c>
      <c r="T16" s="42" t="n">
        <v>0.863</v>
      </c>
      <c r="U16" s="43">
        <f>IFERROR(AVERAGE(P16:T16),"")</f>
        <v/>
      </c>
      <c r="V16" s="42" t="n">
        <v>0.917</v>
      </c>
      <c r="W16" s="42" t="n">
        <v>0.842</v>
      </c>
      <c r="X16" s="42" t="n">
        <v>0.851</v>
      </c>
      <c r="Y16" s="42" t="n">
        <v>0.783</v>
      </c>
      <c r="Z16" s="42" t="n">
        <v>0.892</v>
      </c>
      <c r="AA16" s="43">
        <f>IFERROR(AVERAGE(V16:Z16),"")</f>
        <v/>
      </c>
      <c r="AB16" s="42" t="n">
        <v>0.917</v>
      </c>
      <c r="AC16" s="42" t="n">
        <v>0.842</v>
      </c>
      <c r="AD16" s="42" t="n">
        <v>0.851</v>
      </c>
      <c r="AE16" s="42" t="n">
        <v>0.783</v>
      </c>
      <c r="AF16" s="42" t="n">
        <v>0.892</v>
      </c>
      <c r="AG16" s="43">
        <f>IFERROR(AVERAGE(AB16:AF16),"")</f>
        <v/>
      </c>
      <c r="AH16" s="42">
        <f>IFERROR(AG16-AA16,"")</f>
        <v/>
      </c>
      <c r="AI16" s="42">
        <f>IFERROR(AG16-O16,"")</f>
        <v/>
      </c>
    </row>
    <row r="17">
      <c r="A17" s="41" t="inlineStr">
        <is>
          <t>balance_scale</t>
        </is>
      </c>
      <c r="B17" s="42" t="inlineStr">
        <is>
          <t>boundary</t>
        </is>
      </c>
      <c r="C17" s="42" t="n">
        <v>0.5</v>
      </c>
      <c r="D17" s="42" t="n">
        <v>0.411</v>
      </c>
      <c r="E17" s="42" t="n">
        <v>0.444</v>
      </c>
      <c r="F17" s="42" t="n">
        <v>0.533</v>
      </c>
      <c r="G17" s="42" t="n">
        <v>0.524</v>
      </c>
      <c r="H17" s="42" t="n">
        <v>0.634</v>
      </c>
      <c r="I17" s="43">
        <f>IFERROR(AVERAGE(D17:H17),"")</f>
        <v/>
      </c>
      <c r="J17" s="42" t="n">
        <v>0.399</v>
      </c>
      <c r="K17" s="42" t="n">
        <v>0.465</v>
      </c>
      <c r="L17" s="42" t="n">
        <v>0.613</v>
      </c>
      <c r="M17" s="42" t="n">
        <v>0.509</v>
      </c>
      <c r="N17" s="42" t="n">
        <v>0.6909999999999999</v>
      </c>
      <c r="O17" s="43">
        <f>IFERROR(AVERAGE(J17:N17),"")</f>
        <v/>
      </c>
      <c r="P17" s="42" t="n">
        <v>0.476</v>
      </c>
      <c r="Q17" s="42" t="n">
        <v>0.515</v>
      </c>
      <c r="R17" s="42" t="n">
        <v>0.573</v>
      </c>
      <c r="S17" s="42" t="n">
        <v>0.526</v>
      </c>
      <c r="T17" s="42" t="n">
        <v>0.5679999999999999</v>
      </c>
      <c r="U17" s="43">
        <f>IFERROR(AVERAGE(P17:T17),"")</f>
        <v/>
      </c>
      <c r="V17" s="42" t="n">
        <v>0.311</v>
      </c>
      <c r="W17" s="42" t="n">
        <v>0.469</v>
      </c>
      <c r="X17" s="42" t="n">
        <v>0.458</v>
      </c>
      <c r="Y17" s="42" t="n">
        <v>0.488</v>
      </c>
      <c r="Z17" s="42" t="n">
        <v>0.6870000000000001</v>
      </c>
      <c r="AA17" s="43">
        <f>IFERROR(AVERAGE(V17:Z17),"")</f>
        <v/>
      </c>
      <c r="AB17" s="42" t="n">
        <v>0.311</v>
      </c>
      <c r="AC17" s="42" t="n">
        <v>0.469</v>
      </c>
      <c r="AD17" s="42" t="n">
        <v>0.458</v>
      </c>
      <c r="AE17" s="42" t="n">
        <v>0.488</v>
      </c>
      <c r="AF17" s="42" t="n">
        <v>0.6870000000000001</v>
      </c>
      <c r="AG17" s="43">
        <f>IFERROR(AVERAGE(AB17:AF17),"")</f>
        <v/>
      </c>
      <c r="AH17" s="42">
        <f>IFERROR(AG17-AA17,"")</f>
        <v/>
      </c>
      <c r="AI17" s="42">
        <f>IFERROR(AG17-O17,"")</f>
        <v/>
      </c>
    </row>
    <row r="18">
      <c r="A18" s="41" t="inlineStr">
        <is>
          <t>balance_scale</t>
        </is>
      </c>
      <c r="B18" s="42" t="inlineStr">
        <is>
          <t>far</t>
        </is>
      </c>
      <c r="C18" s="42" t="n">
        <v>0.2</v>
      </c>
      <c r="D18" s="42" t="n">
        <v>0.924</v>
      </c>
      <c r="E18" s="42" t="n">
        <v>0.9389999999999999</v>
      </c>
      <c r="F18" s="42" t="n">
        <v>0.9340000000000001</v>
      </c>
      <c r="G18" s="42" t="n">
        <v>0.925</v>
      </c>
      <c r="H18" s="42" t="n">
        <v>0.95</v>
      </c>
      <c r="I18" s="43">
        <f>IFERROR(AVERAGE(D18:H18),"")</f>
        <v/>
      </c>
      <c r="J18" s="42" t="n">
        <v>0.9360000000000001</v>
      </c>
      <c r="K18" s="42" t="n">
        <v>0.9389999999999999</v>
      </c>
      <c r="L18" s="42" t="n">
        <v>0.944</v>
      </c>
      <c r="M18" s="42" t="n">
        <v>0.946</v>
      </c>
      <c r="N18" s="42" t="n">
        <v>0.951</v>
      </c>
      <c r="O18" s="43">
        <f>IFERROR(AVERAGE(J18:N18),"")</f>
        <v/>
      </c>
      <c r="P18" s="42" t="n">
        <v>0.826</v>
      </c>
      <c r="Q18" s="42" t="n">
        <v>0.824</v>
      </c>
      <c r="R18" s="42" t="n">
        <v>0.83</v>
      </c>
      <c r="S18" s="42" t="n">
        <v>0.856</v>
      </c>
      <c r="T18" s="42" t="n">
        <v>0.8159999999999999</v>
      </c>
      <c r="U18" s="43">
        <f>IFERROR(AVERAGE(P18:T18),"")</f>
        <v/>
      </c>
      <c r="V18" s="42" t="n">
        <v>0.8090000000000001</v>
      </c>
      <c r="W18" s="42" t="n">
        <v>0.899</v>
      </c>
      <c r="X18" s="42" t="n">
        <v>0.91</v>
      </c>
      <c r="Y18" s="42" t="n">
        <v>0.891</v>
      </c>
      <c r="Z18" s="42" t="n">
        <v>0.868</v>
      </c>
      <c r="AA18" s="43">
        <f>IFERROR(AVERAGE(V18:Z18),"")</f>
        <v/>
      </c>
      <c r="AB18" s="42" t="n">
        <v>0.8090000000000001</v>
      </c>
      <c r="AC18" s="42" t="n">
        <v>0.899</v>
      </c>
      <c r="AD18" s="42" t="n">
        <v>0.91</v>
      </c>
      <c r="AE18" s="42" t="n">
        <v>0.891</v>
      </c>
      <c r="AF18" s="42" t="n">
        <v>0.868</v>
      </c>
      <c r="AG18" s="43">
        <f>IFERROR(AVERAGE(AB18:AF18),"")</f>
        <v/>
      </c>
      <c r="AH18" s="42">
        <f>IFERROR(AG18-AA18,"")</f>
        <v/>
      </c>
      <c r="AI18" s="42">
        <f>IFERROR(AG18-O18,"")</f>
        <v/>
      </c>
    </row>
    <row r="19">
      <c r="A19" s="41" t="inlineStr">
        <is>
          <t>balance_scale</t>
        </is>
      </c>
      <c r="B19" s="42" t="inlineStr">
        <is>
          <t>far</t>
        </is>
      </c>
      <c r="C19" s="42" t="n">
        <v>0.3</v>
      </c>
      <c r="D19" s="42" t="n">
        <v>0.889</v>
      </c>
      <c r="E19" s="42" t="n">
        <v>0.903</v>
      </c>
      <c r="F19" s="42" t="n">
        <v>0.917</v>
      </c>
      <c r="G19" s="42" t="n">
        <v>0.889</v>
      </c>
      <c r="H19" s="42" t="n">
        <v>0.913</v>
      </c>
      <c r="I19" s="43">
        <f>IFERROR(AVERAGE(D19:H19),"")</f>
        <v/>
      </c>
      <c r="J19" s="42" t="n">
        <v>0.908</v>
      </c>
      <c r="K19" s="42" t="n">
        <v>0.891</v>
      </c>
      <c r="L19" s="42" t="n">
        <v>0.925</v>
      </c>
      <c r="M19" s="42" t="n">
        <v>0.946</v>
      </c>
      <c r="N19" s="42" t="n">
        <v>0.927</v>
      </c>
      <c r="O19" s="43">
        <f>IFERROR(AVERAGE(J19:N19),"")</f>
        <v/>
      </c>
      <c r="P19" s="42" t="n">
        <v>0.851</v>
      </c>
      <c r="Q19" s="42" t="n">
        <v>0.849</v>
      </c>
      <c r="R19" s="42" t="n">
        <v>0.882</v>
      </c>
      <c r="S19" s="42" t="n">
        <v>0.847</v>
      </c>
      <c r="T19" s="42" t="n">
        <v>0.8159999999999999</v>
      </c>
      <c r="U19" s="43">
        <f>IFERROR(AVERAGE(P19:T19),"")</f>
        <v/>
      </c>
      <c r="V19" s="42" t="n">
        <v>0.866</v>
      </c>
      <c r="W19" s="42" t="n">
        <v>0.826</v>
      </c>
      <c r="X19" s="42" t="n">
        <v>0.899</v>
      </c>
      <c r="Y19" s="42" t="n">
        <v>0.906</v>
      </c>
      <c r="Z19" s="42" t="n">
        <v>0.875</v>
      </c>
      <c r="AA19" s="43">
        <f>IFERROR(AVERAGE(V19:Z19),"")</f>
        <v/>
      </c>
      <c r="AB19" s="42" t="n">
        <v>0.866</v>
      </c>
      <c r="AC19" s="42" t="n">
        <v>0.826</v>
      </c>
      <c r="AD19" s="42" t="n">
        <v>0.899</v>
      </c>
      <c r="AE19" s="42" t="n">
        <v>0.906</v>
      </c>
      <c r="AF19" s="42" t="n">
        <v>0.875</v>
      </c>
      <c r="AG19" s="43">
        <f>IFERROR(AVERAGE(AB19:AF19),"")</f>
        <v/>
      </c>
      <c r="AH19" s="42">
        <f>IFERROR(AG19-AA19,"")</f>
        <v/>
      </c>
      <c r="AI19" s="42">
        <f>IFERROR(AG19-O19,"")</f>
        <v/>
      </c>
    </row>
    <row r="20">
      <c r="A20" s="41" t="inlineStr">
        <is>
          <t>balance_scale</t>
        </is>
      </c>
      <c r="B20" s="42" t="inlineStr">
        <is>
          <t>far</t>
        </is>
      </c>
      <c r="C20" s="42" t="n">
        <v>0.4</v>
      </c>
      <c r="D20" s="42" t="n">
        <v>0.781</v>
      </c>
      <c r="E20" s="42" t="n">
        <v>0.8120000000000001</v>
      </c>
      <c r="F20" s="42" t="n">
        <v>0.773</v>
      </c>
      <c r="G20" s="42" t="n">
        <v>0.786</v>
      </c>
      <c r="H20" s="42" t="n">
        <v>0.766</v>
      </c>
      <c r="I20" s="43">
        <f>IFERROR(AVERAGE(D20:H20),"")</f>
        <v/>
      </c>
      <c r="J20" s="42" t="n">
        <v>0.84</v>
      </c>
      <c r="K20" s="42" t="n">
        <v>0.892</v>
      </c>
      <c r="L20" s="42" t="n">
        <v>0.854</v>
      </c>
      <c r="M20" s="42" t="n">
        <v>0.878</v>
      </c>
      <c r="N20" s="42" t="n">
        <v>0.806</v>
      </c>
      <c r="O20" s="43">
        <f>IFERROR(AVERAGE(J20:N20),"")</f>
        <v/>
      </c>
      <c r="P20" s="42" t="n">
        <v>0.844</v>
      </c>
      <c r="Q20" s="42" t="n">
        <v>0.736</v>
      </c>
      <c r="R20" s="42" t="n">
        <v>0.78</v>
      </c>
      <c r="S20" s="42" t="n">
        <v>0.783</v>
      </c>
      <c r="T20" s="42" t="n">
        <v>0.748</v>
      </c>
      <c r="U20" s="43">
        <f>IFERROR(AVERAGE(P20:T20),"")</f>
        <v/>
      </c>
      <c r="V20" s="42" t="n">
        <v>0.852</v>
      </c>
      <c r="W20" s="42" t="n">
        <v>0.851</v>
      </c>
      <c r="X20" s="42" t="n">
        <v>0.8179999999999999</v>
      </c>
      <c r="Y20" s="42" t="n">
        <v>0.833</v>
      </c>
      <c r="Z20" s="42" t="n">
        <v>0.8070000000000001</v>
      </c>
      <c r="AA20" s="43">
        <f>IFERROR(AVERAGE(V20:Z20),"")</f>
        <v/>
      </c>
      <c r="AB20" s="42" t="n">
        <v>0.852</v>
      </c>
      <c r="AC20" s="42" t="n">
        <v>0.851</v>
      </c>
      <c r="AD20" s="42" t="n">
        <v>0.8179999999999999</v>
      </c>
      <c r="AE20" s="42" t="n">
        <v>0.833</v>
      </c>
      <c r="AF20" s="42" t="n">
        <v>0.8070000000000001</v>
      </c>
      <c r="AG20" s="43">
        <f>IFERROR(AVERAGE(AB20:AF20),"")</f>
        <v/>
      </c>
      <c r="AH20" s="42">
        <f>IFERROR(AG20-AA20,"")</f>
        <v/>
      </c>
      <c r="AI20" s="42">
        <f>IFERROR(AG20-O20,"")</f>
        <v/>
      </c>
    </row>
    <row r="21">
      <c r="A21" s="41" t="inlineStr">
        <is>
          <t>balance_scale</t>
        </is>
      </c>
      <c r="B21" s="42" t="inlineStr">
        <is>
          <t>far</t>
        </is>
      </c>
      <c r="C21" s="42" t="n">
        <v>0.5</v>
      </c>
      <c r="D21" s="42" t="n">
        <v>0.346</v>
      </c>
      <c r="E21" s="42" t="n">
        <v>0.509</v>
      </c>
      <c r="F21" s="42" t="n">
        <v>0.412</v>
      </c>
      <c r="G21" s="42" t="n">
        <v>0.551</v>
      </c>
      <c r="H21" s="42" t="n">
        <v>0.5649999999999999</v>
      </c>
      <c r="I21" s="43">
        <f>IFERROR(AVERAGE(D21:H21),"")</f>
        <v/>
      </c>
      <c r="J21" s="42" t="n">
        <v>0.51</v>
      </c>
      <c r="K21" s="42" t="n">
        <v>0.569</v>
      </c>
      <c r="L21" s="42" t="n">
        <v>0.439</v>
      </c>
      <c r="M21" s="42" t="n">
        <v>0.537</v>
      </c>
      <c r="N21" s="42" t="n">
        <v>0.521</v>
      </c>
      <c r="O21" s="43">
        <f>IFERROR(AVERAGE(J21:N21),"")</f>
        <v/>
      </c>
      <c r="P21" s="42" t="n">
        <v>0.334</v>
      </c>
      <c r="Q21" s="42" t="n">
        <v>0.533</v>
      </c>
      <c r="R21" s="42" t="n">
        <v>0.426</v>
      </c>
      <c r="S21" s="42" t="n">
        <v>0.472</v>
      </c>
      <c r="T21" s="42" t="n">
        <v>0.53</v>
      </c>
      <c r="U21" s="43">
        <f>IFERROR(AVERAGE(P21:T21),"")</f>
        <v/>
      </c>
      <c r="V21" s="42" t="n">
        <v>0.491</v>
      </c>
      <c r="W21" s="42" t="n">
        <v>0.57</v>
      </c>
      <c r="X21" s="42" t="n">
        <v>0.516</v>
      </c>
      <c r="Y21" s="42" t="n">
        <v>0.462</v>
      </c>
      <c r="Z21" s="42" t="n">
        <v>0.613</v>
      </c>
      <c r="AA21" s="43">
        <f>IFERROR(AVERAGE(V21:Z21),"")</f>
        <v/>
      </c>
      <c r="AB21" s="42" t="n">
        <v>0.491</v>
      </c>
      <c r="AC21" s="42" t="n">
        <v>0.57</v>
      </c>
      <c r="AD21" s="42" t="n">
        <v>0.516</v>
      </c>
      <c r="AE21" s="42" t="n">
        <v>0.462</v>
      </c>
      <c r="AF21" s="42" t="n">
        <v>0.613</v>
      </c>
      <c r="AG21" s="43">
        <f>IFERROR(AVERAGE(AB21:AF21),"")</f>
        <v/>
      </c>
      <c r="AH21" s="42">
        <f>IFERROR(AG21-AA21,"")</f>
        <v/>
      </c>
      <c r="AI21" s="42">
        <f>IFERROR(AG21-O21,"")</f>
        <v/>
      </c>
    </row>
    <row r="22">
      <c r="A22" s="41" t="inlineStr">
        <is>
          <t>breast_cancer</t>
        </is>
      </c>
      <c r="B22" s="42" t="inlineStr">
        <is>
          <t>(clean)</t>
        </is>
      </c>
      <c r="C22" s="42" t="n">
        <v>0</v>
      </c>
      <c r="D22" s="42" t="n">
        <v>0.951</v>
      </c>
      <c r="E22" s="42" t="n">
        <v>0.953</v>
      </c>
      <c r="F22" s="42" t="n">
        <v>0.9370000000000001</v>
      </c>
      <c r="G22" s="42" t="n">
        <v>0.949</v>
      </c>
      <c r="H22" s="42" t="n">
        <v>0.958</v>
      </c>
      <c r="I22" s="43">
        <f>IFERROR(AVERAGE(D22:H22),"")</f>
        <v/>
      </c>
      <c r="J22" s="42" t="n">
        <v>0.963</v>
      </c>
      <c r="K22" s="42" t="n">
        <v>0.961</v>
      </c>
      <c r="L22" s="42" t="n">
        <v>0.958</v>
      </c>
      <c r="M22" s="42" t="n">
        <v>0.954</v>
      </c>
      <c r="N22" s="42" t="n">
        <v>0.956</v>
      </c>
      <c r="O22" s="43">
        <f>IFERROR(AVERAGE(J22:N22),"")</f>
        <v/>
      </c>
      <c r="P22" s="42" t="n">
        <v>0.947</v>
      </c>
      <c r="Q22" s="42" t="n">
        <v>0.946</v>
      </c>
      <c r="R22" s="42" t="n">
        <v>0.9419999999999999</v>
      </c>
      <c r="S22" s="42" t="n">
        <v>0.9419999999999999</v>
      </c>
      <c r="T22" s="42" t="n">
        <v>0.953</v>
      </c>
      <c r="U22" s="43">
        <f>IFERROR(AVERAGE(P22:T22),"")</f>
        <v/>
      </c>
      <c r="V22" s="42" t="n">
        <v>0.9419999999999999</v>
      </c>
      <c r="W22" s="42" t="n">
        <v>0.9399999999999999</v>
      </c>
      <c r="X22" s="42" t="n">
        <v>0.945</v>
      </c>
      <c r="Y22" s="42" t="n">
        <v>0.946</v>
      </c>
      <c r="Z22" s="42" t="n">
        <v>0.947</v>
      </c>
      <c r="AA22" s="43">
        <f>IFERROR(AVERAGE(V22:Z22),"")</f>
        <v/>
      </c>
      <c r="AB22" s="42" t="n">
        <v>0.9419999999999999</v>
      </c>
      <c r="AC22" s="42" t="n">
        <v>0.9399999999999999</v>
      </c>
      <c r="AD22" s="42" t="n">
        <v>0.945</v>
      </c>
      <c r="AE22" s="42" t="n">
        <v>0.946</v>
      </c>
      <c r="AF22" s="42" t="n">
        <v>0.947</v>
      </c>
      <c r="AG22" s="43">
        <f>IFERROR(AVERAGE(AB22:AF22),"")</f>
        <v/>
      </c>
      <c r="AH22" s="42">
        <f>IFERROR(AG22-AA22,"")</f>
        <v/>
      </c>
      <c r="AI22" s="42">
        <f>IFERROR(AG22-O22,"")</f>
        <v/>
      </c>
    </row>
    <row r="23">
      <c r="A23" s="41" t="inlineStr">
        <is>
          <t>breast_cancer</t>
        </is>
      </c>
      <c r="B23" s="42" t="inlineStr">
        <is>
          <t>symmetric</t>
        </is>
      </c>
      <c r="C23" s="42" t="n">
        <v>0.2</v>
      </c>
      <c r="D23" s="42" t="n">
        <v>0.83</v>
      </c>
      <c r="E23" s="42" t="n">
        <v>0.844</v>
      </c>
      <c r="F23" s="42" t="n">
        <v>0.847</v>
      </c>
      <c r="G23" s="42" t="n">
        <v>0.849</v>
      </c>
      <c r="H23" s="42" t="n">
        <v>0.858</v>
      </c>
      <c r="I23" s="43">
        <f>IFERROR(AVERAGE(D23:H23),"")</f>
        <v/>
      </c>
      <c r="J23" s="42" t="n">
        <v>0.898</v>
      </c>
      <c r="K23" s="42" t="n">
        <v>0.921</v>
      </c>
      <c r="L23" s="42" t="n">
        <v>0.905</v>
      </c>
      <c r="M23" s="42" t="n">
        <v>0.912</v>
      </c>
      <c r="N23" s="42" t="n">
        <v>0.91</v>
      </c>
      <c r="O23" s="43">
        <f>IFERROR(AVERAGE(J23:N23),"")</f>
        <v/>
      </c>
      <c r="P23" s="42" t="n">
        <v>0.947</v>
      </c>
      <c r="Q23" s="42" t="n">
        <v>0.946</v>
      </c>
      <c r="R23" s="42" t="n">
        <v>0.9419999999999999</v>
      </c>
      <c r="S23" s="42" t="n">
        <v>0.9419999999999999</v>
      </c>
      <c r="T23" s="42" t="n">
        <v>0.953</v>
      </c>
      <c r="U23" s="43">
        <f>IFERROR(AVERAGE(P23:T23),"")</f>
        <v/>
      </c>
      <c r="V23" s="42" t="n">
        <v>0.9419999999999999</v>
      </c>
      <c r="W23" s="42" t="n">
        <v>0.9399999999999999</v>
      </c>
      <c r="X23" s="42" t="n">
        <v>0.945</v>
      </c>
      <c r="Y23" s="42" t="n">
        <v>0.946</v>
      </c>
      <c r="Z23" s="42" t="n">
        <v>0.947</v>
      </c>
      <c r="AA23" s="43">
        <f>IFERROR(AVERAGE(V23:Z23),"")</f>
        <v/>
      </c>
      <c r="AB23" s="42" t="n">
        <v>0.9419999999999999</v>
      </c>
      <c r="AC23" s="42" t="n">
        <v>0.9399999999999999</v>
      </c>
      <c r="AD23" s="42" t="n">
        <v>0.945</v>
      </c>
      <c r="AE23" s="42" t="n">
        <v>0.946</v>
      </c>
      <c r="AF23" s="42" t="n">
        <v>0.947</v>
      </c>
      <c r="AG23" s="43">
        <f>IFERROR(AVERAGE(AB23:AF23),"")</f>
        <v/>
      </c>
      <c r="AH23" s="42">
        <f>IFERROR(AG23-AA23,"")</f>
        <v/>
      </c>
      <c r="AI23" s="42">
        <f>IFERROR(AG23-O23,"")</f>
        <v/>
      </c>
    </row>
    <row r="24">
      <c r="A24" s="41" t="inlineStr">
        <is>
          <t>breast_cancer</t>
        </is>
      </c>
      <c r="B24" s="42" t="inlineStr">
        <is>
          <t>symmetric</t>
        </is>
      </c>
      <c r="C24" s="42" t="n">
        <v>0.3</v>
      </c>
      <c r="D24" s="42" t="n">
        <v>0.758</v>
      </c>
      <c r="E24" s="42" t="n">
        <v>0.8149999999999999</v>
      </c>
      <c r="F24" s="42" t="n">
        <v>0.729</v>
      </c>
      <c r="G24" s="42" t="n">
        <v>0.773</v>
      </c>
      <c r="H24" s="42" t="n">
        <v>0.794</v>
      </c>
      <c r="I24" s="43">
        <f>IFERROR(AVERAGE(D24:H24),"")</f>
        <v/>
      </c>
      <c r="J24" s="42" t="n">
        <v>0.889</v>
      </c>
      <c r="K24" s="42" t="n">
        <v>0.851</v>
      </c>
      <c r="L24" s="42" t="n">
        <v>0.861</v>
      </c>
      <c r="M24" s="42" t="n">
        <v>0.838</v>
      </c>
      <c r="N24" s="42" t="n">
        <v>0.884</v>
      </c>
      <c r="O24" s="43">
        <f>IFERROR(AVERAGE(J24:N24),"")</f>
        <v/>
      </c>
      <c r="P24" s="42" t="n">
        <v>0.71</v>
      </c>
      <c r="Q24" s="42" t="n">
        <v>0.67</v>
      </c>
      <c r="R24" s="42" t="n">
        <v>0.715</v>
      </c>
      <c r="S24" s="42" t="n">
        <v>0.614</v>
      </c>
      <c r="T24" s="42" t="n">
        <v>0.738</v>
      </c>
      <c r="U24" s="43">
        <f>IFERROR(AVERAGE(P24:T24),"")</f>
        <v/>
      </c>
      <c r="V24" s="42" t="n">
        <v>0.756</v>
      </c>
      <c r="W24" s="42" t="n">
        <v>0.819</v>
      </c>
      <c r="X24" s="42" t="n">
        <v>0.784</v>
      </c>
      <c r="Y24" s="42" t="n">
        <v>0.784</v>
      </c>
      <c r="Z24" s="42" t="n">
        <v>0.833</v>
      </c>
      <c r="AA24" s="43">
        <f>IFERROR(AVERAGE(V24:Z24),"")</f>
        <v/>
      </c>
      <c r="AB24" s="42" t="n">
        <v>0.756</v>
      </c>
      <c r="AC24" s="42" t="n">
        <v>0.819</v>
      </c>
      <c r="AD24" s="42" t="n">
        <v>0.784</v>
      </c>
      <c r="AE24" s="42" t="n">
        <v>0.784</v>
      </c>
      <c r="AF24" s="42" t="n">
        <v>0.833</v>
      </c>
      <c r="AG24" s="43">
        <f>IFERROR(AVERAGE(AB24:AF24),"")</f>
        <v/>
      </c>
      <c r="AH24" s="42">
        <f>IFERROR(AG24-AA24,"")</f>
        <v/>
      </c>
      <c r="AI24" s="42">
        <f>IFERROR(AG24-O24,"")</f>
        <v/>
      </c>
    </row>
    <row r="25">
      <c r="A25" s="41" t="inlineStr">
        <is>
          <t>breast_cancer</t>
        </is>
      </c>
      <c r="B25" s="42" t="inlineStr">
        <is>
          <t>symmetric</t>
        </is>
      </c>
      <c r="C25" s="42" t="n">
        <v>0.4</v>
      </c>
      <c r="D25" s="42" t="n">
        <v>0.649</v>
      </c>
      <c r="E25" s="42" t="n">
        <v>0.645</v>
      </c>
      <c r="F25" s="42" t="n">
        <v>0.655</v>
      </c>
      <c r="G25" s="42" t="n">
        <v>0.6889999999999999</v>
      </c>
      <c r="H25" s="42" t="n">
        <v>0.604</v>
      </c>
      <c r="I25" s="43">
        <f>IFERROR(AVERAGE(D25:H25),"")</f>
        <v/>
      </c>
      <c r="J25" s="42" t="n">
        <v>0.761</v>
      </c>
      <c r="K25" s="42" t="n">
        <v>0.733</v>
      </c>
      <c r="L25" s="42" t="n">
        <v>0.8100000000000001</v>
      </c>
      <c r="M25" s="42" t="n">
        <v>0.779</v>
      </c>
      <c r="N25" s="42" t="n">
        <v>0.766</v>
      </c>
      <c r="O25" s="43">
        <f>IFERROR(AVERAGE(J25:N25),"")</f>
        <v/>
      </c>
      <c r="P25" s="42" t="n">
        <v>0.605</v>
      </c>
      <c r="Q25" s="42" t="n">
        <v>0.605</v>
      </c>
      <c r="R25" s="42" t="n">
        <v>0.631</v>
      </c>
      <c r="S25" s="42" t="n">
        <v>0.619</v>
      </c>
      <c r="T25" s="42" t="n">
        <v>0.538</v>
      </c>
      <c r="U25" s="43">
        <f>IFERROR(AVERAGE(P25:T25),"")</f>
        <v/>
      </c>
      <c r="V25" s="42" t="n">
        <v>0.719</v>
      </c>
      <c r="W25" s="42" t="n">
        <v>0.721</v>
      </c>
      <c r="X25" s="42" t="n">
        <v>0.722</v>
      </c>
      <c r="Y25" s="42" t="n">
        <v>0.782</v>
      </c>
      <c r="Z25" s="42" t="n">
        <v>0.75</v>
      </c>
      <c r="AA25" s="43">
        <f>IFERROR(AVERAGE(V25:Z25),"")</f>
        <v/>
      </c>
      <c r="AB25" s="42" t="n">
        <v>0.719</v>
      </c>
      <c r="AC25" s="42" t="n">
        <v>0.721</v>
      </c>
      <c r="AD25" s="42" t="n">
        <v>0.722</v>
      </c>
      <c r="AE25" s="42" t="n">
        <v>0.782</v>
      </c>
      <c r="AF25" s="42" t="n">
        <v>0.75</v>
      </c>
      <c r="AG25" s="43">
        <f>IFERROR(AVERAGE(AB25:AF25),"")</f>
        <v/>
      </c>
      <c r="AH25" s="42">
        <f>IFERROR(AG25-AA25,"")</f>
        <v/>
      </c>
      <c r="AI25" s="42">
        <f>IFERROR(AG25-O25,"")</f>
        <v/>
      </c>
    </row>
    <row r="26">
      <c r="A26" s="41" t="inlineStr">
        <is>
          <t>breast_cancer</t>
        </is>
      </c>
      <c r="B26" s="42" t="inlineStr">
        <is>
          <t>symmetric</t>
        </is>
      </c>
      <c r="C26" s="42" t="n">
        <v>0.5</v>
      </c>
      <c r="D26" s="42" t="n">
        <v>0.527</v>
      </c>
      <c r="E26" s="42" t="n">
        <v>0.541</v>
      </c>
      <c r="F26" s="42" t="n">
        <v>0.497</v>
      </c>
      <c r="G26" s="42" t="n">
        <v>0.475</v>
      </c>
      <c r="H26" s="42" t="n">
        <v>0.487</v>
      </c>
      <c r="I26" s="43">
        <f>IFERROR(AVERAGE(D26:H26),"")</f>
        <v/>
      </c>
      <c r="J26" s="42" t="n">
        <v>0.547</v>
      </c>
      <c r="K26" s="42" t="n">
        <v>0.501</v>
      </c>
      <c r="L26" s="42" t="n">
        <v>0.52</v>
      </c>
      <c r="M26" s="42" t="n">
        <v>0.506</v>
      </c>
      <c r="N26" s="42" t="n">
        <v>0.539</v>
      </c>
      <c r="O26" s="43">
        <f>IFERROR(AVERAGE(J26:N26),"")</f>
        <v/>
      </c>
      <c r="P26" s="42" t="n">
        <v>0.532</v>
      </c>
      <c r="Q26" s="42" t="n">
        <v>0.519</v>
      </c>
      <c r="R26" s="42" t="n">
        <v>0.534</v>
      </c>
      <c r="S26" s="42" t="n">
        <v>0.487</v>
      </c>
      <c r="T26" s="42" t="n">
        <v>0.464</v>
      </c>
      <c r="U26" s="43">
        <f>IFERROR(AVERAGE(P26:T26),"")</f>
        <v/>
      </c>
      <c r="V26" s="42" t="n">
        <v>0.57</v>
      </c>
      <c r="W26" s="42" t="n">
        <v>0.48</v>
      </c>
      <c r="X26" s="42" t="n">
        <v>0.489</v>
      </c>
      <c r="Y26" s="42" t="n">
        <v>0.473</v>
      </c>
      <c r="Z26" s="42" t="n">
        <v>0.504</v>
      </c>
      <c r="AA26" s="43">
        <f>IFERROR(AVERAGE(V26:Z26),"")</f>
        <v/>
      </c>
      <c r="AB26" s="42" t="n">
        <v>0.57</v>
      </c>
      <c r="AC26" s="42" t="n">
        <v>0.48</v>
      </c>
      <c r="AD26" s="42" t="n">
        <v>0.489</v>
      </c>
      <c r="AE26" s="42" t="n">
        <v>0.473</v>
      </c>
      <c r="AF26" s="42" t="n">
        <v>0.504</v>
      </c>
      <c r="AG26" s="43">
        <f>IFERROR(AVERAGE(AB26:AF26),"")</f>
        <v/>
      </c>
      <c r="AH26" s="42">
        <f>IFERROR(AG26-AA26,"")</f>
        <v/>
      </c>
      <c r="AI26" s="42">
        <f>IFERROR(AG26-O26,"")</f>
        <v/>
      </c>
    </row>
    <row r="27">
      <c r="A27" s="41" t="inlineStr">
        <is>
          <t>breast_cancer</t>
        </is>
      </c>
      <c r="B27" s="42" t="inlineStr">
        <is>
          <t>asymmetric</t>
        </is>
      </c>
      <c r="C27" s="42" t="n">
        <v>0.2</v>
      </c>
      <c r="D27" s="42" t="n">
        <v>0.875</v>
      </c>
      <c r="E27" s="42" t="n">
        <v>0.884</v>
      </c>
      <c r="F27" s="42" t="n">
        <v>0.868</v>
      </c>
      <c r="G27" s="42" t="n">
        <v>0.884</v>
      </c>
      <c r="H27" s="42" t="n">
        <v>0.898</v>
      </c>
      <c r="I27" s="43">
        <f>IFERROR(AVERAGE(D27:H27),"")</f>
        <v/>
      </c>
      <c r="J27" s="42" t="n">
        <v>0.903</v>
      </c>
      <c r="K27" s="42" t="n">
        <v>0.895</v>
      </c>
      <c r="L27" s="42" t="n">
        <v>0.882</v>
      </c>
      <c r="M27" s="42" t="n">
        <v>0.909</v>
      </c>
      <c r="N27" s="42" t="n">
        <v>0.905</v>
      </c>
      <c r="O27" s="43">
        <f>IFERROR(AVERAGE(J27:N27),"")</f>
        <v/>
      </c>
      <c r="P27" s="42" t="n"/>
      <c r="Q27" s="42" t="n"/>
      <c r="R27" s="42" t="n"/>
      <c r="S27" s="42" t="n"/>
      <c r="T27" s="42" t="n"/>
      <c r="U27" s="43">
        <f>IFERROR(AVERAGE(P27:T27),"")</f>
        <v/>
      </c>
      <c r="V27" s="42" t="n"/>
      <c r="W27" s="42" t="n"/>
      <c r="X27" s="42" t="n"/>
      <c r="Y27" s="42" t="n"/>
      <c r="Z27" s="42" t="n"/>
      <c r="AA27" s="43">
        <f>IFERROR(AVERAGE(V27:Z27),"")</f>
        <v/>
      </c>
      <c r="AB27" s="42" t="n">
        <v>0.905</v>
      </c>
      <c r="AC27" s="42" t="n">
        <v>0.91</v>
      </c>
      <c r="AD27" s="42" t="n">
        <v>0.9</v>
      </c>
      <c r="AE27" s="42" t="n">
        <v>0.907</v>
      </c>
      <c r="AF27" s="42" t="n">
        <v>0.91</v>
      </c>
      <c r="AG27" s="43">
        <f>IFERROR(AVERAGE(AB27:AF27),"")</f>
        <v/>
      </c>
      <c r="AH27" s="42">
        <f>IFERROR(AG27-AA27,"")</f>
        <v/>
      </c>
      <c r="AI27" s="42">
        <f>IFERROR(AG27-O27,"")</f>
        <v/>
      </c>
    </row>
    <row r="28">
      <c r="A28" s="41" t="inlineStr">
        <is>
          <t>breast_cancer</t>
        </is>
      </c>
      <c r="B28" s="42" t="inlineStr">
        <is>
          <t>asymmetric</t>
        </is>
      </c>
      <c r="C28" s="42" t="n">
        <v>0.3</v>
      </c>
      <c r="D28" s="42" t="n">
        <v>0.847</v>
      </c>
      <c r="E28" s="42" t="n">
        <v>0.859</v>
      </c>
      <c r="F28" s="42" t="n">
        <v>0.847</v>
      </c>
      <c r="G28" s="42" t="n">
        <v>0.8169999999999999</v>
      </c>
      <c r="H28" s="42" t="n">
        <v>0.861</v>
      </c>
      <c r="I28" s="43">
        <f>IFERROR(AVERAGE(D28:H28),"")</f>
        <v/>
      </c>
      <c r="J28" s="42" t="n">
        <v>0.865</v>
      </c>
      <c r="K28" s="42" t="n">
        <v>0.868</v>
      </c>
      <c r="L28" s="42" t="n">
        <v>0.879</v>
      </c>
      <c r="M28" s="42" t="n">
        <v>0.861</v>
      </c>
      <c r="N28" s="42" t="n">
        <v>0.858</v>
      </c>
      <c r="O28" s="43">
        <f>IFERROR(AVERAGE(J28:N28),"")</f>
        <v/>
      </c>
      <c r="P28" s="42" t="n"/>
      <c r="Q28" s="42" t="n"/>
      <c r="R28" s="42" t="n"/>
      <c r="S28" s="42" t="n"/>
      <c r="T28" s="42" t="n"/>
      <c r="U28" s="43">
        <f>IFERROR(AVERAGE(P28:T28),"")</f>
        <v/>
      </c>
      <c r="V28" s="42" t="n"/>
      <c r="W28" s="42" t="n"/>
      <c r="X28" s="42" t="n"/>
      <c r="Y28" s="42" t="n"/>
      <c r="Z28" s="42" t="n"/>
      <c r="AA28" s="43">
        <f>IFERROR(AVERAGE(V28:Z28),"")</f>
        <v/>
      </c>
      <c r="AB28" s="42" t="n">
        <v>0.905</v>
      </c>
      <c r="AC28" s="42" t="n">
        <v>0.909</v>
      </c>
      <c r="AD28" s="42" t="n">
        <v>0.903</v>
      </c>
      <c r="AE28" s="42" t="n">
        <v>0.912</v>
      </c>
      <c r="AF28" s="42" t="n">
        <v>0.912</v>
      </c>
      <c r="AG28" s="43">
        <f>IFERROR(AVERAGE(AB28:AF28),"")</f>
        <v/>
      </c>
      <c r="AH28" s="42">
        <f>IFERROR(AG28-AA28,"")</f>
        <v/>
      </c>
      <c r="AI28" s="42">
        <f>IFERROR(AG28-O28,"")</f>
        <v/>
      </c>
    </row>
    <row r="29">
      <c r="A29" s="41" t="inlineStr">
        <is>
          <t>breast_cancer</t>
        </is>
      </c>
      <c r="B29" s="42" t="inlineStr">
        <is>
          <t>asymmetric</t>
        </is>
      </c>
      <c r="C29" s="42" t="n">
        <v>0.4</v>
      </c>
      <c r="D29" s="42" t="n">
        <v>0.822</v>
      </c>
      <c r="E29" s="42" t="n">
        <v>0.8169999999999999</v>
      </c>
      <c r="F29" s="42" t="n">
        <v>0.822</v>
      </c>
      <c r="G29" s="42" t="n">
        <v>0.784</v>
      </c>
      <c r="H29" s="42" t="n">
        <v>0.805</v>
      </c>
      <c r="I29" s="43">
        <f>IFERROR(AVERAGE(D29:H29),"")</f>
        <v/>
      </c>
      <c r="J29" s="42" t="n">
        <v>0.824</v>
      </c>
      <c r="K29" s="42" t="n">
        <v>0.829</v>
      </c>
      <c r="L29" s="42" t="n">
        <v>0.803</v>
      </c>
      <c r="M29" s="42" t="n">
        <v>0.823</v>
      </c>
      <c r="N29" s="42" t="n">
        <v>0.819</v>
      </c>
      <c r="O29" s="43">
        <f>IFERROR(AVERAGE(J29:N29),"")</f>
        <v/>
      </c>
      <c r="P29" s="42" t="n"/>
      <c r="Q29" s="42" t="n"/>
      <c r="R29" s="42" t="n"/>
      <c r="S29" s="42" t="n"/>
      <c r="T29" s="42" t="n"/>
      <c r="U29" s="43">
        <f>IFERROR(AVERAGE(P29:T29),"")</f>
        <v/>
      </c>
      <c r="V29" s="42" t="n"/>
      <c r="W29" s="42" t="n"/>
      <c r="X29" s="42" t="n"/>
      <c r="Y29" s="42" t="n"/>
      <c r="Z29" s="42" t="n"/>
      <c r="AA29" s="43">
        <f>IFERROR(AVERAGE(V29:Z29),"")</f>
        <v/>
      </c>
      <c r="AB29" s="42" t="n">
        <v>0.91</v>
      </c>
      <c r="AC29" s="42" t="n">
        <v>0.905</v>
      </c>
      <c r="AD29" s="42" t="n">
        <v>0.9</v>
      </c>
      <c r="AE29" s="42" t="n">
        <v>0.907</v>
      </c>
      <c r="AF29" s="42" t="n">
        <v>0.909</v>
      </c>
      <c r="AG29" s="43">
        <f>IFERROR(AVERAGE(AB29:AF29),"")</f>
        <v/>
      </c>
      <c r="AH29" s="42">
        <f>IFERROR(AG29-AA29,"")</f>
        <v/>
      </c>
      <c r="AI29" s="42">
        <f>IFERROR(AG29-O29,"")</f>
        <v/>
      </c>
    </row>
    <row r="30">
      <c r="A30" s="41" t="inlineStr">
        <is>
          <t>breast_cancer</t>
        </is>
      </c>
      <c r="B30" s="42" t="inlineStr">
        <is>
          <t>asymmetric</t>
        </is>
      </c>
      <c r="C30" s="42" t="n">
        <v>0.5</v>
      </c>
      <c r="D30" s="42" t="n">
        <v>0.749</v>
      </c>
      <c r="E30" s="42" t="n">
        <v>0.735</v>
      </c>
      <c r="F30" s="42" t="n">
        <v>0.749</v>
      </c>
      <c r="G30" s="42" t="n">
        <v>0.759</v>
      </c>
      <c r="H30" s="42" t="n">
        <v>0.754</v>
      </c>
      <c r="I30" s="43">
        <f>IFERROR(AVERAGE(D30:H30),"")</f>
        <v/>
      </c>
      <c r="J30" s="42" t="n">
        <v>0.772</v>
      </c>
      <c r="K30" s="42" t="n">
        <v>0.784</v>
      </c>
      <c r="L30" s="42" t="n">
        <v>0.747</v>
      </c>
      <c r="M30" s="42" t="n">
        <v>0.772</v>
      </c>
      <c r="N30" s="42" t="n">
        <v>0.757</v>
      </c>
      <c r="O30" s="43">
        <f>IFERROR(AVERAGE(J30:N30),"")</f>
        <v/>
      </c>
      <c r="P30" s="42" t="n"/>
      <c r="Q30" s="42" t="n"/>
      <c r="R30" s="42" t="n"/>
      <c r="S30" s="42" t="n"/>
      <c r="T30" s="42" t="n"/>
      <c r="U30" s="43">
        <f>IFERROR(AVERAGE(P30:T30),"")</f>
        <v/>
      </c>
      <c r="V30" s="42" t="n"/>
      <c r="W30" s="42" t="n"/>
      <c r="X30" s="42" t="n"/>
      <c r="Y30" s="42" t="n"/>
      <c r="Z30" s="42" t="n"/>
      <c r="AA30" s="43">
        <f>IFERROR(AVERAGE(V30:Z30),"")</f>
        <v/>
      </c>
      <c r="AB30" s="42" t="n">
        <v>0.903</v>
      </c>
      <c r="AC30" s="42" t="n">
        <v>0.898</v>
      </c>
      <c r="AD30" s="42" t="n">
        <v>0.9</v>
      </c>
      <c r="AE30" s="42" t="n">
        <v>0.903</v>
      </c>
      <c r="AF30" s="42" t="n">
        <v>0.91</v>
      </c>
      <c r="AG30" s="43">
        <f>IFERROR(AVERAGE(AB30:AF30),"")</f>
        <v/>
      </c>
      <c r="AH30" s="42">
        <f>IFERROR(AG30-AA30,"")</f>
        <v/>
      </c>
      <c r="AI30" s="42">
        <f>IFERROR(AG30-O30,"")</f>
        <v/>
      </c>
    </row>
    <row r="31">
      <c r="A31" s="41" t="inlineStr">
        <is>
          <t>breast_cancer</t>
        </is>
      </c>
      <c r="B31" s="42" t="inlineStr">
        <is>
          <t>boundary</t>
        </is>
      </c>
      <c r="C31" s="42" t="n">
        <v>0.2</v>
      </c>
      <c r="D31" s="42" t="n">
        <v>0.854</v>
      </c>
      <c r="E31" s="42" t="n">
        <v>0.835</v>
      </c>
      <c r="F31" s="42" t="n">
        <v>0.873</v>
      </c>
      <c r="G31" s="42" t="n">
        <v>0.868</v>
      </c>
      <c r="H31" s="42" t="n">
        <v>0.875</v>
      </c>
      <c r="I31" s="43">
        <f>IFERROR(AVERAGE(D31:H31),"")</f>
        <v/>
      </c>
      <c r="J31" s="42" t="n">
        <v>0.923</v>
      </c>
      <c r="K31" s="42" t="n">
        <v>0.888</v>
      </c>
      <c r="L31" s="42" t="n">
        <v>0.93</v>
      </c>
      <c r="M31" s="42" t="n">
        <v>0.907</v>
      </c>
      <c r="N31" s="42" t="n">
        <v>0.912</v>
      </c>
      <c r="O31" s="43">
        <f>IFERROR(AVERAGE(J31:N31),"")</f>
        <v/>
      </c>
      <c r="P31" s="42" t="n">
        <v>0.947</v>
      </c>
      <c r="Q31" s="42" t="n">
        <v>0.946</v>
      </c>
      <c r="R31" s="42" t="n">
        <v>0.9419999999999999</v>
      </c>
      <c r="S31" s="42" t="n">
        <v>0.9419999999999999</v>
      </c>
      <c r="T31" s="42" t="n">
        <v>0.953</v>
      </c>
      <c r="U31" s="43">
        <f>IFERROR(AVERAGE(P31:T31),"")</f>
        <v/>
      </c>
      <c r="V31" s="42" t="n">
        <v>0.9419999999999999</v>
      </c>
      <c r="W31" s="42" t="n">
        <v>0.9399999999999999</v>
      </c>
      <c r="X31" s="42" t="n">
        <v>0.945</v>
      </c>
      <c r="Y31" s="42" t="n">
        <v>0.946</v>
      </c>
      <c r="Z31" s="42" t="n">
        <v>0.947</v>
      </c>
      <c r="AA31" s="43">
        <f>IFERROR(AVERAGE(V31:Z31),"")</f>
        <v/>
      </c>
      <c r="AB31" s="42" t="n">
        <v>0.9419999999999999</v>
      </c>
      <c r="AC31" s="42" t="n">
        <v>0.9399999999999999</v>
      </c>
      <c r="AD31" s="42" t="n">
        <v>0.945</v>
      </c>
      <c r="AE31" s="42" t="n">
        <v>0.946</v>
      </c>
      <c r="AF31" s="42" t="n">
        <v>0.947</v>
      </c>
      <c r="AG31" s="43">
        <f>IFERROR(AVERAGE(AB31:AF31),"")</f>
        <v/>
      </c>
      <c r="AH31" s="42">
        <f>IFERROR(AG31-AA31,"")</f>
        <v/>
      </c>
      <c r="AI31" s="42">
        <f>IFERROR(AG31-O31,"")</f>
        <v/>
      </c>
    </row>
    <row r="32">
      <c r="A32" s="41" t="inlineStr">
        <is>
          <t>breast_cancer</t>
        </is>
      </c>
      <c r="B32" s="42" t="inlineStr">
        <is>
          <t>boundary</t>
        </is>
      </c>
      <c r="C32" s="42" t="n">
        <v>0.3</v>
      </c>
      <c r="D32" s="42" t="n">
        <v>0.756</v>
      </c>
      <c r="E32" s="42" t="n">
        <v>0.793</v>
      </c>
      <c r="F32" s="42" t="n">
        <v>0.8100000000000001</v>
      </c>
      <c r="G32" s="42" t="n">
        <v>0.782</v>
      </c>
      <c r="H32" s="42" t="n">
        <v>0.837</v>
      </c>
      <c r="I32" s="43">
        <f>IFERROR(AVERAGE(D32:H32),"")</f>
        <v/>
      </c>
      <c r="J32" s="42" t="n">
        <v>0.851</v>
      </c>
      <c r="K32" s="42" t="n">
        <v>0.845</v>
      </c>
      <c r="L32" s="42" t="n">
        <v>0.851</v>
      </c>
      <c r="M32" s="42" t="n">
        <v>0.863</v>
      </c>
      <c r="N32" s="42" t="n">
        <v>0.866</v>
      </c>
      <c r="O32" s="43">
        <f>IFERROR(AVERAGE(J32:N32),"")</f>
        <v/>
      </c>
      <c r="P32" s="42" t="n">
        <v>0.717</v>
      </c>
      <c r="Q32" s="42" t="n">
        <v>0.742</v>
      </c>
      <c r="R32" s="42" t="n">
        <v>0.743</v>
      </c>
      <c r="S32" s="42" t="n">
        <v>0.747</v>
      </c>
      <c r="T32" s="42" t="n">
        <v>0.754</v>
      </c>
      <c r="U32" s="43">
        <f>IFERROR(AVERAGE(P32:T32),"")</f>
        <v/>
      </c>
      <c r="V32" s="42" t="n">
        <v>0.833</v>
      </c>
      <c r="W32" s="42" t="n">
        <v>0.789</v>
      </c>
      <c r="X32" s="42" t="n">
        <v>0.887</v>
      </c>
      <c r="Y32" s="42" t="n">
        <v>0.793</v>
      </c>
      <c r="Z32" s="42" t="n">
        <v>0.798</v>
      </c>
      <c r="AA32" s="43">
        <f>IFERROR(AVERAGE(V32:Z32),"")</f>
        <v/>
      </c>
      <c r="AB32" s="42" t="n">
        <v>0.833</v>
      </c>
      <c r="AC32" s="42" t="n">
        <v>0.789</v>
      </c>
      <c r="AD32" s="42" t="n">
        <v>0.887</v>
      </c>
      <c r="AE32" s="42" t="n">
        <v>0.793</v>
      </c>
      <c r="AF32" s="42" t="n">
        <v>0.798</v>
      </c>
      <c r="AG32" s="43">
        <f>IFERROR(AVERAGE(AB32:AF32),"")</f>
        <v/>
      </c>
      <c r="AH32" s="42">
        <f>IFERROR(AG32-AA32,"")</f>
        <v/>
      </c>
      <c r="AI32" s="42">
        <f>IFERROR(AG32-O32,"")</f>
        <v/>
      </c>
    </row>
    <row r="33">
      <c r="A33" s="41" t="inlineStr">
        <is>
          <t>breast_cancer</t>
        </is>
      </c>
      <c r="B33" s="42" t="inlineStr">
        <is>
          <t>boundary</t>
        </is>
      </c>
      <c r="C33" s="42" t="n">
        <v>0.4</v>
      </c>
      <c r="D33" s="42" t="n">
        <v>0.699</v>
      </c>
      <c r="E33" s="42" t="n">
        <v>0.643</v>
      </c>
      <c r="F33" s="42" t="n">
        <v>0.715</v>
      </c>
      <c r="G33" s="42" t="n">
        <v>0.629</v>
      </c>
      <c r="H33" s="42" t="n">
        <v>0.673</v>
      </c>
      <c r="I33" s="43">
        <f>IFERROR(AVERAGE(D33:H33),"")</f>
        <v/>
      </c>
      <c r="J33" s="42" t="n">
        <v>0.747</v>
      </c>
      <c r="K33" s="42" t="n">
        <v>0.713</v>
      </c>
      <c r="L33" s="42" t="n">
        <v>0.713</v>
      </c>
      <c r="M33" s="42" t="n">
        <v>0.696</v>
      </c>
      <c r="N33" s="42" t="n">
        <v>0.6889999999999999</v>
      </c>
      <c r="O33" s="43">
        <f>IFERROR(AVERAGE(J33:N33),"")</f>
        <v/>
      </c>
      <c r="P33" s="42" t="n">
        <v>0.529</v>
      </c>
      <c r="Q33" s="42" t="n">
        <v>0.531</v>
      </c>
      <c r="R33" s="42" t="n">
        <v>0.698</v>
      </c>
      <c r="S33" s="42" t="n">
        <v>0.533</v>
      </c>
      <c r="T33" s="42" t="n">
        <v>0.591</v>
      </c>
      <c r="U33" s="43">
        <f>IFERROR(AVERAGE(P33:T33),"")</f>
        <v/>
      </c>
      <c r="V33" s="42" t="n">
        <v>0.585</v>
      </c>
      <c r="W33" s="42" t="n">
        <v>0.584</v>
      </c>
      <c r="X33" s="42" t="n">
        <v>0.605</v>
      </c>
      <c r="Y33" s="42" t="n">
        <v>0.534</v>
      </c>
      <c r="Z33" s="42" t="n">
        <v>0.513</v>
      </c>
      <c r="AA33" s="43">
        <f>IFERROR(AVERAGE(V33:Z33),"")</f>
        <v/>
      </c>
      <c r="AB33" s="42" t="n">
        <v>0.585</v>
      </c>
      <c r="AC33" s="42" t="n">
        <v>0.584</v>
      </c>
      <c r="AD33" s="42" t="n">
        <v>0.605</v>
      </c>
      <c r="AE33" s="42" t="n">
        <v>0.534</v>
      </c>
      <c r="AF33" s="42" t="n">
        <v>0.513</v>
      </c>
      <c r="AG33" s="43">
        <f>IFERROR(AVERAGE(AB33:AF33),"")</f>
        <v/>
      </c>
      <c r="AH33" s="42">
        <f>IFERROR(AG33-AA33,"")</f>
        <v/>
      </c>
      <c r="AI33" s="42">
        <f>IFERROR(AG33-O33,"")</f>
        <v/>
      </c>
    </row>
    <row r="34">
      <c r="A34" s="41" t="inlineStr">
        <is>
          <t>breast_cancer</t>
        </is>
      </c>
      <c r="B34" s="42" t="inlineStr">
        <is>
          <t>boundary</t>
        </is>
      </c>
      <c r="C34" s="42" t="n">
        <v>0.5</v>
      </c>
      <c r="D34" s="42" t="n">
        <v>0.471</v>
      </c>
      <c r="E34" s="42" t="n">
        <v>0.541</v>
      </c>
      <c r="F34" s="42" t="n">
        <v>0.499</v>
      </c>
      <c r="G34" s="42" t="n">
        <v>0.45</v>
      </c>
      <c r="H34" s="42" t="n">
        <v>0.536</v>
      </c>
      <c r="I34" s="43">
        <f>IFERROR(AVERAGE(D34:H34),"")</f>
        <v/>
      </c>
      <c r="J34" s="42" t="n">
        <v>0.571</v>
      </c>
      <c r="K34" s="42" t="n">
        <v>0.508</v>
      </c>
      <c r="L34" s="42" t="n">
        <v>0.626</v>
      </c>
      <c r="M34" s="42" t="n">
        <v>0.534</v>
      </c>
      <c r="N34" s="42" t="n">
        <v>0.496</v>
      </c>
      <c r="O34" s="43">
        <f>IFERROR(AVERAGE(J34:N34),"")</f>
        <v/>
      </c>
      <c r="P34" s="42" t="n">
        <v>0.483</v>
      </c>
      <c r="Q34" s="42" t="n">
        <v>0.538</v>
      </c>
      <c r="R34" s="42" t="n">
        <v>0.508</v>
      </c>
      <c r="S34" s="42" t="n">
        <v>0.515</v>
      </c>
      <c r="T34" s="42" t="n">
        <v>0.552</v>
      </c>
      <c r="U34" s="43">
        <f>IFERROR(AVERAGE(P34:T34),"")</f>
        <v/>
      </c>
      <c r="V34" s="42" t="n">
        <v>0.582</v>
      </c>
      <c r="W34" s="42" t="n">
        <v>0.488</v>
      </c>
      <c r="X34" s="42" t="n">
        <v>0.596</v>
      </c>
      <c r="Y34" s="42" t="n">
        <v>0.508</v>
      </c>
      <c r="Z34" s="42" t="n">
        <v>0.511</v>
      </c>
      <c r="AA34" s="43">
        <f>IFERROR(AVERAGE(V34:Z34),"")</f>
        <v/>
      </c>
      <c r="AB34" s="42" t="n">
        <v>0.582</v>
      </c>
      <c r="AC34" s="42" t="n">
        <v>0.488</v>
      </c>
      <c r="AD34" s="42" t="n">
        <v>0.596</v>
      </c>
      <c r="AE34" s="42" t="n">
        <v>0.508</v>
      </c>
      <c r="AF34" s="42" t="n">
        <v>0.511</v>
      </c>
      <c r="AG34" s="43">
        <f>IFERROR(AVERAGE(AB34:AF34),"")</f>
        <v/>
      </c>
      <c r="AH34" s="42">
        <f>IFERROR(AG34-AA34,"")</f>
        <v/>
      </c>
      <c r="AI34" s="42">
        <f>IFERROR(AG34-O34,"")</f>
        <v/>
      </c>
    </row>
    <row r="35">
      <c r="A35" s="41" t="inlineStr">
        <is>
          <t>breast_cancer</t>
        </is>
      </c>
      <c r="B35" s="42" t="inlineStr">
        <is>
          <t>far</t>
        </is>
      </c>
      <c r="C35" s="42" t="n">
        <v>0.2</v>
      </c>
      <c r="D35" s="42" t="n">
        <v>0.789</v>
      </c>
      <c r="E35" s="42" t="n">
        <v>0.779</v>
      </c>
      <c r="F35" s="42" t="n">
        <v>0.766</v>
      </c>
      <c r="G35" s="42" t="n">
        <v>0.8139999999999999</v>
      </c>
      <c r="H35" s="42" t="n">
        <v>0.83</v>
      </c>
      <c r="I35" s="43">
        <f>IFERROR(AVERAGE(D35:H35),"")</f>
        <v/>
      </c>
      <c r="J35" s="42" t="n">
        <v>0.844</v>
      </c>
      <c r="K35" s="42" t="n">
        <v>0.847</v>
      </c>
      <c r="L35" s="42" t="n">
        <v>0.819</v>
      </c>
      <c r="M35" s="42" t="n">
        <v>0.852</v>
      </c>
      <c r="N35" s="42" t="n">
        <v>0.854</v>
      </c>
      <c r="O35" s="43">
        <f>IFERROR(AVERAGE(J35:N35),"")</f>
        <v/>
      </c>
      <c r="P35" s="42" t="n">
        <v>0.627</v>
      </c>
      <c r="Q35" s="42" t="n">
        <v>0.581</v>
      </c>
      <c r="R35" s="42" t="n">
        <v>0.775</v>
      </c>
      <c r="S35" s="42" t="n">
        <v>0.599</v>
      </c>
      <c r="T35" s="42" t="n">
        <v>0.668</v>
      </c>
      <c r="U35" s="43">
        <f>IFERROR(AVERAGE(P35:T35),"")</f>
        <v/>
      </c>
      <c r="V35" s="42" t="n">
        <v>0.6820000000000001</v>
      </c>
      <c r="W35" s="42" t="n">
        <v>0.707</v>
      </c>
      <c r="X35" s="42" t="n">
        <v>0.737</v>
      </c>
      <c r="Y35" s="42" t="n">
        <v>0.763</v>
      </c>
      <c r="Z35" s="42" t="n">
        <v>0.8159999999999999</v>
      </c>
      <c r="AA35" s="43">
        <f>IFERROR(AVERAGE(V35:Z35),"")</f>
        <v/>
      </c>
      <c r="AB35" s="42" t="n">
        <v>0.785</v>
      </c>
      <c r="AC35" s="42" t="n">
        <v>0.787</v>
      </c>
      <c r="AD35" s="42" t="n">
        <v>0.737</v>
      </c>
      <c r="AE35" s="42" t="n">
        <v>0.763</v>
      </c>
      <c r="AF35" s="42" t="n">
        <v>0.837</v>
      </c>
      <c r="AG35" s="43">
        <f>IFERROR(AVERAGE(AB35:AF35),"")</f>
        <v/>
      </c>
      <c r="AH35" s="42">
        <f>IFERROR(AG35-AA35,"")</f>
        <v/>
      </c>
      <c r="AI35" s="42">
        <f>IFERROR(AG35-O35,"")</f>
        <v/>
      </c>
    </row>
    <row r="36">
      <c r="A36" s="41" t="inlineStr">
        <is>
          <t>breast_cancer</t>
        </is>
      </c>
      <c r="B36" s="42" t="inlineStr">
        <is>
          <t>far</t>
        </is>
      </c>
      <c r="C36" s="42" t="n">
        <v>0.3</v>
      </c>
      <c r="D36" s="42" t="n">
        <v>0.754</v>
      </c>
      <c r="E36" s="42" t="n">
        <v>0.715</v>
      </c>
      <c r="F36" s="42" t="n">
        <v>0.71</v>
      </c>
      <c r="G36" s="42" t="n">
        <v>0.706</v>
      </c>
      <c r="H36" s="42" t="n">
        <v>0.768</v>
      </c>
      <c r="I36" s="43">
        <f>IFERROR(AVERAGE(D36:H36),"")</f>
        <v/>
      </c>
      <c r="J36" s="42" t="n">
        <v>0.791</v>
      </c>
      <c r="K36" s="42" t="n">
        <v>0.784</v>
      </c>
      <c r="L36" s="42" t="n">
        <v>0.801</v>
      </c>
      <c r="M36" s="42" t="n">
        <v>0.8080000000000001</v>
      </c>
      <c r="N36" s="42" t="n">
        <v>0.803</v>
      </c>
      <c r="O36" s="43">
        <f>IFERROR(AVERAGE(J36:N36),"")</f>
        <v/>
      </c>
      <c r="P36" s="42" t="n">
        <v>0.633</v>
      </c>
      <c r="Q36" s="42" t="n">
        <v>0.582</v>
      </c>
      <c r="R36" s="42" t="n">
        <v>0.6909999999999999</v>
      </c>
      <c r="S36" s="42" t="n">
        <v>0.58</v>
      </c>
      <c r="T36" s="42" t="n">
        <v>0.67</v>
      </c>
      <c r="U36" s="43">
        <f>IFERROR(AVERAGE(P36:T36),"")</f>
        <v/>
      </c>
      <c r="V36" s="42" t="n">
        <v>0.787</v>
      </c>
      <c r="W36" s="42" t="n">
        <v>0.554</v>
      </c>
      <c r="X36" s="42" t="n">
        <v>0.721</v>
      </c>
      <c r="Y36" s="42" t="n">
        <v>0.647</v>
      </c>
      <c r="Z36" s="42" t="n">
        <v>0.751</v>
      </c>
      <c r="AA36" s="43">
        <f>IFERROR(AVERAGE(V36:Z36),"")</f>
        <v/>
      </c>
      <c r="AB36" s="42" t="n">
        <v>0.787</v>
      </c>
      <c r="AC36" s="42" t="n">
        <v>0.554</v>
      </c>
      <c r="AD36" s="42" t="n">
        <v>0.721</v>
      </c>
      <c r="AE36" s="42" t="n">
        <v>0.647</v>
      </c>
      <c r="AF36" s="42" t="n">
        <v>0.751</v>
      </c>
      <c r="AG36" s="43">
        <f>IFERROR(AVERAGE(AB36:AF36),"")</f>
        <v/>
      </c>
      <c r="AH36" s="42">
        <f>IFERROR(AG36-AA36,"")</f>
        <v/>
      </c>
      <c r="AI36" s="42">
        <f>IFERROR(AG36-O36,"")</f>
        <v/>
      </c>
    </row>
    <row r="37">
      <c r="A37" s="41" t="inlineStr">
        <is>
          <t>breast_cancer</t>
        </is>
      </c>
      <c r="B37" s="42" t="inlineStr">
        <is>
          <t>far</t>
        </is>
      </c>
      <c r="C37" s="42" t="n">
        <v>0.4</v>
      </c>
      <c r="D37" s="42" t="n">
        <v>0.64</v>
      </c>
      <c r="E37" s="42" t="n">
        <v>0.698</v>
      </c>
      <c r="F37" s="42" t="n">
        <v>0.647</v>
      </c>
      <c r="G37" s="42" t="n">
        <v>0.635</v>
      </c>
      <c r="H37" s="42" t="n">
        <v>0.622</v>
      </c>
      <c r="I37" s="43">
        <f>IFERROR(AVERAGE(D37:H37),"")</f>
        <v/>
      </c>
      <c r="J37" s="42" t="n">
        <v>0.6919999999999999</v>
      </c>
      <c r="K37" s="42" t="n">
        <v>0.707</v>
      </c>
      <c r="L37" s="42" t="n">
        <v>0.738</v>
      </c>
      <c r="M37" s="42" t="n">
        <v>0.712</v>
      </c>
      <c r="N37" s="42" t="n">
        <v>0.722</v>
      </c>
      <c r="O37" s="43">
        <f>IFERROR(AVERAGE(J37:N37),"")</f>
        <v/>
      </c>
      <c r="P37" s="42" t="n">
        <v>0.571</v>
      </c>
      <c r="Q37" s="42" t="n">
        <v>0.594</v>
      </c>
      <c r="R37" s="42" t="n">
        <v>0.5590000000000001</v>
      </c>
      <c r="S37" s="42" t="n">
        <v>0.555</v>
      </c>
      <c r="T37" s="42" t="n">
        <v>0.5629999999999999</v>
      </c>
      <c r="U37" s="43">
        <f>IFERROR(AVERAGE(P37:T37),"")</f>
        <v/>
      </c>
      <c r="V37" s="42" t="n">
        <v>0.631</v>
      </c>
      <c r="W37" s="42" t="n">
        <v>0.631</v>
      </c>
      <c r="X37" s="42" t="n">
        <v>0.6909999999999999</v>
      </c>
      <c r="Y37" s="42" t="n">
        <v>0.726</v>
      </c>
      <c r="Z37" s="42" t="n">
        <v>0.729</v>
      </c>
      <c r="AA37" s="43">
        <f>IFERROR(AVERAGE(V37:Z37),"")</f>
        <v/>
      </c>
      <c r="AB37" s="42" t="n">
        <v>0.631</v>
      </c>
      <c r="AC37" s="42" t="n">
        <v>0.631</v>
      </c>
      <c r="AD37" s="42" t="n">
        <v>0.6909999999999999</v>
      </c>
      <c r="AE37" s="42" t="n">
        <v>0.726</v>
      </c>
      <c r="AF37" s="42" t="n">
        <v>0.729</v>
      </c>
      <c r="AG37" s="43">
        <f>IFERROR(AVERAGE(AB37:AF37),"")</f>
        <v/>
      </c>
      <c r="AH37" s="42">
        <f>IFERROR(AG37-AA37,"")</f>
        <v/>
      </c>
      <c r="AI37" s="42">
        <f>IFERROR(AG37-O37,"")</f>
        <v/>
      </c>
    </row>
    <row r="38">
      <c r="A38" s="41" t="inlineStr">
        <is>
          <t>breast_cancer</t>
        </is>
      </c>
      <c r="B38" s="42" t="inlineStr">
        <is>
          <t>far</t>
        </is>
      </c>
      <c r="C38" s="42" t="n">
        <v>0.5</v>
      </c>
      <c r="D38" s="42" t="n">
        <v>0.46</v>
      </c>
      <c r="E38" s="42" t="n">
        <v>0.536</v>
      </c>
      <c r="F38" s="42" t="n">
        <v>0.5620000000000001</v>
      </c>
      <c r="G38" s="42" t="n">
        <v>0.496</v>
      </c>
      <c r="H38" s="42" t="n">
        <v>0.453</v>
      </c>
      <c r="I38" s="43">
        <f>IFERROR(AVERAGE(D38:H38),"")</f>
        <v/>
      </c>
      <c r="J38" s="42" t="n">
        <v>0.427</v>
      </c>
      <c r="K38" s="42" t="n">
        <v>0.45</v>
      </c>
      <c r="L38" s="42" t="n">
        <v>0.482</v>
      </c>
      <c r="M38" s="42" t="n">
        <v>0.446</v>
      </c>
      <c r="N38" s="42" t="n">
        <v>0.522</v>
      </c>
      <c r="O38" s="43">
        <f>IFERROR(AVERAGE(J38:N38),"")</f>
        <v/>
      </c>
      <c r="P38" s="42" t="n">
        <v>0.432</v>
      </c>
      <c r="Q38" s="42" t="n">
        <v>0.52</v>
      </c>
      <c r="R38" s="42" t="n">
        <v>0.529</v>
      </c>
      <c r="S38" s="42" t="n">
        <v>0.476</v>
      </c>
      <c r="T38" s="42" t="n">
        <v>0.444</v>
      </c>
      <c r="U38" s="43">
        <f>IFERROR(AVERAGE(P38:T38),"")</f>
        <v/>
      </c>
      <c r="V38" s="42" t="n">
        <v>0.52</v>
      </c>
      <c r="W38" s="42" t="n">
        <v>0.49</v>
      </c>
      <c r="X38" s="42" t="n">
        <v>0.478</v>
      </c>
      <c r="Y38" s="42" t="n">
        <v>0.445</v>
      </c>
      <c r="Z38" s="42" t="n">
        <v>0.501</v>
      </c>
      <c r="AA38" s="43">
        <f>IFERROR(AVERAGE(V38:Z38),"")</f>
        <v/>
      </c>
      <c r="AB38" s="42" t="n">
        <v>0.52</v>
      </c>
      <c r="AC38" s="42" t="n">
        <v>0.49</v>
      </c>
      <c r="AD38" s="42" t="n">
        <v>0.478</v>
      </c>
      <c r="AE38" s="42" t="n">
        <v>0.445</v>
      </c>
      <c r="AF38" s="42" t="n">
        <v>0.501</v>
      </c>
      <c r="AG38" s="43">
        <f>IFERROR(AVERAGE(AB38:AF38),"")</f>
        <v/>
      </c>
      <c r="AH38" s="42">
        <f>IFERROR(AG38-AA38,"")</f>
        <v/>
      </c>
      <c r="AI38" s="42">
        <f>IFERROR(AG38-O38,"")</f>
        <v/>
      </c>
    </row>
    <row r="39">
      <c r="A39" s="41" t="inlineStr">
        <is>
          <t>SPECTF</t>
        </is>
      </c>
      <c r="B39" s="42" t="inlineStr">
        <is>
          <t>(clean)</t>
        </is>
      </c>
      <c r="C39" s="42" t="n">
        <v>0</v>
      </c>
      <c r="D39" s="42" t="n">
        <v>0.73</v>
      </c>
      <c r="E39" s="42" t="n">
        <v>0.768</v>
      </c>
      <c r="F39" s="42" t="n">
        <v>0.727</v>
      </c>
      <c r="G39" s="42" t="n">
        <v>0.734</v>
      </c>
      <c r="H39" s="42" t="n">
        <v>0.786</v>
      </c>
      <c r="I39" s="43">
        <f>IFERROR(AVERAGE(D39:H39),"")</f>
        <v/>
      </c>
      <c r="J39" s="42" t="n">
        <v>0.794</v>
      </c>
      <c r="K39" s="42" t="n">
        <v>0.787</v>
      </c>
      <c r="L39" s="42" t="n">
        <v>0.776</v>
      </c>
      <c r="M39" s="42" t="n">
        <v>0.783</v>
      </c>
      <c r="N39" s="42" t="n">
        <v>0.746</v>
      </c>
      <c r="O39" s="43">
        <f>IFERROR(AVERAGE(J39:N39),"")</f>
        <v/>
      </c>
      <c r="P39" s="42" t="n"/>
      <c r="Q39" s="42" t="n"/>
      <c r="R39" s="42" t="n"/>
      <c r="S39" s="42" t="n"/>
      <c r="T39" s="42" t="n"/>
      <c r="U39" s="43">
        <f>IFERROR(AVERAGE(P39:T39),"")</f>
        <v/>
      </c>
      <c r="V39" s="42" t="n"/>
      <c r="W39" s="42" t="n"/>
      <c r="X39" s="42" t="n"/>
      <c r="Y39" s="42" t="n"/>
      <c r="Z39" s="42" t="n"/>
      <c r="AA39" s="43">
        <f>IFERROR(AVERAGE(V39:Z39),"")</f>
        <v/>
      </c>
      <c r="AB39" s="42" t="n">
        <v>0.6919999999999999</v>
      </c>
      <c r="AC39" s="42" t="n">
        <v>0.694</v>
      </c>
      <c r="AD39" s="42" t="n">
        <v>0.701</v>
      </c>
      <c r="AE39" s="42" t="n">
        <v>0.712</v>
      </c>
      <c r="AF39" s="42" t="n">
        <v>0.712</v>
      </c>
      <c r="AG39" s="43">
        <f>IFERROR(AVERAGE(AB39:AF39),"")</f>
        <v/>
      </c>
      <c r="AH39" s="42">
        <f>IFERROR(AG39-AA39,"")</f>
        <v/>
      </c>
      <c r="AI39" s="42">
        <f>IFERROR(AG39-O39,"")</f>
        <v/>
      </c>
    </row>
    <row r="40">
      <c r="A40" s="41" t="inlineStr">
        <is>
          <t>SPECTF</t>
        </is>
      </c>
      <c r="B40" s="42" t="inlineStr">
        <is>
          <t>symmetric</t>
        </is>
      </c>
      <c r="C40" s="42" t="n">
        <v>0.2</v>
      </c>
      <c r="D40" s="42" t="n">
        <v>0.634</v>
      </c>
      <c r="E40" s="42" t="n">
        <v>0.659</v>
      </c>
      <c r="F40" s="42" t="n">
        <v>0.663</v>
      </c>
      <c r="G40" s="42" t="n">
        <v>0.633</v>
      </c>
      <c r="H40" s="42" t="n">
        <v>0.704</v>
      </c>
      <c r="I40" s="43">
        <f>IFERROR(AVERAGE(D40:H40),"")</f>
        <v/>
      </c>
      <c r="J40" s="42" t="n">
        <v>0.723</v>
      </c>
      <c r="K40" s="42" t="n">
        <v>0.715</v>
      </c>
      <c r="L40" s="42" t="n">
        <v>0.6850000000000001</v>
      </c>
      <c r="M40" s="42" t="n">
        <v>0.659</v>
      </c>
      <c r="N40" s="42" t="n">
        <v>0.701</v>
      </c>
      <c r="O40" s="43">
        <f>IFERROR(AVERAGE(J40:N40),"")</f>
        <v/>
      </c>
      <c r="P40" s="42" t="n">
        <v>0.715</v>
      </c>
      <c r="Q40" s="42" t="n">
        <v>0.719</v>
      </c>
      <c r="R40" s="42" t="n">
        <v>0.663</v>
      </c>
      <c r="S40" s="42" t="n">
        <v>0.595</v>
      </c>
      <c r="T40" s="42" t="n">
        <v>0.663</v>
      </c>
      <c r="U40" s="43">
        <f>IFERROR(AVERAGE(P40:T40),"")</f>
        <v/>
      </c>
      <c r="V40" s="42" t="n">
        <v>0.719</v>
      </c>
      <c r="W40" s="42" t="n">
        <v>0.723</v>
      </c>
      <c r="X40" s="42" t="n">
        <v>0.641</v>
      </c>
      <c r="Y40" s="42" t="n">
        <v>0.583</v>
      </c>
      <c r="Z40" s="42" t="n">
        <v>0.674</v>
      </c>
      <c r="AA40" s="43">
        <f>IFERROR(AVERAGE(V40:Z40),"")</f>
        <v/>
      </c>
      <c r="AB40" s="42" t="n">
        <v>0.719</v>
      </c>
      <c r="AC40" s="42" t="n">
        <v>0.723</v>
      </c>
      <c r="AD40" s="42" t="n">
        <v>0.641</v>
      </c>
      <c r="AE40" s="42" t="n">
        <v>0.583</v>
      </c>
      <c r="AF40" s="42" t="n">
        <v>0.674</v>
      </c>
      <c r="AG40" s="43">
        <f>IFERROR(AVERAGE(AB40:AF40),"")</f>
        <v/>
      </c>
      <c r="AH40" s="42">
        <f>IFERROR(AG40-AA40,"")</f>
        <v/>
      </c>
      <c r="AI40" s="42">
        <f>IFERROR(AG40-O40,"")</f>
        <v/>
      </c>
    </row>
    <row r="41">
      <c r="A41" s="41" t="inlineStr">
        <is>
          <t>SPECTF</t>
        </is>
      </c>
      <c r="B41" s="42" t="inlineStr">
        <is>
          <t>symmetric</t>
        </is>
      </c>
      <c r="C41" s="42" t="n">
        <v>0.3</v>
      </c>
      <c r="D41" s="42" t="n">
        <v>0.548</v>
      </c>
      <c r="E41" s="42" t="n">
        <v>0.588</v>
      </c>
      <c r="F41" s="42" t="n">
        <v>0.652</v>
      </c>
      <c r="G41" s="42" t="n">
        <v>0.614</v>
      </c>
      <c r="H41" s="42" t="n">
        <v>0.641</v>
      </c>
      <c r="I41" s="43">
        <f>IFERROR(AVERAGE(D41:H41),"")</f>
        <v/>
      </c>
      <c r="J41" s="42" t="n">
        <v>0.596</v>
      </c>
      <c r="K41" s="42" t="n">
        <v>0.63</v>
      </c>
      <c r="L41" s="42" t="n">
        <v>0.614</v>
      </c>
      <c r="M41" s="42" t="n">
        <v>0.651</v>
      </c>
      <c r="N41" s="42" t="n">
        <v>0.648</v>
      </c>
      <c r="O41" s="43">
        <f>IFERROR(AVERAGE(J41:N41),"")</f>
        <v/>
      </c>
      <c r="P41" s="42" t="n">
        <v>0.577</v>
      </c>
      <c r="Q41" s="42" t="n">
        <v>0.61</v>
      </c>
      <c r="R41" s="42" t="n">
        <v>0.596</v>
      </c>
      <c r="S41" s="42" t="n">
        <v>0.618</v>
      </c>
      <c r="T41" s="42" t="n">
        <v>0.621</v>
      </c>
      <c r="U41" s="43">
        <f>IFERROR(AVERAGE(P41:T41),"")</f>
        <v/>
      </c>
      <c r="V41" s="42" t="n">
        <v>0.611</v>
      </c>
      <c r="W41" s="42" t="n">
        <v>0.618</v>
      </c>
      <c r="X41" s="42" t="n">
        <v>0.629</v>
      </c>
      <c r="Y41" s="42" t="n">
        <v>0.577</v>
      </c>
      <c r="Z41" s="42" t="n">
        <v>0.644</v>
      </c>
      <c r="AA41" s="43">
        <f>IFERROR(AVERAGE(V41:Z41),"")</f>
        <v/>
      </c>
      <c r="AB41" s="42" t="n">
        <v>0.611</v>
      </c>
      <c r="AC41" s="42" t="n">
        <v>0.618</v>
      </c>
      <c r="AD41" s="42" t="n">
        <v>0.629</v>
      </c>
      <c r="AE41" s="42" t="n">
        <v>0.577</v>
      </c>
      <c r="AF41" s="42" t="n">
        <v>0.644</v>
      </c>
      <c r="AG41" s="43">
        <f>IFERROR(AVERAGE(AB41:AF41),"")</f>
        <v/>
      </c>
      <c r="AH41" s="42">
        <f>IFERROR(AG41-AA41,"")</f>
        <v/>
      </c>
      <c r="AI41" s="42">
        <f>IFERROR(AG41-O41,"")</f>
        <v/>
      </c>
    </row>
    <row r="42">
      <c r="A42" s="41" t="inlineStr">
        <is>
          <t>SPECTF</t>
        </is>
      </c>
      <c r="B42" s="42" t="inlineStr">
        <is>
          <t>symmetric</t>
        </is>
      </c>
      <c r="C42" s="42" t="n">
        <v>0.4</v>
      </c>
      <c r="D42" s="42" t="n">
        <v>0.588</v>
      </c>
      <c r="E42" s="42" t="n">
        <v>0.598</v>
      </c>
      <c r="F42" s="42" t="n">
        <v>0.573</v>
      </c>
      <c r="G42" s="42" t="n">
        <v>0.596</v>
      </c>
      <c r="H42" s="42" t="n">
        <v>0.532</v>
      </c>
      <c r="I42" s="43">
        <f>IFERROR(AVERAGE(D42:H42),"")</f>
        <v/>
      </c>
      <c r="J42" s="42" t="n">
        <v>0.588</v>
      </c>
      <c r="K42" s="42" t="n">
        <v>0.58</v>
      </c>
      <c r="L42" s="42" t="n">
        <v>0.574</v>
      </c>
      <c r="M42" s="42" t="n">
        <v>0.629</v>
      </c>
      <c r="N42" s="42" t="n">
        <v>0.54</v>
      </c>
      <c r="O42" s="43">
        <f>IFERROR(AVERAGE(J42:N42),"")</f>
        <v/>
      </c>
      <c r="P42" s="42" t="n">
        <v>0.606</v>
      </c>
      <c r="Q42" s="42" t="n">
        <v>0.5649999999999999</v>
      </c>
      <c r="R42" s="42" t="n">
        <v>0.547</v>
      </c>
      <c r="S42" s="42" t="n">
        <v>0.502</v>
      </c>
      <c r="T42" s="42" t="n">
        <v>0.532</v>
      </c>
      <c r="U42" s="43">
        <f>IFERROR(AVERAGE(P42:T42),"")</f>
        <v/>
      </c>
      <c r="V42" s="42" t="n">
        <v>0.592</v>
      </c>
      <c r="W42" s="42" t="n">
        <v>0.539</v>
      </c>
      <c r="X42" s="42" t="n">
        <v>0.524</v>
      </c>
      <c r="Y42" s="42" t="n">
        <v>0.576</v>
      </c>
      <c r="Z42" s="42" t="n">
        <v>0.494</v>
      </c>
      <c r="AA42" s="43">
        <f>IFERROR(AVERAGE(V42:Z42),"")</f>
        <v/>
      </c>
      <c r="AB42" s="42" t="n">
        <v>0.592</v>
      </c>
      <c r="AC42" s="42" t="n">
        <v>0.539</v>
      </c>
      <c r="AD42" s="42" t="n">
        <v>0.524</v>
      </c>
      <c r="AE42" s="42" t="n">
        <v>0.576</v>
      </c>
      <c r="AF42" s="42" t="n">
        <v>0.494</v>
      </c>
      <c r="AG42" s="43">
        <f>IFERROR(AVERAGE(AB42:AF42),"")</f>
        <v/>
      </c>
      <c r="AH42" s="42">
        <f>IFERROR(AG42-AA42,"")</f>
        <v/>
      </c>
      <c r="AI42" s="42">
        <f>IFERROR(AG42-O42,"")</f>
        <v/>
      </c>
    </row>
    <row r="43">
      <c r="A43" s="41" t="inlineStr">
        <is>
          <t>SPECTF</t>
        </is>
      </c>
      <c r="B43" s="42" t="inlineStr">
        <is>
          <t>symmetric</t>
        </is>
      </c>
      <c r="C43" s="42" t="n">
        <v>0.5</v>
      </c>
      <c r="D43" s="42" t="n">
        <v>0.502</v>
      </c>
      <c r="E43" s="42" t="n">
        <v>0.449</v>
      </c>
      <c r="F43" s="42" t="n">
        <v>0.498</v>
      </c>
      <c r="G43" s="42" t="n">
        <v>0.539</v>
      </c>
      <c r="H43" s="42" t="n">
        <v>0.502</v>
      </c>
      <c r="I43" s="43">
        <f>IFERROR(AVERAGE(D43:H43),"")</f>
        <v/>
      </c>
      <c r="J43" s="42" t="n">
        <v>0.476</v>
      </c>
      <c r="K43" s="42" t="n">
        <v>0.457</v>
      </c>
      <c r="L43" s="42" t="n">
        <v>0.498</v>
      </c>
      <c r="M43" s="42" t="n">
        <v>0.446</v>
      </c>
      <c r="N43" s="42" t="n">
        <v>0.505</v>
      </c>
      <c r="O43" s="43">
        <f>IFERROR(AVERAGE(J43:N43),"")</f>
        <v/>
      </c>
      <c r="P43" s="42" t="n">
        <v>0.435</v>
      </c>
      <c r="Q43" s="42" t="n">
        <v>0.483</v>
      </c>
      <c r="R43" s="42" t="n">
        <v>0.45</v>
      </c>
      <c r="S43" s="42" t="n">
        <v>0.524</v>
      </c>
      <c r="T43" s="42" t="n">
        <v>0.543</v>
      </c>
      <c r="U43" s="43">
        <f>IFERROR(AVERAGE(P43:T43),"")</f>
        <v/>
      </c>
      <c r="V43" s="42" t="n">
        <v>0.449</v>
      </c>
      <c r="W43" s="42" t="n">
        <v>0.461</v>
      </c>
      <c r="X43" s="42" t="n">
        <v>0.516</v>
      </c>
      <c r="Y43" s="42" t="n">
        <v>0.469</v>
      </c>
      <c r="Z43" s="42" t="n">
        <v>0.554</v>
      </c>
      <c r="AA43" s="43">
        <f>IFERROR(AVERAGE(V43:Z43),"")</f>
        <v/>
      </c>
      <c r="AB43" s="42" t="n">
        <v>0.449</v>
      </c>
      <c r="AC43" s="42" t="n">
        <v>0.461</v>
      </c>
      <c r="AD43" s="42" t="n">
        <v>0.516</v>
      </c>
      <c r="AE43" s="42" t="n">
        <v>0.469</v>
      </c>
      <c r="AF43" s="42" t="n">
        <v>0.554</v>
      </c>
      <c r="AG43" s="43">
        <f>IFERROR(AVERAGE(AB43:AF43),"")</f>
        <v/>
      </c>
      <c r="AH43" s="42">
        <f>IFERROR(AG43-AA43,"")</f>
        <v/>
      </c>
      <c r="AI43" s="42">
        <f>IFERROR(AG43-O43,"")</f>
        <v/>
      </c>
    </row>
    <row r="44">
      <c r="A44" s="41" t="inlineStr">
        <is>
          <t>SPECTF</t>
        </is>
      </c>
      <c r="B44" s="42" t="inlineStr">
        <is>
          <t>asymmetric</t>
        </is>
      </c>
      <c r="C44" s="42" t="n">
        <v>0.2</v>
      </c>
      <c r="D44" s="42" t="n">
        <v>0.749</v>
      </c>
      <c r="E44" s="42" t="n">
        <v>0.73</v>
      </c>
      <c r="F44" s="42" t="n">
        <v>0.745</v>
      </c>
      <c r="G44" s="42" t="n">
        <v>0.753</v>
      </c>
      <c r="H44" s="42" t="n">
        <v>0.749</v>
      </c>
      <c r="I44" s="43">
        <f>IFERROR(AVERAGE(D44:H44),"")</f>
        <v/>
      </c>
      <c r="J44" s="42" t="n">
        <v>0.778</v>
      </c>
      <c r="K44" s="42" t="n">
        <v>0.775</v>
      </c>
      <c r="L44" s="42" t="n">
        <v>0.742</v>
      </c>
      <c r="M44" s="42" t="n">
        <v>0.749</v>
      </c>
      <c r="N44" s="42" t="n">
        <v>0.761</v>
      </c>
      <c r="O44" s="43">
        <f>IFERROR(AVERAGE(J44:N44),"")</f>
        <v/>
      </c>
      <c r="P44" s="42" t="n"/>
      <c r="Q44" s="42" t="n"/>
      <c r="R44" s="42" t="n"/>
      <c r="S44" s="42" t="n"/>
      <c r="T44" s="42" t="n"/>
      <c r="U44" s="43">
        <f>IFERROR(AVERAGE(P44:T44),"")</f>
        <v/>
      </c>
      <c r="V44" s="42" t="n"/>
      <c r="W44" s="42" t="n"/>
      <c r="X44" s="42" t="n"/>
      <c r="Y44" s="42" t="n"/>
      <c r="Z44" s="42" t="n"/>
      <c r="AA44" s="43">
        <f>IFERROR(AVERAGE(V44:Z44),"")</f>
        <v/>
      </c>
      <c r="AB44" s="42" t="n">
        <v>0.6850000000000001</v>
      </c>
      <c r="AC44" s="42" t="n">
        <v>0.6860000000000001</v>
      </c>
      <c r="AD44" s="42" t="n">
        <v>0.697</v>
      </c>
      <c r="AE44" s="42" t="n">
        <v>0.6929999999999999</v>
      </c>
      <c r="AF44" s="42" t="n">
        <v>0.704</v>
      </c>
      <c r="AG44" s="43">
        <f>IFERROR(AVERAGE(AB44:AF44),"")</f>
        <v/>
      </c>
      <c r="AH44" s="42">
        <f>IFERROR(AG44-AA44,"")</f>
        <v/>
      </c>
      <c r="AI44" s="42">
        <f>IFERROR(AG44-O44,"")</f>
        <v/>
      </c>
    </row>
    <row r="45">
      <c r="A45" s="41" t="inlineStr">
        <is>
          <t>SPECTF</t>
        </is>
      </c>
      <c r="B45" s="42" t="inlineStr">
        <is>
          <t>asymmetric</t>
        </is>
      </c>
      <c r="C45" s="42" t="n">
        <v>0.3</v>
      </c>
      <c r="D45" s="42" t="n">
        <v>0.764</v>
      </c>
      <c r="E45" s="42" t="n">
        <v>0.753</v>
      </c>
      <c r="F45" s="42" t="n">
        <v>0.753</v>
      </c>
      <c r="G45" s="42" t="n">
        <v>0.73</v>
      </c>
      <c r="H45" s="42" t="n">
        <v>0.764</v>
      </c>
      <c r="I45" s="43">
        <f>IFERROR(AVERAGE(D45:H45),"")</f>
        <v/>
      </c>
      <c r="J45" s="42" t="n">
        <v>0.783</v>
      </c>
      <c r="K45" s="42" t="n">
        <v>0.776</v>
      </c>
      <c r="L45" s="42" t="n">
        <v>0.787</v>
      </c>
      <c r="M45" s="42" t="n">
        <v>0.787</v>
      </c>
      <c r="N45" s="42" t="n">
        <v>0.746</v>
      </c>
      <c r="O45" s="43">
        <f>IFERROR(AVERAGE(J45:N45),"")</f>
        <v/>
      </c>
      <c r="P45" s="42" t="n"/>
      <c r="Q45" s="42" t="n"/>
      <c r="R45" s="42" t="n"/>
      <c r="S45" s="42" t="n"/>
      <c r="T45" s="42" t="n"/>
      <c r="U45" s="43">
        <f>IFERROR(AVERAGE(P45:T45),"")</f>
        <v/>
      </c>
      <c r="V45" s="42" t="n"/>
      <c r="W45" s="42" t="n"/>
      <c r="X45" s="42" t="n"/>
      <c r="Y45" s="42" t="n"/>
      <c r="Z45" s="42" t="n"/>
      <c r="AA45" s="43">
        <f>IFERROR(AVERAGE(V45:Z45),"")</f>
        <v/>
      </c>
      <c r="AB45" s="42" t="n">
        <v>0.704</v>
      </c>
      <c r="AC45" s="42" t="n">
        <v>0.72</v>
      </c>
      <c r="AD45" s="42" t="n">
        <v>0.712</v>
      </c>
      <c r="AE45" s="42" t="n">
        <v>0.708</v>
      </c>
      <c r="AF45" s="42" t="n">
        <v>0.697</v>
      </c>
      <c r="AG45" s="43">
        <f>IFERROR(AVERAGE(AB45:AF45),"")</f>
        <v/>
      </c>
      <c r="AH45" s="42">
        <f>IFERROR(AG45-AA45,"")</f>
        <v/>
      </c>
      <c r="AI45" s="42">
        <f>IFERROR(AG45-O45,"")</f>
        <v/>
      </c>
    </row>
    <row r="46">
      <c r="A46" s="41" t="inlineStr">
        <is>
          <t>SPECTF</t>
        </is>
      </c>
      <c r="B46" s="42" t="inlineStr">
        <is>
          <t>asymmetric</t>
        </is>
      </c>
      <c r="C46" s="42" t="n">
        <v>0.4</v>
      </c>
      <c r="D46" s="42" t="n">
        <v>0.745</v>
      </c>
      <c r="E46" s="42" t="n">
        <v>0.787</v>
      </c>
      <c r="F46" s="42" t="n">
        <v>0.753</v>
      </c>
      <c r="G46" s="42" t="n">
        <v>0.775</v>
      </c>
      <c r="H46" s="42" t="n">
        <v>0.79</v>
      </c>
      <c r="I46" s="43">
        <f>IFERROR(AVERAGE(D46:H46),"")</f>
        <v/>
      </c>
      <c r="J46" s="42" t="n">
        <v>0.756</v>
      </c>
      <c r="K46" s="42" t="n">
        <v>0.787</v>
      </c>
      <c r="L46" s="42" t="n">
        <v>0.805</v>
      </c>
      <c r="M46" s="42" t="n">
        <v>0.761</v>
      </c>
      <c r="N46" s="42" t="n">
        <v>0.756</v>
      </c>
      <c r="O46" s="43">
        <f>IFERROR(AVERAGE(J46:N46),"")</f>
        <v/>
      </c>
      <c r="P46" s="42" t="n"/>
      <c r="Q46" s="42" t="n"/>
      <c r="R46" s="42" t="n"/>
      <c r="S46" s="42" t="n"/>
      <c r="T46" s="42" t="n"/>
      <c r="U46" s="43">
        <f>IFERROR(AVERAGE(P46:T46),"")</f>
        <v/>
      </c>
      <c r="V46" s="42" t="n"/>
      <c r="W46" s="42" t="n"/>
      <c r="X46" s="42" t="n"/>
      <c r="Y46" s="42" t="n"/>
      <c r="Z46" s="42" t="n"/>
      <c r="AA46" s="43">
        <f>IFERROR(AVERAGE(V46:Z46),"")</f>
        <v/>
      </c>
      <c r="AB46" s="42" t="n">
        <v>0.6919999999999999</v>
      </c>
      <c r="AC46" s="42" t="n">
        <v>0.705</v>
      </c>
      <c r="AD46" s="42" t="n">
        <v>0.704</v>
      </c>
      <c r="AE46" s="42" t="n">
        <v>0.697</v>
      </c>
      <c r="AF46" s="42" t="n">
        <v>0.697</v>
      </c>
      <c r="AG46" s="43">
        <f>IFERROR(AVERAGE(AB46:AF46),"")</f>
        <v/>
      </c>
      <c r="AH46" s="42">
        <f>IFERROR(AG46-AA46,"")</f>
        <v/>
      </c>
      <c r="AI46" s="42">
        <f>IFERROR(AG46-O46,"")</f>
        <v/>
      </c>
    </row>
    <row r="47">
      <c r="A47" s="41" t="inlineStr">
        <is>
          <t>SPECTF</t>
        </is>
      </c>
      <c r="B47" s="42" t="inlineStr">
        <is>
          <t>asymmetric</t>
        </is>
      </c>
      <c r="C47" s="42" t="n">
        <v>0.5</v>
      </c>
      <c r="D47" s="42" t="n">
        <v>0.794</v>
      </c>
      <c r="E47" s="42" t="n">
        <v>0.764</v>
      </c>
      <c r="F47" s="42" t="n">
        <v>0.768</v>
      </c>
      <c r="G47" s="42" t="n">
        <v>0.764</v>
      </c>
      <c r="H47" s="42" t="n">
        <v>0.753</v>
      </c>
      <c r="I47" s="43">
        <f>IFERROR(AVERAGE(D47:H47),"")</f>
        <v/>
      </c>
      <c r="J47" s="42" t="n">
        <v>0.787</v>
      </c>
      <c r="K47" s="42" t="n">
        <v>0.753</v>
      </c>
      <c r="L47" s="42" t="n">
        <v>0.768</v>
      </c>
      <c r="M47" s="42" t="n">
        <v>0.764</v>
      </c>
      <c r="N47" s="42" t="n">
        <v>0.76</v>
      </c>
      <c r="O47" s="43">
        <f>IFERROR(AVERAGE(J47:N47),"")</f>
        <v/>
      </c>
      <c r="P47" s="42" t="n"/>
      <c r="Q47" s="42" t="n"/>
      <c r="R47" s="42" t="n"/>
      <c r="S47" s="42" t="n"/>
      <c r="T47" s="42" t="n"/>
      <c r="U47" s="43">
        <f>IFERROR(AVERAGE(P47:T47),"")</f>
        <v/>
      </c>
      <c r="V47" s="42" t="n"/>
      <c r="W47" s="42" t="n"/>
      <c r="X47" s="42" t="n"/>
      <c r="Y47" s="42" t="n"/>
      <c r="Z47" s="42" t="n"/>
      <c r="AA47" s="43">
        <f>IFERROR(AVERAGE(V47:Z47),"")</f>
        <v/>
      </c>
      <c r="AB47" s="42" t="n">
        <v>0.696</v>
      </c>
      <c r="AC47" s="42" t="n">
        <v>0.709</v>
      </c>
      <c r="AD47" s="42" t="n">
        <v>0.697</v>
      </c>
      <c r="AE47" s="42" t="n">
        <v>0.704</v>
      </c>
      <c r="AF47" s="42" t="n">
        <v>0.723</v>
      </c>
      <c r="AG47" s="43">
        <f>IFERROR(AVERAGE(AB47:AF47),"")</f>
        <v/>
      </c>
      <c r="AH47" s="42">
        <f>IFERROR(AG47-AA47,"")</f>
        <v/>
      </c>
      <c r="AI47" s="42">
        <f>IFERROR(AG47-O47,"")</f>
        <v/>
      </c>
    </row>
    <row r="48">
      <c r="A48" s="41" t="inlineStr">
        <is>
          <t>SPECTF</t>
        </is>
      </c>
      <c r="B48" s="42" t="inlineStr">
        <is>
          <t>boundary</t>
        </is>
      </c>
      <c r="C48" s="42" t="n">
        <v>0.2</v>
      </c>
      <c r="D48" s="42" t="n">
        <v>0.73</v>
      </c>
      <c r="E48" s="42" t="n">
        <v>0.772</v>
      </c>
      <c r="F48" s="42" t="n">
        <v>0.765</v>
      </c>
      <c r="G48" s="42" t="n">
        <v>0.753</v>
      </c>
      <c r="H48" s="42" t="n">
        <v>0.734</v>
      </c>
      <c r="I48" s="43">
        <f>IFERROR(AVERAGE(D48:H48),"")</f>
        <v/>
      </c>
      <c r="J48" s="42" t="n">
        <v>0.757</v>
      </c>
      <c r="K48" s="42" t="n">
        <v>0.779</v>
      </c>
      <c r="L48" s="42" t="n">
        <v>0.734</v>
      </c>
      <c r="M48" s="42" t="n">
        <v>0.756</v>
      </c>
      <c r="N48" s="42" t="n">
        <v>0.749</v>
      </c>
      <c r="O48" s="43">
        <f>IFERROR(AVERAGE(J48:N48),"")</f>
        <v/>
      </c>
      <c r="P48" s="42" t="n"/>
      <c r="Q48" s="42" t="n"/>
      <c r="R48" s="42" t="n">
        <v>0.722</v>
      </c>
      <c r="S48" s="42" t="n"/>
      <c r="T48" s="42" t="n"/>
      <c r="U48" s="43">
        <f>IFERROR(AVERAGE(P48:T48),"")</f>
        <v/>
      </c>
      <c r="V48" s="42" t="n"/>
      <c r="W48" s="42" t="n"/>
      <c r="X48" s="42" t="n">
        <v>0.593</v>
      </c>
      <c r="Y48" s="42" t="n"/>
      <c r="Z48" s="42" t="n"/>
      <c r="AA48" s="43">
        <f>IFERROR(AVERAGE(V48:Z48),"")</f>
        <v/>
      </c>
      <c r="AB48" s="42" t="n">
        <v>0.666</v>
      </c>
      <c r="AC48" s="42" t="n">
        <v>0.694</v>
      </c>
      <c r="AD48" s="42" t="n">
        <v>0.675</v>
      </c>
      <c r="AE48" s="42" t="n">
        <v>0.6929999999999999</v>
      </c>
      <c r="AF48" s="42" t="n">
        <v>0.7</v>
      </c>
      <c r="AG48" s="43">
        <f>IFERROR(AVERAGE(AB48:AF48),"")</f>
        <v/>
      </c>
      <c r="AH48" s="42">
        <f>IFERROR(AG48-AA48,"")</f>
        <v/>
      </c>
      <c r="AI48" s="42">
        <f>IFERROR(AG48-O48,"")</f>
        <v/>
      </c>
    </row>
    <row r="49">
      <c r="A49" s="41" t="inlineStr">
        <is>
          <t>SPECTF</t>
        </is>
      </c>
      <c r="B49" s="42" t="inlineStr">
        <is>
          <t>boundary</t>
        </is>
      </c>
      <c r="C49" s="42" t="n">
        <v>0.3</v>
      </c>
      <c r="D49" s="42" t="n">
        <v>0.655</v>
      </c>
      <c r="E49" s="42" t="n">
        <v>0.745</v>
      </c>
      <c r="F49" s="42" t="n">
        <v>0.6889999999999999</v>
      </c>
      <c r="G49" s="42" t="n">
        <v>0.704</v>
      </c>
      <c r="H49" s="42" t="n">
        <v>0.67</v>
      </c>
      <c r="I49" s="43">
        <f>IFERROR(AVERAGE(D49:H49),"")</f>
        <v/>
      </c>
      <c r="J49" s="42" t="n">
        <v>0.741</v>
      </c>
      <c r="K49" s="42" t="n">
        <v>0.735</v>
      </c>
      <c r="L49" s="42" t="n">
        <v>0.704</v>
      </c>
      <c r="M49" s="42" t="n">
        <v>0.76</v>
      </c>
      <c r="N49" s="42" t="n">
        <v>0.6850000000000001</v>
      </c>
      <c r="O49" s="43">
        <f>IFERROR(AVERAGE(J49:N49),"")</f>
        <v/>
      </c>
      <c r="P49" s="42" t="n">
        <v>0.643</v>
      </c>
      <c r="Q49" s="42" t="n">
        <v>0.648</v>
      </c>
      <c r="R49" s="42" t="n">
        <v>0.667</v>
      </c>
      <c r="S49" s="42" t="n">
        <v>0.623</v>
      </c>
      <c r="T49" s="42" t="n">
        <v>0.621</v>
      </c>
      <c r="U49" s="43">
        <f>IFERROR(AVERAGE(P49:T49),"")</f>
        <v/>
      </c>
      <c r="V49" s="42" t="n">
        <v>0.574</v>
      </c>
      <c r="W49" s="42" t="n">
        <v>0.709</v>
      </c>
      <c r="X49" s="42" t="n">
        <v>0.573</v>
      </c>
      <c r="Y49" s="42" t="n">
        <v>0.632</v>
      </c>
      <c r="Z49" s="42" t="n">
        <v>0.615</v>
      </c>
      <c r="AA49" s="43">
        <f>IFERROR(AVERAGE(V49:Z49),"")</f>
        <v/>
      </c>
      <c r="AB49" s="42" t="n">
        <v>0.591</v>
      </c>
      <c r="AC49" s="42" t="n">
        <v>0.678</v>
      </c>
      <c r="AD49" s="42" t="n">
        <v>0.573</v>
      </c>
      <c r="AE49" s="42" t="n">
        <v>0.652</v>
      </c>
      <c r="AF49" s="42" t="n">
        <v>0.629</v>
      </c>
      <c r="AG49" s="43">
        <f>IFERROR(AVERAGE(AB49:AF49),"")</f>
        <v/>
      </c>
      <c r="AH49" s="42">
        <f>IFERROR(AG49-AA49,"")</f>
        <v/>
      </c>
      <c r="AI49" s="42">
        <f>IFERROR(AG49-O49,"")</f>
        <v/>
      </c>
    </row>
    <row r="50">
      <c r="A50" s="41" t="inlineStr">
        <is>
          <t>SPECTF</t>
        </is>
      </c>
      <c r="B50" s="42" t="inlineStr">
        <is>
          <t>boundary</t>
        </is>
      </c>
      <c r="C50" s="42" t="n">
        <v>0.4</v>
      </c>
      <c r="D50" s="42" t="n">
        <v>0.602</v>
      </c>
      <c r="E50" s="42" t="n">
        <v>0.662</v>
      </c>
      <c r="F50" s="42" t="n">
        <v>0.633</v>
      </c>
      <c r="G50" s="42" t="n">
        <v>0.674</v>
      </c>
      <c r="H50" s="42" t="n">
        <v>0.652</v>
      </c>
      <c r="I50" s="43">
        <f>IFERROR(AVERAGE(D50:H50),"")</f>
        <v/>
      </c>
      <c r="J50" s="42" t="n">
        <v>0.613</v>
      </c>
      <c r="K50" s="42" t="n">
        <v>0.603</v>
      </c>
      <c r="L50" s="42" t="n">
        <v>0.652</v>
      </c>
      <c r="M50" s="42" t="n">
        <v>0.637</v>
      </c>
      <c r="N50" s="42" t="n">
        <v>0.592</v>
      </c>
      <c r="O50" s="43">
        <f>IFERROR(AVERAGE(J50:N50),"")</f>
        <v/>
      </c>
      <c r="P50" s="42" t="n">
        <v>0.554</v>
      </c>
      <c r="Q50" s="42" t="n">
        <v>0.622</v>
      </c>
      <c r="R50" s="42" t="n">
        <v>0.547</v>
      </c>
      <c r="S50" s="42" t="n">
        <v>0.603</v>
      </c>
      <c r="T50" s="42" t="n">
        <v>0.573</v>
      </c>
      <c r="U50" s="43">
        <f>IFERROR(AVERAGE(P50:T50),"")</f>
        <v/>
      </c>
      <c r="V50" s="42" t="n">
        <v>0.5620000000000001</v>
      </c>
      <c r="W50" s="42" t="n">
        <v>0.603</v>
      </c>
      <c r="X50" s="42" t="n">
        <v>0.577</v>
      </c>
      <c r="Y50" s="42" t="n">
        <v>0.554</v>
      </c>
      <c r="Z50" s="42" t="n">
        <v>0.55</v>
      </c>
      <c r="AA50" s="43">
        <f>IFERROR(AVERAGE(V50:Z50),"")</f>
        <v/>
      </c>
      <c r="AB50" s="42" t="n">
        <v>0.5620000000000001</v>
      </c>
      <c r="AC50" s="42" t="n">
        <v>0.603</v>
      </c>
      <c r="AD50" s="42" t="n">
        <v>0.577</v>
      </c>
      <c r="AE50" s="42" t="n">
        <v>0.554</v>
      </c>
      <c r="AF50" s="42" t="n">
        <v>0.55</v>
      </c>
      <c r="AG50" s="43">
        <f>IFERROR(AVERAGE(AB50:AF50),"")</f>
        <v/>
      </c>
      <c r="AH50" s="42">
        <f>IFERROR(AG50-AA50,"")</f>
        <v/>
      </c>
      <c r="AI50" s="42">
        <f>IFERROR(AG50-O50,"")</f>
        <v/>
      </c>
    </row>
    <row r="51">
      <c r="A51" s="41" t="inlineStr">
        <is>
          <t>SPECTF</t>
        </is>
      </c>
      <c r="B51" s="42" t="inlineStr">
        <is>
          <t>boundary</t>
        </is>
      </c>
      <c r="C51" s="42" t="n">
        <v>0.5</v>
      </c>
      <c r="D51" s="42" t="n">
        <v>0.461</v>
      </c>
      <c r="E51" s="42" t="n">
        <v>0.502</v>
      </c>
      <c r="F51" s="42" t="n">
        <v>0.516</v>
      </c>
      <c r="G51" s="42" t="n">
        <v>0.49</v>
      </c>
      <c r="H51" s="42" t="n">
        <v>0.46</v>
      </c>
      <c r="I51" s="43">
        <f>IFERROR(AVERAGE(D51:H51),"")</f>
        <v/>
      </c>
      <c r="J51" s="42" t="n">
        <v>0.52</v>
      </c>
      <c r="K51" s="42" t="n">
        <v>0.513</v>
      </c>
      <c r="L51" s="42" t="n">
        <v>0.502</v>
      </c>
      <c r="M51" s="42" t="n">
        <v>0.49</v>
      </c>
      <c r="N51" s="42" t="n">
        <v>0.378</v>
      </c>
      <c r="O51" s="43">
        <f>IFERROR(AVERAGE(J51:N51),"")</f>
        <v/>
      </c>
      <c r="P51" s="42" t="n">
        <v>0.456</v>
      </c>
      <c r="Q51" s="42" t="n">
        <v>0.472</v>
      </c>
      <c r="R51" s="42" t="n">
        <v>0.461</v>
      </c>
      <c r="S51" s="42" t="n">
        <v>0.441</v>
      </c>
      <c r="T51" s="42" t="n">
        <v>0.498</v>
      </c>
      <c r="U51" s="43">
        <f>IFERROR(AVERAGE(P51:T51),"")</f>
        <v/>
      </c>
      <c r="V51" s="42" t="n">
        <v>0.487</v>
      </c>
      <c r="W51" s="42" t="n">
        <v>0.498</v>
      </c>
      <c r="X51" s="42" t="n">
        <v>0.551</v>
      </c>
      <c r="Y51" s="42" t="n">
        <v>0.389</v>
      </c>
      <c r="Z51" s="42" t="n">
        <v>0.453</v>
      </c>
      <c r="AA51" s="43">
        <f>IFERROR(AVERAGE(V51:Z51),"")</f>
        <v/>
      </c>
      <c r="AB51" s="42" t="n">
        <v>0.487</v>
      </c>
      <c r="AC51" s="42" t="n">
        <v>0.498</v>
      </c>
      <c r="AD51" s="42" t="n">
        <v>0.551</v>
      </c>
      <c r="AE51" s="42" t="n">
        <v>0.389</v>
      </c>
      <c r="AF51" s="42" t="n">
        <v>0.453</v>
      </c>
      <c r="AG51" s="43">
        <f>IFERROR(AVERAGE(AB51:AF51),"")</f>
        <v/>
      </c>
      <c r="AH51" s="42">
        <f>IFERROR(AG51-AA51,"")</f>
        <v/>
      </c>
      <c r="AI51" s="42">
        <f>IFERROR(AG51-O51,"")</f>
        <v/>
      </c>
    </row>
    <row r="52">
      <c r="A52" s="41" t="inlineStr">
        <is>
          <t>SPECTF</t>
        </is>
      </c>
      <c r="B52" s="42" t="inlineStr">
        <is>
          <t>far</t>
        </is>
      </c>
      <c r="C52" s="42" t="n">
        <v>0.2</v>
      </c>
      <c r="D52" s="42" t="n">
        <v>0.626</v>
      </c>
      <c r="E52" s="42" t="n">
        <v>0.629</v>
      </c>
      <c r="F52" s="42" t="n">
        <v>0.607</v>
      </c>
      <c r="G52" s="42" t="n">
        <v>0.539</v>
      </c>
      <c r="H52" s="42" t="n">
        <v>0.61</v>
      </c>
      <c r="I52" s="43">
        <f>IFERROR(AVERAGE(D52:H52),"")</f>
        <v/>
      </c>
      <c r="J52" s="42" t="n">
        <v>0.666</v>
      </c>
      <c r="K52" s="42" t="n">
        <v>0.626</v>
      </c>
      <c r="L52" s="42" t="n">
        <v>0.64</v>
      </c>
      <c r="M52" s="42" t="n">
        <v>0.603</v>
      </c>
      <c r="N52" s="42" t="n">
        <v>0.618</v>
      </c>
      <c r="O52" s="43">
        <f>IFERROR(AVERAGE(J52:N52),"")</f>
        <v/>
      </c>
      <c r="P52" s="42" t="n">
        <v>0.5580000000000001</v>
      </c>
      <c r="Q52" s="42" t="n">
        <v>0.57</v>
      </c>
      <c r="R52" s="42" t="n">
        <v>0.577</v>
      </c>
      <c r="S52" s="42" t="n">
        <v>0.55</v>
      </c>
      <c r="T52" s="42" t="n">
        <v>0.581</v>
      </c>
      <c r="U52" s="43">
        <f>IFERROR(AVERAGE(P52:T52),"")</f>
        <v/>
      </c>
      <c r="V52" s="42" t="n">
        <v>0.595</v>
      </c>
      <c r="W52" s="42" t="n">
        <v>0.5580000000000001</v>
      </c>
      <c r="X52" s="42" t="n">
        <v>0.551</v>
      </c>
      <c r="Y52" s="42" t="n">
        <v>0.542</v>
      </c>
      <c r="Z52" s="42" t="n">
        <v>0.604</v>
      </c>
      <c r="AA52" s="43">
        <f>IFERROR(AVERAGE(V52:Z52),"")</f>
        <v/>
      </c>
      <c r="AB52" s="42" t="n">
        <v>0.595</v>
      </c>
      <c r="AC52" s="42" t="n">
        <v>0.5580000000000001</v>
      </c>
      <c r="AD52" s="42" t="n">
        <v>0.551</v>
      </c>
      <c r="AE52" s="42" t="n">
        <v>0.542</v>
      </c>
      <c r="AF52" s="42" t="n">
        <v>0.604</v>
      </c>
      <c r="AG52" s="43">
        <f>IFERROR(AVERAGE(AB52:AF52),"")</f>
        <v/>
      </c>
      <c r="AH52" s="42">
        <f>IFERROR(AG52-AA52,"")</f>
        <v/>
      </c>
      <c r="AI52" s="42">
        <f>IFERROR(AG52-O52,"")</f>
        <v/>
      </c>
    </row>
    <row r="53">
      <c r="A53" s="41" t="inlineStr">
        <is>
          <t>SPECTF</t>
        </is>
      </c>
      <c r="B53" s="42" t="inlineStr">
        <is>
          <t>far</t>
        </is>
      </c>
      <c r="C53" s="42" t="n">
        <v>0.3</v>
      </c>
      <c r="D53" s="42" t="n">
        <v>0.5580000000000001</v>
      </c>
      <c r="E53" s="42" t="n">
        <v>0.547</v>
      </c>
      <c r="F53" s="42" t="n">
        <v>0.48</v>
      </c>
      <c r="G53" s="42" t="n">
        <v>0.498</v>
      </c>
      <c r="H53" s="42" t="n">
        <v>0.5649999999999999</v>
      </c>
      <c r="I53" s="43">
        <f>IFERROR(AVERAGE(D53:H53),"")</f>
        <v/>
      </c>
      <c r="J53" s="42" t="n">
        <v>0.606</v>
      </c>
      <c r="K53" s="42" t="n">
        <v>0.5580000000000001</v>
      </c>
      <c r="L53" s="42" t="n">
        <v>0.5659999999999999</v>
      </c>
      <c r="M53" s="42" t="n">
        <v>0.573</v>
      </c>
      <c r="N53" s="42" t="n">
        <v>0.55</v>
      </c>
      <c r="O53" s="43">
        <f>IFERROR(AVERAGE(J53:N53),"")</f>
        <v/>
      </c>
      <c r="P53" s="42" t="n">
        <v>0.502</v>
      </c>
      <c r="Q53" s="42" t="n">
        <v>0.543</v>
      </c>
      <c r="R53" s="42" t="n">
        <v>0.529</v>
      </c>
      <c r="S53" s="42" t="n">
        <v>0.51</v>
      </c>
      <c r="T53" s="42" t="n">
        <v>0.547</v>
      </c>
      <c r="U53" s="43">
        <f>IFERROR(AVERAGE(P53:T53),"")</f>
        <v/>
      </c>
      <c r="V53" s="42" t="n">
        <v>0.596</v>
      </c>
      <c r="W53" s="42" t="n">
        <v>0.513</v>
      </c>
      <c r="X53" s="42" t="n">
        <v>0.581</v>
      </c>
      <c r="Y53" s="42" t="n">
        <v>0.5659999999999999</v>
      </c>
      <c r="Z53" s="42" t="n">
        <v>0.5620000000000001</v>
      </c>
      <c r="AA53" s="43">
        <f>IFERROR(AVERAGE(V53:Z53),"")</f>
        <v/>
      </c>
      <c r="AB53" s="42" t="n">
        <v>0.596</v>
      </c>
      <c r="AC53" s="42" t="n">
        <v>0.513</v>
      </c>
      <c r="AD53" s="42" t="n">
        <v>0.581</v>
      </c>
      <c r="AE53" s="42" t="n">
        <v>0.5659999999999999</v>
      </c>
      <c r="AF53" s="42" t="n">
        <v>0.5620000000000001</v>
      </c>
      <c r="AG53" s="43">
        <f>IFERROR(AVERAGE(AB53:AF53),"")</f>
        <v/>
      </c>
      <c r="AH53" s="42">
        <f>IFERROR(AG53-AA53,"")</f>
        <v/>
      </c>
      <c r="AI53" s="42">
        <f>IFERROR(AG53-O53,"")</f>
        <v/>
      </c>
    </row>
    <row r="54">
      <c r="A54" s="41" t="inlineStr">
        <is>
          <t>SPECTF</t>
        </is>
      </c>
      <c r="B54" s="42" t="inlineStr">
        <is>
          <t>far</t>
        </is>
      </c>
      <c r="C54" s="42" t="n">
        <v>0.4</v>
      </c>
      <c r="D54" s="42" t="n">
        <v>0.468</v>
      </c>
      <c r="E54" s="42" t="n">
        <v>0.45</v>
      </c>
      <c r="F54" s="42" t="n">
        <v>0.453</v>
      </c>
      <c r="G54" s="42" t="n">
        <v>0.423</v>
      </c>
      <c r="H54" s="42" t="n">
        <v>0.49</v>
      </c>
      <c r="I54" s="43">
        <f>IFERROR(AVERAGE(D54:H54),"")</f>
        <v/>
      </c>
      <c r="J54" s="42" t="n">
        <v>0.498</v>
      </c>
      <c r="K54" s="42" t="n">
        <v>0.49</v>
      </c>
      <c r="L54" s="42" t="n">
        <v>0.483</v>
      </c>
      <c r="M54" s="42" t="n">
        <v>0.532</v>
      </c>
      <c r="N54" s="42" t="n">
        <v>0.495</v>
      </c>
      <c r="O54" s="43">
        <f>IFERROR(AVERAGE(J54:N54),"")</f>
        <v/>
      </c>
      <c r="P54" s="42" t="n">
        <v>0.453</v>
      </c>
      <c r="Q54" s="42" t="n">
        <v>0.464</v>
      </c>
      <c r="R54" s="42" t="n">
        <v>0.543</v>
      </c>
      <c r="S54" s="42" t="n">
        <v>0.495</v>
      </c>
      <c r="T54" s="42" t="n">
        <v>0.453</v>
      </c>
      <c r="U54" s="43">
        <f>IFERROR(AVERAGE(P54:T54),"")</f>
        <v/>
      </c>
      <c r="V54" s="42" t="n">
        <v>0.483</v>
      </c>
      <c r="W54" s="42" t="n">
        <v>0.431</v>
      </c>
      <c r="X54" s="42" t="n">
        <v>0.528</v>
      </c>
      <c r="Y54" s="42" t="n">
        <v>0.521</v>
      </c>
      <c r="Z54" s="42" t="n">
        <v>0.457</v>
      </c>
      <c r="AA54" s="43">
        <f>IFERROR(AVERAGE(V54:Z54),"")</f>
        <v/>
      </c>
      <c r="AB54" s="42" t="n">
        <v>0.483</v>
      </c>
      <c r="AC54" s="42" t="n">
        <v>0.431</v>
      </c>
      <c r="AD54" s="42" t="n">
        <v>0.528</v>
      </c>
      <c r="AE54" s="42" t="n">
        <v>0.521</v>
      </c>
      <c r="AF54" s="42" t="n">
        <v>0.457</v>
      </c>
      <c r="AG54" s="43">
        <f>IFERROR(AVERAGE(AB54:AF54),"")</f>
        <v/>
      </c>
      <c r="AH54" s="42">
        <f>IFERROR(AG54-AA54,"")</f>
        <v/>
      </c>
      <c r="AI54" s="42">
        <f>IFERROR(AG54-O54,"")</f>
        <v/>
      </c>
    </row>
    <row r="55">
      <c r="A55" s="41" t="inlineStr">
        <is>
          <t>SPECTF</t>
        </is>
      </c>
      <c r="B55" s="42" t="inlineStr">
        <is>
          <t>far</t>
        </is>
      </c>
      <c r="C55" s="42" t="n">
        <v>0.5</v>
      </c>
      <c r="D55" s="42" t="n">
        <v>0.49</v>
      </c>
      <c r="E55" s="42" t="n">
        <v>0.509</v>
      </c>
      <c r="F55" s="42" t="n">
        <v>0.453</v>
      </c>
      <c r="G55" s="42" t="n">
        <v>0.532</v>
      </c>
      <c r="H55" s="42" t="n">
        <v>0.5620000000000001</v>
      </c>
      <c r="I55" s="43">
        <f>IFERROR(AVERAGE(D55:H55),"")</f>
        <v/>
      </c>
      <c r="J55" s="42" t="n">
        <v>0.491</v>
      </c>
      <c r="K55" s="42" t="n">
        <v>0.509</v>
      </c>
      <c r="L55" s="42" t="n">
        <v>0.487</v>
      </c>
      <c r="M55" s="42" t="n">
        <v>0.525</v>
      </c>
      <c r="N55" s="42" t="n">
        <v>0.501</v>
      </c>
      <c r="O55" s="43">
        <f>IFERROR(AVERAGE(J55:N55),"")</f>
        <v/>
      </c>
      <c r="P55" s="42" t="n">
        <v>0.509</v>
      </c>
      <c r="Q55" s="42" t="n">
        <v>0.487</v>
      </c>
      <c r="R55" s="42" t="n">
        <v>0.479</v>
      </c>
      <c r="S55" s="42" t="n">
        <v>0.48</v>
      </c>
      <c r="T55" s="42" t="n">
        <v>0.57</v>
      </c>
      <c r="U55" s="43">
        <f>IFERROR(AVERAGE(P55:T55),"")</f>
        <v/>
      </c>
      <c r="V55" s="42" t="n">
        <v>0.469</v>
      </c>
      <c r="W55" s="42" t="n">
        <v>0.426</v>
      </c>
      <c r="X55" s="42" t="n">
        <v>0.494</v>
      </c>
      <c r="Y55" s="42" t="n">
        <v>0.581</v>
      </c>
      <c r="Z55" s="42" t="n">
        <v>0.514</v>
      </c>
      <c r="AA55" s="43">
        <f>IFERROR(AVERAGE(V55:Z55),"")</f>
        <v/>
      </c>
      <c r="AB55" s="42" t="n">
        <v>0.469</v>
      </c>
      <c r="AC55" s="42" t="n">
        <v>0.426</v>
      </c>
      <c r="AD55" s="42" t="n">
        <v>0.494</v>
      </c>
      <c r="AE55" s="42" t="n">
        <v>0.581</v>
      </c>
      <c r="AF55" s="42" t="n">
        <v>0.514</v>
      </c>
      <c r="AG55" s="43">
        <f>IFERROR(AVERAGE(AB55:AF55),"")</f>
        <v/>
      </c>
      <c r="AH55" s="42">
        <f>IFERROR(AG55-AA55,"")</f>
        <v/>
      </c>
      <c r="AI55" s="42">
        <f>IFERROR(AG55-O55,"")</f>
        <v/>
      </c>
    </row>
    <row r="56">
      <c r="A56" s="41" t="inlineStr">
        <is>
          <t>haberman</t>
        </is>
      </c>
      <c r="B56" s="42" t="inlineStr">
        <is>
          <t>(clean)</t>
        </is>
      </c>
      <c r="C56" s="42" t="n">
        <v>0</v>
      </c>
      <c r="D56" s="42" t="n">
        <v>0.745</v>
      </c>
      <c r="E56" s="42" t="n">
        <v>0.755</v>
      </c>
      <c r="F56" s="42" t="n">
        <v>0.748</v>
      </c>
      <c r="G56" s="42" t="n">
        <v>0.749</v>
      </c>
      <c r="H56" s="42" t="n">
        <v>0.758</v>
      </c>
      <c r="I56" s="43">
        <f>IFERROR(AVERAGE(D56:H56),"")</f>
        <v/>
      </c>
      <c r="J56" s="42" t="n">
        <v>0.739</v>
      </c>
      <c r="K56" s="42" t="n">
        <v>0.745</v>
      </c>
      <c r="L56" s="42" t="n">
        <v>0.752</v>
      </c>
      <c r="M56" s="42" t="n">
        <v>0.745</v>
      </c>
      <c r="N56" s="42" t="n">
        <v>0.752</v>
      </c>
      <c r="O56" s="43">
        <f>IFERROR(AVERAGE(J56:N56),"")</f>
        <v/>
      </c>
      <c r="P56" s="42" t="n"/>
      <c r="Q56" s="42" t="n"/>
      <c r="R56" s="42" t="n"/>
      <c r="S56" s="42" t="n"/>
      <c r="T56" s="42" t="n"/>
      <c r="U56" s="43">
        <f>IFERROR(AVERAGE(P56:T56),"")</f>
        <v/>
      </c>
      <c r="V56" s="42" t="n"/>
      <c r="W56" s="42" t="n"/>
      <c r="X56" s="42" t="n"/>
      <c r="Y56" s="42" t="n"/>
      <c r="Z56" s="42" t="n"/>
      <c r="AA56" s="43">
        <f>IFERROR(AVERAGE(V56:Z56),"")</f>
        <v/>
      </c>
      <c r="AB56" s="42" t="n">
        <v>0.536</v>
      </c>
      <c r="AC56" s="42" t="n">
        <v>0.51</v>
      </c>
      <c r="AD56" s="42" t="n">
        <v>0.484</v>
      </c>
      <c r="AE56" s="42" t="n">
        <v>0.526</v>
      </c>
      <c r="AF56" s="42" t="n">
        <v>0.526</v>
      </c>
      <c r="AG56" s="43">
        <f>IFERROR(AVERAGE(AB56:AF56),"")</f>
        <v/>
      </c>
      <c r="AH56" s="42">
        <f>IFERROR(AG56-AA56,"")</f>
        <v/>
      </c>
      <c r="AI56" s="42">
        <f>IFERROR(AG56-O56,"")</f>
        <v/>
      </c>
    </row>
    <row r="57">
      <c r="A57" s="41" t="inlineStr">
        <is>
          <t>haberman</t>
        </is>
      </c>
      <c r="B57" s="42" t="inlineStr">
        <is>
          <t>symmetric</t>
        </is>
      </c>
      <c r="C57" s="42" t="n">
        <v>0.2</v>
      </c>
      <c r="D57" s="42" t="n">
        <v>0.735</v>
      </c>
      <c r="E57" s="42" t="n">
        <v>0.745</v>
      </c>
      <c r="F57" s="42" t="n">
        <v>0.742</v>
      </c>
      <c r="G57" s="42" t="n">
        <v>0.745</v>
      </c>
      <c r="H57" s="42" t="n">
        <v>0.725</v>
      </c>
      <c r="I57" s="43">
        <f>IFERROR(AVERAGE(D57:H57),"")</f>
        <v/>
      </c>
      <c r="J57" s="42" t="n">
        <v>0.748</v>
      </c>
      <c r="K57" s="42" t="n">
        <v>0.755</v>
      </c>
      <c r="L57" s="42" t="n">
        <v>0.755</v>
      </c>
      <c r="M57" s="42" t="n">
        <v>0.732</v>
      </c>
      <c r="N57" s="42" t="n">
        <v>0.716</v>
      </c>
      <c r="O57" s="43">
        <f>IFERROR(AVERAGE(J57:N57),"")</f>
        <v/>
      </c>
      <c r="P57" s="42" t="n">
        <v>0.716</v>
      </c>
      <c r="Q57" s="42" t="n">
        <v>0.719</v>
      </c>
      <c r="R57" s="42" t="n">
        <v>0.6830000000000001</v>
      </c>
      <c r="S57" s="42" t="n">
        <v>0.706</v>
      </c>
      <c r="T57" s="42" t="n">
        <v>0.716</v>
      </c>
      <c r="U57" s="43">
        <f>IFERROR(AVERAGE(P57:T57),"")</f>
        <v/>
      </c>
      <c r="V57" s="42" t="n">
        <v>0.703</v>
      </c>
      <c r="W57" s="42" t="n">
        <v>0.726</v>
      </c>
      <c r="X57" s="42" t="n">
        <v>0.745</v>
      </c>
      <c r="Y57" s="42" t="n">
        <v>0.713</v>
      </c>
      <c r="Z57" s="42" t="n">
        <v>0.709</v>
      </c>
      <c r="AA57" s="43">
        <f>IFERROR(AVERAGE(V57:Z57),"")</f>
        <v/>
      </c>
      <c r="AB57" s="42" t="n">
        <v>0.703</v>
      </c>
      <c r="AC57" s="42" t="n">
        <v>0.726</v>
      </c>
      <c r="AD57" s="42" t="n">
        <v>0.745</v>
      </c>
      <c r="AE57" s="42" t="n">
        <v>0.713</v>
      </c>
      <c r="AF57" s="42" t="n">
        <v>0.709</v>
      </c>
      <c r="AG57" s="43">
        <f>IFERROR(AVERAGE(AB57:AF57),"")</f>
        <v/>
      </c>
      <c r="AH57" s="42">
        <f>IFERROR(AG57-AA57,"")</f>
        <v/>
      </c>
      <c r="AI57" s="42">
        <f>IFERROR(AG57-O57,"")</f>
        <v/>
      </c>
    </row>
    <row r="58">
      <c r="A58" s="41" t="inlineStr">
        <is>
          <t>haberman</t>
        </is>
      </c>
      <c r="B58" s="42" t="inlineStr">
        <is>
          <t>symmetric</t>
        </is>
      </c>
      <c r="C58" s="42" t="n">
        <v>0.3</v>
      </c>
      <c r="D58" s="42" t="n">
        <v>0.738</v>
      </c>
      <c r="E58" s="42" t="n">
        <v>0.735</v>
      </c>
      <c r="F58" s="42" t="n">
        <v>0.696</v>
      </c>
      <c r="G58" s="42" t="n">
        <v>0.719</v>
      </c>
      <c r="H58" s="42" t="n">
        <v>0.667</v>
      </c>
      <c r="I58" s="43">
        <f>IFERROR(AVERAGE(D58:H58),"")</f>
        <v/>
      </c>
      <c r="J58" s="42" t="n">
        <v>0.752</v>
      </c>
      <c r="K58" s="42" t="n">
        <v>0.732</v>
      </c>
      <c r="L58" s="42" t="n">
        <v>0.748</v>
      </c>
      <c r="M58" s="42" t="n">
        <v>0.722</v>
      </c>
      <c r="N58" s="42" t="n">
        <v>0.67</v>
      </c>
      <c r="O58" s="43">
        <f>IFERROR(AVERAGE(J58:N58),"")</f>
        <v/>
      </c>
      <c r="P58" s="42" t="n">
        <v>0.657</v>
      </c>
      <c r="Q58" s="42" t="n">
        <v>0.651</v>
      </c>
      <c r="R58" s="42" t="n">
        <v>0.722</v>
      </c>
      <c r="S58" s="42" t="n">
        <v>0.677</v>
      </c>
      <c r="T58" s="42" t="n">
        <v>0.667</v>
      </c>
      <c r="U58" s="43">
        <f>IFERROR(AVERAGE(P58:T58),"")</f>
        <v/>
      </c>
      <c r="V58" s="42" t="n">
        <v>0.729</v>
      </c>
      <c r="W58" s="42" t="n">
        <v>0.726</v>
      </c>
      <c r="X58" s="42" t="n">
        <v>0.735</v>
      </c>
      <c r="Y58" s="42" t="n">
        <v>0.68</v>
      </c>
      <c r="Z58" s="42" t="n">
        <v>0.6860000000000001</v>
      </c>
      <c r="AA58" s="43">
        <f>IFERROR(AVERAGE(V58:Z58),"")</f>
        <v/>
      </c>
      <c r="AB58" s="42" t="n">
        <v>0.729</v>
      </c>
      <c r="AC58" s="42" t="n">
        <v>0.726</v>
      </c>
      <c r="AD58" s="42" t="n">
        <v>0.735</v>
      </c>
      <c r="AE58" s="42" t="n">
        <v>0.68</v>
      </c>
      <c r="AF58" s="42" t="n">
        <v>0.6860000000000001</v>
      </c>
      <c r="AG58" s="43">
        <f>IFERROR(AVERAGE(AB58:AF58),"")</f>
        <v/>
      </c>
      <c r="AH58" s="42">
        <f>IFERROR(AG58-AA58,"")</f>
        <v/>
      </c>
      <c r="AI58" s="42">
        <f>IFERROR(AG58-O58,"")</f>
        <v/>
      </c>
    </row>
    <row r="59">
      <c r="A59" s="41" t="inlineStr">
        <is>
          <t>haberman</t>
        </is>
      </c>
      <c r="B59" s="42" t="inlineStr">
        <is>
          <t>symmetric</t>
        </is>
      </c>
      <c r="C59" s="42" t="n">
        <v>0.4</v>
      </c>
      <c r="D59" s="42" t="n">
        <v>0.619</v>
      </c>
      <c r="E59" s="42" t="n">
        <v>0.644</v>
      </c>
      <c r="F59" s="42" t="n">
        <v>0.602</v>
      </c>
      <c r="G59" s="42" t="n">
        <v>0.6929999999999999</v>
      </c>
      <c r="H59" s="42" t="n">
        <v>0.631</v>
      </c>
      <c r="I59" s="43">
        <f>IFERROR(AVERAGE(D59:H59),"")</f>
        <v/>
      </c>
      <c r="J59" s="42" t="n">
        <v>0.589</v>
      </c>
      <c r="K59" s="42" t="n">
        <v>0.644</v>
      </c>
      <c r="L59" s="42" t="n">
        <v>0.64</v>
      </c>
      <c r="M59" s="42" t="n">
        <v>0.6929999999999999</v>
      </c>
      <c r="N59" s="42" t="n">
        <v>0.631</v>
      </c>
      <c r="O59" s="43">
        <f>IFERROR(AVERAGE(J59:N59),"")</f>
        <v/>
      </c>
      <c r="P59" s="42" t="n">
        <v>0.5629999999999999</v>
      </c>
      <c r="Q59" s="42" t="n">
        <v>0.592</v>
      </c>
      <c r="R59" s="42" t="n">
        <v>0.618</v>
      </c>
      <c r="S59" s="42" t="n">
        <v>0.66</v>
      </c>
      <c r="T59" s="42" t="n">
        <v>0.624</v>
      </c>
      <c r="U59" s="43">
        <f>IFERROR(AVERAGE(P59:T59),"")</f>
        <v/>
      </c>
      <c r="V59" s="42" t="n">
        <v>0.5600000000000001</v>
      </c>
      <c r="W59" s="42" t="n">
        <v>0.65</v>
      </c>
      <c r="X59" s="42" t="n">
        <v>0.601</v>
      </c>
      <c r="Y59" s="42" t="n">
        <v>0.706</v>
      </c>
      <c r="Z59" s="42" t="n">
        <v>0.588</v>
      </c>
      <c r="AA59" s="43">
        <f>IFERROR(AVERAGE(V59:Z59),"")</f>
        <v/>
      </c>
      <c r="AB59" s="42" t="n">
        <v>0.5600000000000001</v>
      </c>
      <c r="AC59" s="42" t="n">
        <v>0.65</v>
      </c>
      <c r="AD59" s="42" t="n">
        <v>0.601</v>
      </c>
      <c r="AE59" s="42" t="n">
        <v>0.706</v>
      </c>
      <c r="AF59" s="42" t="n">
        <v>0.588</v>
      </c>
      <c r="AG59" s="43">
        <f>IFERROR(AVERAGE(AB59:AF59),"")</f>
        <v/>
      </c>
      <c r="AH59" s="42">
        <f>IFERROR(AG59-AA59,"")</f>
        <v/>
      </c>
      <c r="AI59" s="42">
        <f>IFERROR(AG59-O59,"")</f>
        <v/>
      </c>
    </row>
    <row r="60">
      <c r="A60" s="41" t="inlineStr">
        <is>
          <t>haberman</t>
        </is>
      </c>
      <c r="B60" s="42" t="inlineStr">
        <is>
          <t>symmetric</t>
        </is>
      </c>
      <c r="C60" s="42" t="n">
        <v>0.5</v>
      </c>
      <c r="D60" s="42" t="n">
        <v>0.481</v>
      </c>
      <c r="E60" s="42" t="n">
        <v>0.481</v>
      </c>
      <c r="F60" s="42" t="n">
        <v>0.5590000000000001</v>
      </c>
      <c r="G60" s="42" t="n">
        <v>0.382</v>
      </c>
      <c r="H60" s="42" t="n">
        <v>0.634</v>
      </c>
      <c r="I60" s="43">
        <f>IFERROR(AVERAGE(D60:H60),"")</f>
        <v/>
      </c>
      <c r="J60" s="42" t="n">
        <v>0.347</v>
      </c>
      <c r="K60" s="42" t="n">
        <v>0.488</v>
      </c>
      <c r="L60" s="42" t="n">
        <v>0.5620000000000001</v>
      </c>
      <c r="M60" s="42" t="n">
        <v>0.48</v>
      </c>
      <c r="N60" s="42" t="n">
        <v>0.63</v>
      </c>
      <c r="O60" s="43">
        <f>IFERROR(AVERAGE(J60:N60),"")</f>
        <v/>
      </c>
      <c r="P60" s="42" t="n">
        <v>0.47</v>
      </c>
      <c r="Q60" s="42" t="n">
        <v>0.523</v>
      </c>
      <c r="R60" s="42" t="n">
        <v>0.517</v>
      </c>
      <c r="S60" s="42" t="n">
        <v>0.356</v>
      </c>
      <c r="T60" s="42" t="n">
        <v>0.513</v>
      </c>
      <c r="U60" s="43">
        <f>IFERROR(AVERAGE(P60:T60),"")</f>
        <v/>
      </c>
      <c r="V60" s="42" t="n">
        <v>0.396</v>
      </c>
      <c r="W60" s="42" t="n">
        <v>0.458</v>
      </c>
      <c r="X60" s="42" t="n">
        <v>0.575</v>
      </c>
      <c r="Y60" s="42" t="n">
        <v>0.526</v>
      </c>
      <c r="Z60" s="42" t="n">
        <v>0.5620000000000001</v>
      </c>
      <c r="AA60" s="43">
        <f>IFERROR(AVERAGE(V60:Z60),"")</f>
        <v/>
      </c>
      <c r="AB60" s="42" t="n">
        <v>0.396</v>
      </c>
      <c r="AC60" s="42" t="n">
        <v>0.458</v>
      </c>
      <c r="AD60" s="42" t="n">
        <v>0.575</v>
      </c>
      <c r="AE60" s="42" t="n">
        <v>0.526</v>
      </c>
      <c r="AF60" s="42" t="n">
        <v>0.5620000000000001</v>
      </c>
      <c r="AG60" s="43">
        <f>IFERROR(AVERAGE(AB60:AF60),"")</f>
        <v/>
      </c>
      <c r="AH60" s="42">
        <f>IFERROR(AG60-AA60,"")</f>
        <v/>
      </c>
      <c r="AI60" s="42">
        <f>IFERROR(AG60-O60,"")</f>
        <v/>
      </c>
    </row>
    <row r="61">
      <c r="A61" s="41" t="inlineStr">
        <is>
          <t>haberman</t>
        </is>
      </c>
      <c r="B61" s="42" t="inlineStr">
        <is>
          <t>asymmetric</t>
        </is>
      </c>
      <c r="C61" s="42" t="n">
        <v>0.2</v>
      </c>
      <c r="D61" s="42" t="n">
        <v>0.748</v>
      </c>
      <c r="E61" s="42" t="n">
        <v>0.735</v>
      </c>
      <c r="F61" s="42" t="n">
        <v>0.719</v>
      </c>
      <c r="G61" s="42" t="n">
        <v>0.732</v>
      </c>
      <c r="H61" s="42" t="n">
        <v>0.738</v>
      </c>
      <c r="I61" s="43">
        <f>IFERROR(AVERAGE(D61:H61),"")</f>
        <v/>
      </c>
      <c r="J61" s="42" t="n">
        <v>0.742</v>
      </c>
      <c r="K61" s="42" t="n">
        <v>0.739</v>
      </c>
      <c r="L61" s="42" t="n">
        <v>0.716</v>
      </c>
      <c r="M61" s="42" t="n">
        <v>0.749</v>
      </c>
      <c r="N61" s="42" t="n">
        <v>0.722</v>
      </c>
      <c r="O61" s="43">
        <f>IFERROR(AVERAGE(J61:N61),"")</f>
        <v/>
      </c>
      <c r="P61" s="42" t="n">
        <v>0.726</v>
      </c>
      <c r="Q61" s="42" t="n">
        <v>0.618</v>
      </c>
      <c r="R61" s="42" t="n">
        <v>0.657</v>
      </c>
      <c r="S61" s="42" t="n">
        <v>0.723</v>
      </c>
      <c r="T61" s="42" t="n">
        <v>0.699</v>
      </c>
      <c r="U61" s="43">
        <f>IFERROR(AVERAGE(P61:T61),"")</f>
        <v/>
      </c>
      <c r="V61" s="42" t="n">
        <v>0.715</v>
      </c>
      <c r="W61" s="42" t="n">
        <v>0.713</v>
      </c>
      <c r="X61" s="42" t="n">
        <v>0.719</v>
      </c>
      <c r="Y61" s="42" t="n">
        <v>0.749</v>
      </c>
      <c r="Z61" s="42" t="n">
        <v>0.716</v>
      </c>
      <c r="AA61" s="43">
        <f>IFERROR(AVERAGE(V61:Z61),"")</f>
        <v/>
      </c>
      <c r="AB61" s="42" t="n">
        <v>0.715</v>
      </c>
      <c r="AC61" s="42" t="n">
        <v>0.713</v>
      </c>
      <c r="AD61" s="42" t="n">
        <v>0.719</v>
      </c>
      <c r="AE61" s="42" t="n">
        <v>0.749</v>
      </c>
      <c r="AF61" s="42" t="n">
        <v>0.716</v>
      </c>
      <c r="AG61" s="43">
        <f>IFERROR(AVERAGE(AB61:AF61),"")</f>
        <v/>
      </c>
      <c r="AH61" s="42">
        <f>IFERROR(AG61-AA61,"")</f>
        <v/>
      </c>
      <c r="AI61" s="42">
        <f>IFERROR(AG61-O61,"")</f>
        <v/>
      </c>
    </row>
    <row r="62">
      <c r="A62" s="41" t="inlineStr">
        <is>
          <t>haberman</t>
        </is>
      </c>
      <c r="B62" s="42" t="inlineStr">
        <is>
          <t>asymmetric</t>
        </is>
      </c>
      <c r="C62" s="42" t="n">
        <v>0.3</v>
      </c>
      <c r="D62" s="42" t="n">
        <v>0.716</v>
      </c>
      <c r="E62" s="42" t="n">
        <v>0.628</v>
      </c>
      <c r="F62" s="42" t="n">
        <v>0.614</v>
      </c>
      <c r="G62" s="42" t="n">
        <v>0.667</v>
      </c>
      <c r="H62" s="42" t="n">
        <v>0.591</v>
      </c>
      <c r="I62" s="43">
        <f>IFERROR(AVERAGE(D62:H62),"")</f>
        <v/>
      </c>
      <c r="J62" s="42" t="n">
        <v>0.663</v>
      </c>
      <c r="K62" s="42" t="n">
        <v>0.605</v>
      </c>
      <c r="L62" s="42" t="n">
        <v>0.634</v>
      </c>
      <c r="M62" s="42" t="n">
        <v>0.68</v>
      </c>
      <c r="N62" s="42" t="n">
        <v>0.611</v>
      </c>
      <c r="O62" s="43">
        <f>IFERROR(AVERAGE(J62:N62),"")</f>
        <v/>
      </c>
      <c r="P62" s="42" t="n">
        <v>0.6929999999999999</v>
      </c>
      <c r="Q62" s="42" t="n">
        <v>0.624</v>
      </c>
      <c r="R62" s="42" t="n">
        <v>0.644</v>
      </c>
      <c r="S62" s="42" t="n">
        <v>0.648</v>
      </c>
      <c r="T62" s="42" t="n">
        <v>0.611</v>
      </c>
      <c r="U62" s="43">
        <f>IFERROR(AVERAGE(P62:T62),"")</f>
        <v/>
      </c>
      <c r="V62" s="42" t="n">
        <v>0.677</v>
      </c>
      <c r="W62" s="42" t="n">
        <v>0.631</v>
      </c>
      <c r="X62" s="42" t="n">
        <v>0.673</v>
      </c>
      <c r="Y62" s="42" t="n">
        <v>0.6899999999999999</v>
      </c>
      <c r="Z62" s="42" t="n">
        <v>0.631</v>
      </c>
      <c r="AA62" s="43">
        <f>IFERROR(AVERAGE(V62:Z62),"")</f>
        <v/>
      </c>
      <c r="AB62" s="42" t="n">
        <v>0.677</v>
      </c>
      <c r="AC62" s="42" t="n">
        <v>0.631</v>
      </c>
      <c r="AD62" s="42" t="n">
        <v>0.673</v>
      </c>
      <c r="AE62" s="42" t="n">
        <v>0.6899999999999999</v>
      </c>
      <c r="AF62" s="42" t="n">
        <v>0.631</v>
      </c>
      <c r="AG62" s="43">
        <f>IFERROR(AVERAGE(AB62:AF62),"")</f>
        <v/>
      </c>
      <c r="AH62" s="42">
        <f>IFERROR(AG62-AA62,"")</f>
        <v/>
      </c>
      <c r="AI62" s="42">
        <f>IFERROR(AG62-O62,"")</f>
        <v/>
      </c>
    </row>
    <row r="63">
      <c r="A63" s="41" t="inlineStr">
        <is>
          <t>haberman</t>
        </is>
      </c>
      <c r="B63" s="42" t="inlineStr">
        <is>
          <t>asymmetric</t>
        </is>
      </c>
      <c r="C63" s="42" t="n">
        <v>0.4</v>
      </c>
      <c r="D63" s="42" t="n">
        <v>0.481</v>
      </c>
      <c r="E63" s="42" t="n">
        <v>0.513</v>
      </c>
      <c r="F63" s="42" t="n">
        <v>0.483</v>
      </c>
      <c r="G63" s="42" t="n">
        <v>0.362</v>
      </c>
      <c r="H63" s="42" t="n">
        <v>0.503</v>
      </c>
      <c r="I63" s="43">
        <f>IFERROR(AVERAGE(D63:H63),"")</f>
        <v/>
      </c>
      <c r="J63" s="42" t="n">
        <v>0.431</v>
      </c>
      <c r="K63" s="42" t="n">
        <v>0.448</v>
      </c>
      <c r="L63" s="42" t="n">
        <v>0.48</v>
      </c>
      <c r="M63" s="42" t="n">
        <v>0.402</v>
      </c>
      <c r="N63" s="42" t="n">
        <v>0.529</v>
      </c>
      <c r="O63" s="43">
        <f>IFERROR(AVERAGE(J63:N63),"")</f>
        <v/>
      </c>
      <c r="P63" s="42" t="n">
        <v>0.53</v>
      </c>
      <c r="Q63" s="42" t="n">
        <v>0.519</v>
      </c>
      <c r="R63" s="42" t="n">
        <v>0.477</v>
      </c>
      <c r="S63" s="42" t="n">
        <v>0.333</v>
      </c>
      <c r="T63" s="42" t="n">
        <v>0.5649999999999999</v>
      </c>
      <c r="U63" s="43">
        <f>IFERROR(AVERAGE(P63:T63),"")</f>
        <v/>
      </c>
      <c r="V63" s="42" t="n">
        <v>0.51</v>
      </c>
      <c r="W63" s="42" t="n">
        <v>0.497</v>
      </c>
      <c r="X63" s="42" t="n">
        <v>0.431</v>
      </c>
      <c r="Y63" s="42" t="n">
        <v>0.441</v>
      </c>
      <c r="Z63" s="42" t="n">
        <v>0.5590000000000001</v>
      </c>
      <c r="AA63" s="43">
        <f>IFERROR(AVERAGE(V63:Z63),"")</f>
        <v/>
      </c>
      <c r="AB63" s="42" t="n">
        <v>0.51</v>
      </c>
      <c r="AC63" s="42" t="n">
        <v>0.497</v>
      </c>
      <c r="AD63" s="42" t="n">
        <v>0.431</v>
      </c>
      <c r="AE63" s="42" t="n">
        <v>0.441</v>
      </c>
      <c r="AF63" s="42" t="n">
        <v>0.5590000000000001</v>
      </c>
      <c r="AG63" s="43">
        <f>IFERROR(AVERAGE(AB63:AF63),"")</f>
        <v/>
      </c>
      <c r="AH63" s="42">
        <f>IFERROR(AG63-AA63,"")</f>
        <v/>
      </c>
      <c r="AI63" s="42">
        <f>IFERROR(AG63-O63,"")</f>
        <v/>
      </c>
    </row>
    <row r="64">
      <c r="A64" s="41" t="inlineStr">
        <is>
          <t>haberman</t>
        </is>
      </c>
      <c r="B64" s="42" t="inlineStr">
        <is>
          <t>asymmetric</t>
        </is>
      </c>
      <c r="C64" s="42" t="n">
        <v>0.5</v>
      </c>
      <c r="D64" s="42" t="n">
        <v>0.313</v>
      </c>
      <c r="E64" s="42" t="n">
        <v>0.265</v>
      </c>
      <c r="F64" s="42" t="n">
        <v>0.297</v>
      </c>
      <c r="G64" s="42" t="n">
        <v>0.297</v>
      </c>
      <c r="H64" s="42" t="n">
        <v>0.274</v>
      </c>
      <c r="I64" s="43">
        <f>IFERROR(AVERAGE(D64:H64),"")</f>
        <v/>
      </c>
      <c r="J64" s="42" t="n">
        <v>0.32</v>
      </c>
      <c r="K64" s="42" t="n">
        <v>0.307</v>
      </c>
      <c r="L64" s="42" t="n">
        <v>0.317</v>
      </c>
      <c r="M64" s="42" t="n">
        <v>0.291</v>
      </c>
      <c r="N64" s="42" t="n">
        <v>0.297</v>
      </c>
      <c r="O64" s="43">
        <f>IFERROR(AVERAGE(J64:N64),"")</f>
        <v/>
      </c>
      <c r="P64" s="42" t="n">
        <v>0.473</v>
      </c>
      <c r="Q64" s="42" t="n">
        <v>0.411</v>
      </c>
      <c r="R64" s="42" t="n">
        <v>0.464</v>
      </c>
      <c r="S64" s="42" t="n">
        <v>0.32</v>
      </c>
      <c r="T64" s="42" t="n">
        <v>0.486</v>
      </c>
      <c r="U64" s="43">
        <f>IFERROR(AVERAGE(P64:T64),"")</f>
        <v/>
      </c>
      <c r="V64" s="42" t="n">
        <v>0.388</v>
      </c>
      <c r="W64" s="42" t="n">
        <v>0.32</v>
      </c>
      <c r="X64" s="42" t="n">
        <v>0.359</v>
      </c>
      <c r="Y64" s="42" t="n">
        <v>0.347</v>
      </c>
      <c r="Z64" s="42" t="n">
        <v>0.421</v>
      </c>
      <c r="AA64" s="43">
        <f>IFERROR(AVERAGE(V64:Z64),"")</f>
        <v/>
      </c>
      <c r="AB64" s="42" t="n">
        <v>0.388</v>
      </c>
      <c r="AC64" s="42" t="n">
        <v>0.32</v>
      </c>
      <c r="AD64" s="42" t="n">
        <v>0.359</v>
      </c>
      <c r="AE64" s="42" t="n">
        <v>0.347</v>
      </c>
      <c r="AF64" s="42" t="n">
        <v>0.421</v>
      </c>
      <c r="AG64" s="43">
        <f>IFERROR(AVERAGE(AB64:AF64),"")</f>
        <v/>
      </c>
      <c r="AH64" s="42">
        <f>IFERROR(AG64-AA64,"")</f>
        <v/>
      </c>
      <c r="AI64" s="42">
        <f>IFERROR(AG64-O64,"")</f>
        <v/>
      </c>
    </row>
    <row r="65">
      <c r="A65" s="41" t="inlineStr">
        <is>
          <t>haberman</t>
        </is>
      </c>
      <c r="B65" s="42" t="inlineStr">
        <is>
          <t>boundary</t>
        </is>
      </c>
      <c r="C65" s="42" t="n">
        <v>0.2</v>
      </c>
      <c r="D65" s="42" t="n">
        <v>0.762</v>
      </c>
      <c r="E65" s="42" t="n">
        <v>0.726</v>
      </c>
      <c r="F65" s="42" t="n">
        <v>0.742</v>
      </c>
      <c r="G65" s="42" t="n">
        <v>0.742</v>
      </c>
      <c r="H65" s="42" t="n">
        <v>0.742</v>
      </c>
      <c r="I65" s="43">
        <f>IFERROR(AVERAGE(D65:H65),"")</f>
        <v/>
      </c>
      <c r="J65" s="42" t="n">
        <v>0.748</v>
      </c>
      <c r="K65" s="42" t="n">
        <v>0.729</v>
      </c>
      <c r="L65" s="42" t="n">
        <v>0.735</v>
      </c>
      <c r="M65" s="42" t="n">
        <v>0.748</v>
      </c>
      <c r="N65" s="42" t="n">
        <v>0.742</v>
      </c>
      <c r="O65" s="43">
        <f>IFERROR(AVERAGE(J65:N65),"")</f>
        <v/>
      </c>
      <c r="P65" s="42" t="n">
        <v>0.803</v>
      </c>
      <c r="Q65" s="42" t="n">
        <v>0.705</v>
      </c>
      <c r="R65" s="42" t="n">
        <v>0.6889999999999999</v>
      </c>
      <c r="S65" s="42" t="n">
        <v>0.762</v>
      </c>
      <c r="T65" s="42" t="n">
        <v>0.705</v>
      </c>
      <c r="U65" s="43">
        <f>IFERROR(AVERAGE(P65:T65),"")</f>
        <v/>
      </c>
      <c r="V65" s="42" t="n">
        <v>0.787</v>
      </c>
      <c r="W65" s="42" t="n">
        <v>0.713</v>
      </c>
      <c r="X65" s="42" t="n">
        <v>0.699</v>
      </c>
      <c r="Y65" s="42" t="n">
        <v>0.754</v>
      </c>
      <c r="Z65" s="42" t="n">
        <v>0.721</v>
      </c>
      <c r="AA65" s="43">
        <f>IFERROR(AVERAGE(V65:Z65),"")</f>
        <v/>
      </c>
      <c r="AB65" s="42" t="n">
        <v>0.5649999999999999</v>
      </c>
      <c r="AC65" s="42" t="n">
        <v>0.645</v>
      </c>
      <c r="AD65" s="42" t="n">
        <v>0.647</v>
      </c>
      <c r="AE65" s="42" t="n">
        <v>0.624</v>
      </c>
      <c r="AF65" s="42" t="n">
        <v>0.599</v>
      </c>
      <c r="AG65" s="43">
        <f>IFERROR(AVERAGE(AB65:AF65),"")</f>
        <v/>
      </c>
      <c r="AH65" s="42">
        <f>IFERROR(AG65-AA65,"")</f>
        <v/>
      </c>
      <c r="AI65" s="42">
        <f>IFERROR(AG65-O65,"")</f>
        <v/>
      </c>
    </row>
    <row r="66">
      <c r="A66" s="41" t="inlineStr">
        <is>
          <t>haberman</t>
        </is>
      </c>
      <c r="B66" s="42" t="inlineStr">
        <is>
          <t>boundary</t>
        </is>
      </c>
      <c r="C66" s="42" t="n">
        <v>0.3</v>
      </c>
      <c r="D66" s="42" t="n">
        <v>0.6899999999999999</v>
      </c>
      <c r="E66" s="42" t="n">
        <v>0.6899999999999999</v>
      </c>
      <c r="F66" s="42" t="n">
        <v>0.673</v>
      </c>
      <c r="G66" s="42" t="n">
        <v>0.755</v>
      </c>
      <c r="H66" s="42" t="n">
        <v>0.6929999999999999</v>
      </c>
      <c r="I66" s="43">
        <f>IFERROR(AVERAGE(D66:H66),"")</f>
        <v/>
      </c>
      <c r="J66" s="42" t="n">
        <v>0.68</v>
      </c>
      <c r="K66" s="42" t="n">
        <v>0.719</v>
      </c>
      <c r="L66" s="42" t="n">
        <v>0.6860000000000001</v>
      </c>
      <c r="M66" s="42" t="n">
        <v>0.745</v>
      </c>
      <c r="N66" s="42" t="n">
        <v>0.6929999999999999</v>
      </c>
      <c r="O66" s="43">
        <f>IFERROR(AVERAGE(J66:N66),"")</f>
        <v/>
      </c>
      <c r="P66" s="42" t="n">
        <v>0.614</v>
      </c>
      <c r="Q66" s="42" t="n">
        <v>0.664</v>
      </c>
      <c r="R66" s="42" t="n">
        <v>0.621</v>
      </c>
      <c r="S66" s="42" t="n">
        <v>0.703</v>
      </c>
      <c r="T66" s="42" t="n">
        <v>0.709</v>
      </c>
      <c r="U66" s="43">
        <f>IFERROR(AVERAGE(P66:T66),"")</f>
        <v/>
      </c>
      <c r="V66" s="42" t="n">
        <v>0.65</v>
      </c>
      <c r="W66" s="42" t="n">
        <v>0.703</v>
      </c>
      <c r="X66" s="42" t="n">
        <v>0.653</v>
      </c>
      <c r="Y66" s="42" t="n">
        <v>0.716</v>
      </c>
      <c r="Z66" s="42" t="n">
        <v>0.6830000000000001</v>
      </c>
      <c r="AA66" s="43">
        <f>IFERROR(AVERAGE(V66:Z66),"")</f>
        <v/>
      </c>
      <c r="AB66" s="42" t="n">
        <v>0.65</v>
      </c>
      <c r="AC66" s="42" t="n">
        <v>0.703</v>
      </c>
      <c r="AD66" s="42" t="n">
        <v>0.653</v>
      </c>
      <c r="AE66" s="42" t="n">
        <v>0.716</v>
      </c>
      <c r="AF66" s="42" t="n">
        <v>0.6830000000000001</v>
      </c>
      <c r="AG66" s="43">
        <f>IFERROR(AVERAGE(AB66:AF66),"")</f>
        <v/>
      </c>
      <c r="AH66" s="42">
        <f>IFERROR(AG66-AA66,"")</f>
        <v/>
      </c>
      <c r="AI66" s="42">
        <f>IFERROR(AG66-O66,"")</f>
        <v/>
      </c>
    </row>
    <row r="67">
      <c r="A67" s="41" t="inlineStr">
        <is>
          <t>haberman</t>
        </is>
      </c>
      <c r="B67" s="42" t="inlineStr">
        <is>
          <t>boundary</t>
        </is>
      </c>
      <c r="C67" s="42" t="n">
        <v>0.4</v>
      </c>
      <c r="D67" s="42" t="n">
        <v>0.667</v>
      </c>
      <c r="E67" s="42" t="n">
        <v>0.615</v>
      </c>
      <c r="F67" s="42" t="n">
        <v>0.673</v>
      </c>
      <c r="G67" s="42" t="n">
        <v>0.647</v>
      </c>
      <c r="H67" s="42" t="n">
        <v>0.618</v>
      </c>
      <c r="I67" s="43">
        <f>IFERROR(AVERAGE(D67:H67),"")</f>
        <v/>
      </c>
      <c r="J67" s="42" t="n">
        <v>0.64</v>
      </c>
      <c r="K67" s="42" t="n">
        <v>0.611</v>
      </c>
      <c r="L67" s="42" t="n">
        <v>0.706</v>
      </c>
      <c r="M67" s="42" t="n">
        <v>0.637</v>
      </c>
      <c r="N67" s="42" t="n">
        <v>0.647</v>
      </c>
      <c r="O67" s="43">
        <f>IFERROR(AVERAGE(J67:N67),"")</f>
        <v/>
      </c>
      <c r="P67" s="42" t="n">
        <v>0.641</v>
      </c>
      <c r="Q67" s="42" t="n">
        <v>0.598</v>
      </c>
      <c r="R67" s="42" t="n">
        <v>0.595</v>
      </c>
      <c r="S67" s="42" t="n">
        <v>0.634</v>
      </c>
      <c r="T67" s="42" t="n">
        <v>0.65</v>
      </c>
      <c r="U67" s="43">
        <f>IFERROR(AVERAGE(P67:T67),"")</f>
        <v/>
      </c>
      <c r="V67" s="42" t="n">
        <v>0.653</v>
      </c>
      <c r="W67" s="42" t="n">
        <v>0.588</v>
      </c>
      <c r="X67" s="42" t="n">
        <v>0.637</v>
      </c>
      <c r="Y67" s="42" t="n">
        <v>0.647</v>
      </c>
      <c r="Z67" s="42" t="n">
        <v>0.637</v>
      </c>
      <c r="AA67" s="43">
        <f>IFERROR(AVERAGE(V67:Z67),"")</f>
        <v/>
      </c>
      <c r="AB67" s="42" t="n">
        <v>0.653</v>
      </c>
      <c r="AC67" s="42" t="n">
        <v>0.588</v>
      </c>
      <c r="AD67" s="42" t="n">
        <v>0.637</v>
      </c>
      <c r="AE67" s="42" t="n">
        <v>0.647</v>
      </c>
      <c r="AF67" s="42" t="n">
        <v>0.637</v>
      </c>
      <c r="AG67" s="43">
        <f>IFERROR(AVERAGE(AB67:AF67),"")</f>
        <v/>
      </c>
      <c r="AH67" s="42">
        <f>IFERROR(AG67-AA67,"")</f>
        <v/>
      </c>
      <c r="AI67" s="42">
        <f>IFERROR(AG67-O67,"")</f>
        <v/>
      </c>
    </row>
    <row r="68">
      <c r="A68" s="41" t="inlineStr">
        <is>
          <t>haberman</t>
        </is>
      </c>
      <c r="B68" s="42" t="inlineStr">
        <is>
          <t>boundary</t>
        </is>
      </c>
      <c r="C68" s="42" t="n">
        <v>0.5</v>
      </c>
      <c r="D68" s="42" t="n">
        <v>0.487</v>
      </c>
      <c r="E68" s="42" t="n">
        <v>0.487</v>
      </c>
      <c r="F68" s="42" t="n">
        <v>0.497</v>
      </c>
      <c r="G68" s="42" t="n">
        <v>0.5</v>
      </c>
      <c r="H68" s="42" t="n">
        <v>0.441</v>
      </c>
      <c r="I68" s="43">
        <f>IFERROR(AVERAGE(D68:H68),"")</f>
        <v/>
      </c>
      <c r="J68" s="42" t="n">
        <v>0.523</v>
      </c>
      <c r="K68" s="42" t="n">
        <v>0.517</v>
      </c>
      <c r="L68" s="42" t="n">
        <v>0.608</v>
      </c>
      <c r="M68" s="42" t="n">
        <v>0.468</v>
      </c>
      <c r="N68" s="42" t="n">
        <v>0.523</v>
      </c>
      <c r="O68" s="43">
        <f>IFERROR(AVERAGE(J68:N68),"")</f>
        <v/>
      </c>
      <c r="P68" s="42" t="n">
        <v>0.585</v>
      </c>
      <c r="Q68" s="42" t="n">
        <v>0.54</v>
      </c>
      <c r="R68" s="42" t="n">
        <v>0.537</v>
      </c>
      <c r="S68" s="42" t="n">
        <v>0.428</v>
      </c>
      <c r="T68" s="42" t="n">
        <v>0.402</v>
      </c>
      <c r="U68" s="43">
        <f>IFERROR(AVERAGE(P68:T68),"")</f>
        <v/>
      </c>
      <c r="V68" s="42" t="n">
        <v>0.585</v>
      </c>
      <c r="W68" s="42" t="n">
        <v>0.542</v>
      </c>
      <c r="X68" s="42" t="n">
        <v>0.605</v>
      </c>
      <c r="Y68" s="42" t="n">
        <v>0.488</v>
      </c>
      <c r="Z68" s="42" t="n">
        <v>0.501</v>
      </c>
      <c r="AA68" s="43">
        <f>IFERROR(AVERAGE(V68:Z68),"")</f>
        <v/>
      </c>
      <c r="AB68" s="42" t="n">
        <v>0.585</v>
      </c>
      <c r="AC68" s="42" t="n">
        <v>0.542</v>
      </c>
      <c r="AD68" s="42" t="n">
        <v>0.605</v>
      </c>
      <c r="AE68" s="42" t="n">
        <v>0.488</v>
      </c>
      <c r="AF68" s="42" t="n">
        <v>0.501</v>
      </c>
      <c r="AG68" s="43">
        <f>IFERROR(AVERAGE(AB68:AF68),"")</f>
        <v/>
      </c>
      <c r="AH68" s="42">
        <f>IFERROR(AG68-AA68,"")</f>
        <v/>
      </c>
      <c r="AI68" s="42">
        <f>IFERROR(AG68-O68,"")</f>
        <v/>
      </c>
    </row>
    <row r="69">
      <c r="A69" s="41" t="inlineStr">
        <is>
          <t>haberman</t>
        </is>
      </c>
      <c r="B69" s="42" t="inlineStr">
        <is>
          <t>far</t>
        </is>
      </c>
      <c r="C69" s="42" t="n">
        <v>0.2</v>
      </c>
      <c r="D69" s="42" t="n">
        <v>0.722</v>
      </c>
      <c r="E69" s="42" t="n">
        <v>0.748</v>
      </c>
      <c r="F69" s="42" t="n">
        <v>0.745</v>
      </c>
      <c r="G69" s="42" t="n">
        <v>0.709</v>
      </c>
      <c r="H69" s="42" t="n">
        <v>0.729</v>
      </c>
      <c r="I69" s="43">
        <f>IFERROR(AVERAGE(D69:H69),"")</f>
        <v/>
      </c>
      <c r="J69" s="42" t="n">
        <v>0.725</v>
      </c>
      <c r="K69" s="42" t="n">
        <v>0.765</v>
      </c>
      <c r="L69" s="42" t="n">
        <v>0.725</v>
      </c>
      <c r="M69" s="42" t="n">
        <v>0.739</v>
      </c>
      <c r="N69" s="42" t="n">
        <v>0.729</v>
      </c>
      <c r="O69" s="43">
        <f>IFERROR(AVERAGE(J69:N69),"")</f>
        <v/>
      </c>
      <c r="P69" s="42" t="n">
        <v>0.716</v>
      </c>
      <c r="Q69" s="42" t="n">
        <v>0.722</v>
      </c>
      <c r="R69" s="42" t="n">
        <v>0.667</v>
      </c>
      <c r="S69" s="42" t="n">
        <v>0.716</v>
      </c>
      <c r="T69" s="42" t="n">
        <v>0.67</v>
      </c>
      <c r="U69" s="43">
        <f>IFERROR(AVERAGE(P69:T69),"")</f>
        <v/>
      </c>
      <c r="V69" s="42" t="n">
        <v>0.709</v>
      </c>
      <c r="W69" s="42" t="n">
        <v>0.735</v>
      </c>
      <c r="X69" s="42" t="n">
        <v>0.6899999999999999</v>
      </c>
      <c r="Y69" s="42" t="n">
        <v>0.719</v>
      </c>
      <c r="Z69" s="42" t="n">
        <v>0.703</v>
      </c>
      <c r="AA69" s="43">
        <f>IFERROR(AVERAGE(V69:Z69),"")</f>
        <v/>
      </c>
      <c r="AB69" s="42" t="n">
        <v>0.709</v>
      </c>
      <c r="AC69" s="42" t="n">
        <v>0.735</v>
      </c>
      <c r="AD69" s="42" t="n">
        <v>0.6899999999999999</v>
      </c>
      <c r="AE69" s="42" t="n">
        <v>0.719</v>
      </c>
      <c r="AF69" s="42" t="n">
        <v>0.703</v>
      </c>
      <c r="AG69" s="43">
        <f>IFERROR(AVERAGE(AB69:AF69),"")</f>
        <v/>
      </c>
      <c r="AH69" s="42">
        <f>IFERROR(AG69-AA69,"")</f>
        <v/>
      </c>
      <c r="AI69" s="42">
        <f>IFERROR(AG69-O69,"")</f>
        <v/>
      </c>
    </row>
    <row r="70">
      <c r="A70" s="41" t="inlineStr">
        <is>
          <t>haberman</t>
        </is>
      </c>
      <c r="B70" s="42" t="inlineStr">
        <is>
          <t>far</t>
        </is>
      </c>
      <c r="C70" s="42" t="n">
        <v>0.3</v>
      </c>
      <c r="D70" s="42" t="n">
        <v>0.725</v>
      </c>
      <c r="E70" s="42" t="n">
        <v>0.709</v>
      </c>
      <c r="F70" s="42" t="n">
        <v>0.725</v>
      </c>
      <c r="G70" s="42" t="n">
        <v>0.6860000000000001</v>
      </c>
      <c r="H70" s="42" t="n">
        <v>0.748</v>
      </c>
      <c r="I70" s="43">
        <f>IFERROR(AVERAGE(D70:H70),"")</f>
        <v/>
      </c>
      <c r="J70" s="42" t="n">
        <v>0.735</v>
      </c>
      <c r="K70" s="42" t="n">
        <v>0.712</v>
      </c>
      <c r="L70" s="42" t="n">
        <v>0.735</v>
      </c>
      <c r="M70" s="42" t="n">
        <v>0.742</v>
      </c>
      <c r="N70" s="42" t="n">
        <v>0.748</v>
      </c>
      <c r="O70" s="43">
        <f>IFERROR(AVERAGE(J70:N70),"")</f>
        <v/>
      </c>
      <c r="P70" s="42" t="n">
        <v>0.64</v>
      </c>
      <c r="Q70" s="42" t="n">
        <v>0.66</v>
      </c>
      <c r="R70" s="42" t="n">
        <v>0.719</v>
      </c>
      <c r="S70" s="42" t="n">
        <v>0.6860000000000001</v>
      </c>
      <c r="T70" s="42" t="n">
        <v>0.709</v>
      </c>
      <c r="U70" s="43">
        <f>IFERROR(AVERAGE(P70:T70),"")</f>
        <v/>
      </c>
      <c r="V70" s="42" t="n">
        <v>0.719</v>
      </c>
      <c r="W70" s="42" t="n">
        <v>0.725</v>
      </c>
      <c r="X70" s="42" t="n">
        <v>0.712</v>
      </c>
      <c r="Y70" s="42" t="n">
        <v>0.667</v>
      </c>
      <c r="Z70" s="42" t="n">
        <v>0.696</v>
      </c>
      <c r="AA70" s="43">
        <f>IFERROR(AVERAGE(V70:Z70),"")</f>
        <v/>
      </c>
      <c r="AB70" s="42" t="n">
        <v>0.719</v>
      </c>
      <c r="AC70" s="42" t="n">
        <v>0.725</v>
      </c>
      <c r="AD70" s="42" t="n">
        <v>0.712</v>
      </c>
      <c r="AE70" s="42" t="n">
        <v>0.667</v>
      </c>
      <c r="AF70" s="42" t="n">
        <v>0.696</v>
      </c>
      <c r="AG70" s="43">
        <f>IFERROR(AVERAGE(AB70:AF70),"")</f>
        <v/>
      </c>
      <c r="AH70" s="42">
        <f>IFERROR(AG70-AA70,"")</f>
        <v/>
      </c>
      <c r="AI70" s="42">
        <f>IFERROR(AG70-O70,"")</f>
        <v/>
      </c>
    </row>
    <row r="71">
      <c r="A71" s="41" t="inlineStr">
        <is>
          <t>haberman</t>
        </is>
      </c>
      <c r="B71" s="42" t="inlineStr">
        <is>
          <t>far</t>
        </is>
      </c>
      <c r="C71" s="42" t="n">
        <v>0.4</v>
      </c>
      <c r="D71" s="42" t="n">
        <v>0.677</v>
      </c>
      <c r="E71" s="42" t="n">
        <v>0.624</v>
      </c>
      <c r="F71" s="42" t="n">
        <v>0.627</v>
      </c>
      <c r="G71" s="42" t="n">
        <v>0.6830000000000001</v>
      </c>
      <c r="H71" s="42" t="n">
        <v>0.588</v>
      </c>
      <c r="I71" s="43">
        <f>IFERROR(AVERAGE(D71:H71),"")</f>
        <v/>
      </c>
      <c r="J71" s="42" t="n">
        <v>0.745</v>
      </c>
      <c r="K71" s="42" t="n">
        <v>0.65</v>
      </c>
      <c r="L71" s="42" t="n">
        <v>0.627</v>
      </c>
      <c r="M71" s="42" t="n">
        <v>0.634</v>
      </c>
      <c r="N71" s="42" t="n">
        <v>0.578</v>
      </c>
      <c r="O71" s="43">
        <f>IFERROR(AVERAGE(J71:N71),"")</f>
        <v/>
      </c>
      <c r="P71" s="42" t="n">
        <v>0.64</v>
      </c>
      <c r="Q71" s="42" t="n">
        <v>0.546</v>
      </c>
      <c r="R71" s="42" t="n">
        <v>0.617</v>
      </c>
      <c r="S71" s="42" t="n">
        <v>0.628</v>
      </c>
      <c r="T71" s="42" t="n">
        <v>0.516</v>
      </c>
      <c r="U71" s="43">
        <f>IFERROR(AVERAGE(P71:T71),"")</f>
        <v/>
      </c>
      <c r="V71" s="42" t="n">
        <v>0.6870000000000001</v>
      </c>
      <c r="W71" s="42" t="n">
        <v>0.617</v>
      </c>
      <c r="X71" s="42" t="n">
        <v>0.615</v>
      </c>
      <c r="Y71" s="42" t="n">
        <v>0.611</v>
      </c>
      <c r="Z71" s="42" t="n">
        <v>0.477</v>
      </c>
      <c r="AA71" s="43">
        <f>IFERROR(AVERAGE(V71:Z71),"")</f>
        <v/>
      </c>
      <c r="AB71" s="42" t="n">
        <v>0.6870000000000001</v>
      </c>
      <c r="AC71" s="42" t="n">
        <v>0.617</v>
      </c>
      <c r="AD71" s="42" t="n">
        <v>0.615</v>
      </c>
      <c r="AE71" s="42" t="n">
        <v>0.611</v>
      </c>
      <c r="AF71" s="42" t="n">
        <v>0.477</v>
      </c>
      <c r="AG71" s="43">
        <f>IFERROR(AVERAGE(AB71:AF71),"")</f>
        <v/>
      </c>
      <c r="AH71" s="42">
        <f>IFERROR(AG71-AA71,"")</f>
        <v/>
      </c>
      <c r="AI71" s="42">
        <f>IFERROR(AG71-O71,"")</f>
        <v/>
      </c>
    </row>
    <row r="72">
      <c r="A72" s="41" t="inlineStr">
        <is>
          <t>haberman</t>
        </is>
      </c>
      <c r="B72" s="42" t="inlineStr">
        <is>
          <t>far</t>
        </is>
      </c>
      <c r="C72" s="42" t="n">
        <v>0.5</v>
      </c>
      <c r="D72" s="42" t="n">
        <v>0.543</v>
      </c>
      <c r="E72" s="42" t="n">
        <v>0.571</v>
      </c>
      <c r="F72" s="42" t="n">
        <v>0.414</v>
      </c>
      <c r="G72" s="42" t="n">
        <v>0.441</v>
      </c>
      <c r="H72" s="42" t="n">
        <v>0.457</v>
      </c>
      <c r="I72" s="43">
        <f>IFERROR(AVERAGE(D72:H72),"")</f>
        <v/>
      </c>
      <c r="J72" s="42" t="n">
        <v>0.506</v>
      </c>
      <c r="K72" s="42" t="n">
        <v>0.5679999999999999</v>
      </c>
      <c r="L72" s="42" t="n">
        <v>0.477</v>
      </c>
      <c r="M72" s="42" t="n">
        <v>0.451</v>
      </c>
      <c r="N72" s="42" t="n">
        <v>0.474</v>
      </c>
      <c r="O72" s="43">
        <f>IFERROR(AVERAGE(J72:N72),"")</f>
        <v/>
      </c>
      <c r="P72" s="42" t="n">
        <v>0.542</v>
      </c>
      <c r="Q72" s="42" t="n">
        <v>0.5580000000000001</v>
      </c>
      <c r="R72" s="42" t="n">
        <v>0.476</v>
      </c>
      <c r="S72" s="42" t="n">
        <v>0.389</v>
      </c>
      <c r="T72" s="42" t="n">
        <v>0.441</v>
      </c>
      <c r="U72" s="43">
        <f>IFERROR(AVERAGE(P72:T72),"")</f>
        <v/>
      </c>
      <c r="V72" s="42" t="n">
        <v>0.49</v>
      </c>
      <c r="W72" s="42" t="n">
        <v>0.552</v>
      </c>
      <c r="X72" s="42" t="n">
        <v>0.409</v>
      </c>
      <c r="Y72" s="42" t="n">
        <v>0.444</v>
      </c>
      <c r="Z72" s="42" t="n">
        <v>0.425</v>
      </c>
      <c r="AA72" s="43">
        <f>IFERROR(AVERAGE(V72:Z72),"")</f>
        <v/>
      </c>
      <c r="AB72" s="42" t="n">
        <v>0.49</v>
      </c>
      <c r="AC72" s="42" t="n">
        <v>0.552</v>
      </c>
      <c r="AD72" s="42" t="n">
        <v>0.409</v>
      </c>
      <c r="AE72" s="42" t="n">
        <v>0.444</v>
      </c>
      <c r="AF72" s="42" t="n">
        <v>0.425</v>
      </c>
      <c r="AG72" s="43">
        <f>IFERROR(AVERAGE(AB72:AF72),"")</f>
        <v/>
      </c>
      <c r="AH72" s="42">
        <f>IFERROR(AG72-AA72,"")</f>
        <v/>
      </c>
      <c r="AI72" s="42">
        <f>IFERROR(AG72-O72,"")</f>
        <v/>
      </c>
    </row>
    <row r="73">
      <c r="A73" s="41" t="inlineStr">
        <is>
          <t>heart</t>
        </is>
      </c>
      <c r="B73" s="42" t="inlineStr">
        <is>
          <t>(clean)</t>
        </is>
      </c>
      <c r="C73" s="42" t="n">
        <v>0</v>
      </c>
      <c r="D73" s="42" t="n">
        <v>0.794</v>
      </c>
      <c r="E73" s="42" t="n">
        <v>0.8179999999999999</v>
      </c>
      <c r="F73" s="42" t="n">
        <v>0.775</v>
      </c>
      <c r="G73" s="42" t="n">
        <v>0.828</v>
      </c>
      <c r="H73" s="42" t="n">
        <v>0.838</v>
      </c>
      <c r="I73" s="43">
        <f>IFERROR(AVERAGE(D73:H73),"")</f>
        <v/>
      </c>
      <c r="J73" s="42" t="n">
        <v>0.8179999999999999</v>
      </c>
      <c r="K73" s="42" t="n">
        <v>0.822</v>
      </c>
      <c r="L73" s="42" t="n">
        <v>0.795</v>
      </c>
      <c r="M73" s="42" t="n">
        <v>0.798</v>
      </c>
      <c r="N73" s="42" t="n">
        <v>0.8179999999999999</v>
      </c>
      <c r="O73" s="43">
        <f>IFERROR(AVERAGE(J73:N73),"")</f>
        <v/>
      </c>
      <c r="P73" s="42" t="n">
        <v>0.784</v>
      </c>
      <c r="Q73" s="42" t="n">
        <v>0.791</v>
      </c>
      <c r="R73" s="42" t="n">
        <v>0.768</v>
      </c>
      <c r="S73" s="42" t="n">
        <v>0.801</v>
      </c>
      <c r="T73" s="42" t="n">
        <v>0.795</v>
      </c>
      <c r="U73" s="43">
        <f>IFERROR(AVERAGE(P73:T73),"")</f>
        <v/>
      </c>
      <c r="V73" s="42" t="n">
        <v>0.785</v>
      </c>
      <c r="W73" s="42" t="n">
        <v>0.791</v>
      </c>
      <c r="X73" s="42" t="n">
        <v>0.792</v>
      </c>
      <c r="Y73" s="42" t="n">
        <v>0.791</v>
      </c>
      <c r="Z73" s="42" t="n">
        <v>0.791</v>
      </c>
      <c r="AA73" s="43">
        <f>IFERROR(AVERAGE(V73:Z73),"")</f>
        <v/>
      </c>
      <c r="AB73" s="42" t="n">
        <v>0.785</v>
      </c>
      <c r="AC73" s="42" t="n">
        <v>0.791</v>
      </c>
      <c r="AD73" s="42" t="n">
        <v>0.792</v>
      </c>
      <c r="AE73" s="42" t="n">
        <v>0.791</v>
      </c>
      <c r="AF73" s="42" t="n">
        <v>0.791</v>
      </c>
      <c r="AG73" s="43">
        <f>IFERROR(AVERAGE(AB73:AF73),"")</f>
        <v/>
      </c>
      <c r="AH73" s="42">
        <f>IFERROR(AG73-AA73,"")</f>
        <v/>
      </c>
      <c r="AI73" s="42">
        <f>IFERROR(AG73-O73,"")</f>
        <v/>
      </c>
    </row>
    <row r="74">
      <c r="A74" s="41" t="inlineStr">
        <is>
          <t>heart</t>
        </is>
      </c>
      <c r="B74" s="42" t="inlineStr">
        <is>
          <t>symmetric</t>
        </is>
      </c>
      <c r="C74" s="42" t="n">
        <v>0.2</v>
      </c>
      <c r="D74" s="42" t="n">
        <v>0.717</v>
      </c>
      <c r="E74" s="42" t="n">
        <v>0.724</v>
      </c>
      <c r="F74" s="42" t="n">
        <v>0.761</v>
      </c>
      <c r="G74" s="42" t="n">
        <v>0.727</v>
      </c>
      <c r="H74" s="42" t="n">
        <v>0.805</v>
      </c>
      <c r="I74" s="43">
        <f>IFERROR(AVERAGE(D74:H74),"")</f>
        <v/>
      </c>
      <c r="J74" s="42" t="n">
        <v>0.727</v>
      </c>
      <c r="K74" s="42" t="n">
        <v>0.771</v>
      </c>
      <c r="L74" s="42" t="n">
        <v>0.741</v>
      </c>
      <c r="M74" s="42" t="n">
        <v>0.764</v>
      </c>
      <c r="N74" s="42" t="n">
        <v>0.794</v>
      </c>
      <c r="O74" s="43">
        <f>IFERROR(AVERAGE(J74:N74),"")</f>
        <v/>
      </c>
      <c r="P74" s="42" t="n">
        <v>0.677</v>
      </c>
      <c r="Q74" s="42" t="n">
        <v>0.583</v>
      </c>
      <c r="R74" s="42" t="n">
        <v>0.734</v>
      </c>
      <c r="S74" s="42" t="n">
        <v>0.707</v>
      </c>
      <c r="T74" s="42" t="n">
        <v>0.784</v>
      </c>
      <c r="U74" s="43">
        <f>IFERROR(AVERAGE(P74:T74),"")</f>
        <v/>
      </c>
      <c r="V74" s="42" t="n">
        <v>0.6840000000000001</v>
      </c>
      <c r="W74" s="42" t="n">
        <v>0.586</v>
      </c>
      <c r="X74" s="42" t="n">
        <v>0.657</v>
      </c>
      <c r="Y74" s="42" t="n">
        <v>0.6929999999999999</v>
      </c>
      <c r="Z74" s="42" t="n">
        <v>0.784</v>
      </c>
      <c r="AA74" s="43">
        <f>IFERROR(AVERAGE(V74:Z74),"")</f>
        <v/>
      </c>
      <c r="AB74" s="42" t="n">
        <v>0.6840000000000001</v>
      </c>
      <c r="AC74" s="42" t="n">
        <v>0.586</v>
      </c>
      <c r="AD74" s="42" t="n">
        <v>0.657</v>
      </c>
      <c r="AE74" s="42" t="n">
        <v>0.6929999999999999</v>
      </c>
      <c r="AF74" s="42" t="n">
        <v>0.784</v>
      </c>
      <c r="AG74" s="43">
        <f>IFERROR(AVERAGE(AB74:AF74),"")</f>
        <v/>
      </c>
      <c r="AH74" s="42">
        <f>IFERROR(AG74-AA74,"")</f>
        <v/>
      </c>
      <c r="AI74" s="42">
        <f>IFERROR(AG74-O74,"")</f>
        <v/>
      </c>
    </row>
    <row r="75">
      <c r="A75" s="41" t="inlineStr">
        <is>
          <t>heart</t>
        </is>
      </c>
      <c r="B75" s="42" t="inlineStr">
        <is>
          <t>symmetric</t>
        </is>
      </c>
      <c r="C75" s="42" t="n">
        <v>0.3</v>
      </c>
      <c r="D75" s="42" t="n">
        <v>0.741</v>
      </c>
      <c r="E75" s="42" t="n">
        <v>0.6870000000000001</v>
      </c>
      <c r="F75" s="42" t="n">
        <v>0.711</v>
      </c>
      <c r="G75" s="42" t="n">
        <v>0.6899999999999999</v>
      </c>
      <c r="H75" s="42" t="n">
        <v>0.68</v>
      </c>
      <c r="I75" s="43">
        <f>IFERROR(AVERAGE(D75:H75),"")</f>
        <v/>
      </c>
      <c r="J75" s="42" t="n">
        <v>0.72</v>
      </c>
      <c r="K75" s="42" t="n">
        <v>0.704</v>
      </c>
      <c r="L75" s="42" t="n">
        <v>0.788</v>
      </c>
      <c r="M75" s="42" t="n">
        <v>0.724</v>
      </c>
      <c r="N75" s="42" t="n">
        <v>0.727</v>
      </c>
      <c r="O75" s="43">
        <f>IFERROR(AVERAGE(J75:N75),"")</f>
        <v/>
      </c>
      <c r="P75" s="42" t="n">
        <v>0.585</v>
      </c>
      <c r="Q75" s="42" t="n">
        <v>0.64</v>
      </c>
      <c r="R75" s="42" t="n">
        <v>0.653</v>
      </c>
      <c r="S75" s="42" t="n">
        <v>0.7</v>
      </c>
      <c r="T75" s="42" t="n">
        <v>0.606</v>
      </c>
      <c r="U75" s="43">
        <f>IFERROR(AVERAGE(P75:T75),"")</f>
        <v/>
      </c>
      <c r="V75" s="42" t="n">
        <v>0.603</v>
      </c>
      <c r="W75" s="42" t="n">
        <v>0.639</v>
      </c>
      <c r="X75" s="42" t="n">
        <v>0.6870000000000001</v>
      </c>
      <c r="Y75" s="42" t="n">
        <v>0.701</v>
      </c>
      <c r="Z75" s="42" t="n">
        <v>0.68</v>
      </c>
      <c r="AA75" s="43">
        <f>IFERROR(AVERAGE(V75:Z75),"")</f>
        <v/>
      </c>
      <c r="AB75" s="42" t="n">
        <v>0.603</v>
      </c>
      <c r="AC75" s="42" t="n">
        <v>0.639</v>
      </c>
      <c r="AD75" s="42" t="n">
        <v>0.6870000000000001</v>
      </c>
      <c r="AE75" s="42" t="n">
        <v>0.701</v>
      </c>
      <c r="AF75" s="42" t="n">
        <v>0.68</v>
      </c>
      <c r="AG75" s="43">
        <f>IFERROR(AVERAGE(AB75:AF75),"")</f>
        <v/>
      </c>
      <c r="AH75" s="42">
        <f>IFERROR(AG75-AA75,"")</f>
        <v/>
      </c>
      <c r="AI75" s="42">
        <f>IFERROR(AG75-O75,"")</f>
        <v/>
      </c>
    </row>
    <row r="76">
      <c r="A76" s="41" t="inlineStr">
        <is>
          <t>heart</t>
        </is>
      </c>
      <c r="B76" s="42" t="inlineStr">
        <is>
          <t>symmetric</t>
        </is>
      </c>
      <c r="C76" s="42" t="n">
        <v>0.4</v>
      </c>
      <c r="D76" s="42" t="n">
        <v>0.606</v>
      </c>
      <c r="E76" s="42" t="n">
        <v>0.613</v>
      </c>
      <c r="F76" s="42" t="n">
        <v>0.603</v>
      </c>
      <c r="G76" s="42" t="n">
        <v>0.613</v>
      </c>
      <c r="H76" s="42" t="n">
        <v>0.653</v>
      </c>
      <c r="I76" s="43">
        <f>IFERROR(AVERAGE(D76:H76),"")</f>
        <v/>
      </c>
      <c r="J76" s="42" t="n">
        <v>0.556</v>
      </c>
      <c r="K76" s="42" t="n">
        <v>0.626</v>
      </c>
      <c r="L76" s="42" t="n">
        <v>0.587</v>
      </c>
      <c r="M76" s="42" t="n">
        <v>0.633</v>
      </c>
      <c r="N76" s="42" t="n">
        <v>0.673</v>
      </c>
      <c r="O76" s="43">
        <f>IFERROR(AVERAGE(J76:N76),"")</f>
        <v/>
      </c>
      <c r="P76" s="42" t="n">
        <v>0.5620000000000001</v>
      </c>
      <c r="Q76" s="42" t="n">
        <v>0.553</v>
      </c>
      <c r="R76" s="42" t="n">
        <v>0.603</v>
      </c>
      <c r="S76" s="42" t="n">
        <v>0.529</v>
      </c>
      <c r="T76" s="42" t="n">
        <v>0.586</v>
      </c>
      <c r="U76" s="43">
        <f>IFERROR(AVERAGE(P76:T76),"")</f>
        <v/>
      </c>
      <c r="V76" s="42" t="n">
        <v>0.5580000000000001</v>
      </c>
      <c r="W76" s="42" t="n">
        <v>0.61</v>
      </c>
      <c r="X76" s="42" t="n">
        <v>0.576</v>
      </c>
      <c r="Y76" s="42" t="n">
        <v>0.609</v>
      </c>
      <c r="Z76" s="42" t="n">
        <v>0.643</v>
      </c>
      <c r="AA76" s="43">
        <f>IFERROR(AVERAGE(V76:Z76),"")</f>
        <v/>
      </c>
      <c r="AB76" s="42" t="n">
        <v>0.5580000000000001</v>
      </c>
      <c r="AC76" s="42" t="n">
        <v>0.61</v>
      </c>
      <c r="AD76" s="42" t="n">
        <v>0.576</v>
      </c>
      <c r="AE76" s="42" t="n">
        <v>0.609</v>
      </c>
      <c r="AF76" s="42" t="n">
        <v>0.643</v>
      </c>
      <c r="AG76" s="43">
        <f>IFERROR(AVERAGE(AB76:AF76),"")</f>
        <v/>
      </c>
      <c r="AH76" s="42">
        <f>IFERROR(AG76-AA76,"")</f>
        <v/>
      </c>
      <c r="AI76" s="42">
        <f>IFERROR(AG76-O76,"")</f>
        <v/>
      </c>
    </row>
    <row r="77">
      <c r="A77" s="41" t="inlineStr">
        <is>
          <t>heart</t>
        </is>
      </c>
      <c r="B77" s="42" t="inlineStr">
        <is>
          <t>symmetric</t>
        </is>
      </c>
      <c r="C77" s="42" t="n">
        <v>0.5</v>
      </c>
      <c r="D77" s="42" t="n">
        <v>0.441</v>
      </c>
      <c r="E77" s="42" t="n">
        <v>0.434</v>
      </c>
      <c r="F77" s="42" t="n">
        <v>0.555</v>
      </c>
      <c r="G77" s="42" t="n">
        <v>0.478</v>
      </c>
      <c r="H77" s="42" t="n">
        <v>0.522</v>
      </c>
      <c r="I77" s="43">
        <f>IFERROR(AVERAGE(D77:H77),"")</f>
        <v/>
      </c>
      <c r="J77" s="42" t="n">
        <v>0.522</v>
      </c>
      <c r="K77" s="42" t="n">
        <v>0.484</v>
      </c>
      <c r="L77" s="42" t="n">
        <v>0.492</v>
      </c>
      <c r="M77" s="42" t="n">
        <v>0.596</v>
      </c>
      <c r="N77" s="42" t="n">
        <v>0.421</v>
      </c>
      <c r="O77" s="43">
        <f>IFERROR(AVERAGE(J77:N77),"")</f>
        <v/>
      </c>
      <c r="P77" s="42" t="n">
        <v>0.434</v>
      </c>
      <c r="Q77" s="42" t="n">
        <v>0.478</v>
      </c>
      <c r="R77" s="42" t="n">
        <v>0.582</v>
      </c>
      <c r="S77" s="42" t="n">
        <v>0.495</v>
      </c>
      <c r="T77" s="42" t="n">
        <v>0.535</v>
      </c>
      <c r="U77" s="43">
        <f>IFERROR(AVERAGE(P77:T77),"")</f>
        <v/>
      </c>
      <c r="V77" s="42" t="n">
        <v>0.52</v>
      </c>
      <c r="W77" s="42" t="n">
        <v>0.481</v>
      </c>
      <c r="X77" s="42" t="n">
        <v>0.468</v>
      </c>
      <c r="Y77" s="42" t="n">
        <v>0.555</v>
      </c>
      <c r="Z77" s="42" t="n">
        <v>0.488</v>
      </c>
      <c r="AA77" s="43">
        <f>IFERROR(AVERAGE(V77:Z77),"")</f>
        <v/>
      </c>
      <c r="AB77" s="42" t="n">
        <v>0.52</v>
      </c>
      <c r="AC77" s="42" t="n">
        <v>0.481</v>
      </c>
      <c r="AD77" s="42" t="n">
        <v>0.468</v>
      </c>
      <c r="AE77" s="42" t="n">
        <v>0.555</v>
      </c>
      <c r="AF77" s="42" t="n">
        <v>0.488</v>
      </c>
      <c r="AG77" s="43">
        <f>IFERROR(AVERAGE(AB77:AF77),"")</f>
        <v/>
      </c>
      <c r="AH77" s="42">
        <f>IFERROR(AG77-AA77,"")</f>
        <v/>
      </c>
      <c r="AI77" s="42">
        <f>IFERROR(AG77-O77,"")</f>
        <v/>
      </c>
    </row>
    <row r="78">
      <c r="A78" s="41" t="inlineStr">
        <is>
          <t>heart</t>
        </is>
      </c>
      <c r="B78" s="42" t="inlineStr">
        <is>
          <t>asymmetric</t>
        </is>
      </c>
      <c r="C78" s="42" t="n">
        <v>0.2</v>
      </c>
      <c r="D78" s="42" t="n">
        <v>0.757</v>
      </c>
      <c r="E78" s="42" t="n">
        <v>0.747</v>
      </c>
      <c r="F78" s="42" t="n">
        <v>0.761</v>
      </c>
      <c r="G78" s="42" t="n">
        <v>0.747</v>
      </c>
      <c r="H78" s="42" t="n">
        <v>0.781</v>
      </c>
      <c r="I78" s="43">
        <f>IFERROR(AVERAGE(D78:H78),"")</f>
        <v/>
      </c>
      <c r="J78" s="42" t="n">
        <v>0.754</v>
      </c>
      <c r="K78" s="42" t="n">
        <v>0.754</v>
      </c>
      <c r="L78" s="42" t="n">
        <v>0.761</v>
      </c>
      <c r="M78" s="42" t="n">
        <v>0.764</v>
      </c>
      <c r="N78" s="42" t="n">
        <v>0.757</v>
      </c>
      <c r="O78" s="43">
        <f>IFERROR(AVERAGE(J78:N78),"")</f>
        <v/>
      </c>
      <c r="P78" s="42" t="n">
        <v>0.734</v>
      </c>
      <c r="Q78" s="42" t="n">
        <v>0.694</v>
      </c>
      <c r="R78" s="42" t="n">
        <v>0.724</v>
      </c>
      <c r="S78" s="42" t="n">
        <v>0.6840000000000001</v>
      </c>
      <c r="T78" s="42" t="n">
        <v>0.724</v>
      </c>
      <c r="U78" s="43">
        <f>IFERROR(AVERAGE(P78:T78),"")</f>
        <v/>
      </c>
      <c r="V78" s="42" t="n">
        <v>0.614</v>
      </c>
      <c r="W78" s="42" t="n">
        <v>0.569</v>
      </c>
      <c r="X78" s="42" t="n">
        <v>0.67</v>
      </c>
      <c r="Y78" s="42" t="n">
        <v>0.673</v>
      </c>
      <c r="Z78" s="42" t="n">
        <v>0.673</v>
      </c>
      <c r="AA78" s="43">
        <f>IFERROR(AVERAGE(V78:Z78),"")</f>
        <v/>
      </c>
      <c r="AB78" s="42" t="n">
        <v>0.614</v>
      </c>
      <c r="AC78" s="42" t="n">
        <v>0.569</v>
      </c>
      <c r="AD78" s="42" t="n">
        <v>0.67</v>
      </c>
      <c r="AE78" s="42" t="n">
        <v>0.673</v>
      </c>
      <c r="AF78" s="42" t="n">
        <v>0.673</v>
      </c>
      <c r="AG78" s="43">
        <f>IFERROR(AVERAGE(AB78:AF78),"")</f>
        <v/>
      </c>
      <c r="AH78" s="42">
        <f>IFERROR(AG78-AA78,"")</f>
        <v/>
      </c>
      <c r="AI78" s="42">
        <f>IFERROR(AG78-O78,"")</f>
        <v/>
      </c>
    </row>
    <row r="79">
      <c r="A79" s="41" t="inlineStr">
        <is>
          <t>heart</t>
        </is>
      </c>
      <c r="B79" s="42" t="inlineStr">
        <is>
          <t>asymmetric</t>
        </is>
      </c>
      <c r="C79" s="42" t="n">
        <v>0.3</v>
      </c>
      <c r="D79" s="42" t="n">
        <v>0.717</v>
      </c>
      <c r="E79" s="42" t="n">
        <v>0.737</v>
      </c>
      <c r="F79" s="42" t="n">
        <v>0.718</v>
      </c>
      <c r="G79" s="42" t="n">
        <v>0.74</v>
      </c>
      <c r="H79" s="42" t="n">
        <v>0.781</v>
      </c>
      <c r="I79" s="43">
        <f>IFERROR(AVERAGE(D79:H79),"")</f>
        <v/>
      </c>
      <c r="J79" s="42" t="n">
        <v>0.737</v>
      </c>
      <c r="K79" s="42" t="n">
        <v>0.717</v>
      </c>
      <c r="L79" s="42" t="n">
        <v>0.791</v>
      </c>
      <c r="M79" s="42" t="n">
        <v>0.717</v>
      </c>
      <c r="N79" s="42" t="n">
        <v>0.727</v>
      </c>
      <c r="O79" s="43">
        <f>IFERROR(AVERAGE(J79:N79),"")</f>
        <v/>
      </c>
      <c r="P79" s="42" t="n">
        <v>0.677</v>
      </c>
      <c r="Q79" s="42" t="n">
        <v>0.653</v>
      </c>
      <c r="R79" s="42" t="n">
        <v>0.64</v>
      </c>
      <c r="S79" s="42" t="n">
        <v>0.633</v>
      </c>
      <c r="T79" s="42" t="n">
        <v>0.6899999999999999</v>
      </c>
      <c r="U79" s="43">
        <f>IFERROR(AVERAGE(P79:T79),"")</f>
        <v/>
      </c>
      <c r="V79" s="42" t="n">
        <v>0.579</v>
      </c>
      <c r="W79" s="42" t="n">
        <v>0.586</v>
      </c>
      <c r="X79" s="42" t="n">
        <v>0.657</v>
      </c>
      <c r="Y79" s="42" t="n">
        <v>0.643</v>
      </c>
      <c r="Z79" s="42" t="n">
        <v>0.579</v>
      </c>
      <c r="AA79" s="43">
        <f>IFERROR(AVERAGE(V79:Z79),"")</f>
        <v/>
      </c>
      <c r="AB79" s="42" t="n">
        <v>0.579</v>
      </c>
      <c r="AC79" s="42" t="n">
        <v>0.586</v>
      </c>
      <c r="AD79" s="42" t="n">
        <v>0.657</v>
      </c>
      <c r="AE79" s="42" t="n">
        <v>0.643</v>
      </c>
      <c r="AF79" s="42" t="n">
        <v>0.579</v>
      </c>
      <c r="AG79" s="43">
        <f>IFERROR(AVERAGE(AB79:AF79),"")</f>
        <v/>
      </c>
      <c r="AH79" s="42">
        <f>IFERROR(AG79-AA79,"")</f>
        <v/>
      </c>
      <c r="AI79" s="42">
        <f>IFERROR(AG79-O79,"")</f>
        <v/>
      </c>
    </row>
    <row r="80">
      <c r="A80" s="41" t="inlineStr">
        <is>
          <t>heart</t>
        </is>
      </c>
      <c r="B80" s="42" t="inlineStr">
        <is>
          <t>asymmetric</t>
        </is>
      </c>
      <c r="C80" s="42" t="n">
        <v>0.4</v>
      </c>
      <c r="D80" s="42" t="n">
        <v>0.68</v>
      </c>
      <c r="E80" s="42" t="n">
        <v>0.673</v>
      </c>
      <c r="F80" s="42" t="n">
        <v>0.664</v>
      </c>
      <c r="G80" s="42" t="n">
        <v>0.704</v>
      </c>
      <c r="H80" s="42" t="n">
        <v>0.694</v>
      </c>
      <c r="I80" s="43">
        <f>IFERROR(AVERAGE(D80:H80),"")</f>
        <v/>
      </c>
      <c r="J80" s="42" t="n">
        <v>0.677</v>
      </c>
      <c r="K80" s="42" t="n">
        <v>0.674</v>
      </c>
      <c r="L80" s="42" t="n">
        <v>0.7</v>
      </c>
      <c r="M80" s="42" t="n">
        <v>0.707</v>
      </c>
      <c r="N80" s="42" t="n">
        <v>0.72</v>
      </c>
      <c r="O80" s="43">
        <f>IFERROR(AVERAGE(J80:N80),"")</f>
        <v/>
      </c>
      <c r="P80" s="42" t="n">
        <v>0.64</v>
      </c>
      <c r="Q80" s="42" t="n">
        <v>0.64</v>
      </c>
      <c r="R80" s="42" t="n">
        <v>0.623</v>
      </c>
      <c r="S80" s="42" t="n">
        <v>0.67</v>
      </c>
      <c r="T80" s="42" t="n">
        <v>0.613</v>
      </c>
      <c r="U80" s="43">
        <f>IFERROR(AVERAGE(P80:T80),"")</f>
        <v/>
      </c>
      <c r="V80" s="42" t="n">
        <v>0.667</v>
      </c>
      <c r="W80" s="42" t="n">
        <v>0.576</v>
      </c>
      <c r="X80" s="42" t="n">
        <v>0.64</v>
      </c>
      <c r="Y80" s="42" t="n">
        <v>0.609</v>
      </c>
      <c r="Z80" s="42" t="n">
        <v>0.508</v>
      </c>
      <c r="AA80" s="43">
        <f>IFERROR(AVERAGE(V80:Z80),"")</f>
        <v/>
      </c>
      <c r="AB80" s="42" t="n">
        <v>0.667</v>
      </c>
      <c r="AC80" s="42" t="n">
        <v>0.576</v>
      </c>
      <c r="AD80" s="42" t="n">
        <v>0.64</v>
      </c>
      <c r="AE80" s="42" t="n">
        <v>0.609</v>
      </c>
      <c r="AF80" s="42" t="n">
        <v>0.508</v>
      </c>
      <c r="AG80" s="43">
        <f>IFERROR(AVERAGE(AB80:AF80),"")</f>
        <v/>
      </c>
      <c r="AH80" s="42">
        <f>IFERROR(AG80-AA80,"")</f>
        <v/>
      </c>
      <c r="AI80" s="42">
        <f>IFERROR(AG80-O80,"")</f>
        <v/>
      </c>
    </row>
    <row r="81">
      <c r="A81" s="41" t="inlineStr">
        <is>
          <t>heart</t>
        </is>
      </c>
      <c r="B81" s="42" t="inlineStr">
        <is>
          <t>asymmetric</t>
        </is>
      </c>
      <c r="C81" s="42" t="n">
        <v>0.5</v>
      </c>
      <c r="D81" s="42" t="n">
        <v>0.582</v>
      </c>
      <c r="E81" s="42" t="n">
        <v>0.596</v>
      </c>
      <c r="F81" s="42" t="n">
        <v>0.67</v>
      </c>
      <c r="G81" s="42" t="n">
        <v>0.659</v>
      </c>
      <c r="H81" s="42" t="n">
        <v>0.643</v>
      </c>
      <c r="I81" s="43">
        <f>IFERROR(AVERAGE(D81:H81),"")</f>
        <v/>
      </c>
      <c r="J81" s="42" t="n">
        <v>0.63</v>
      </c>
      <c r="K81" s="42" t="n">
        <v>0.616</v>
      </c>
      <c r="L81" s="42" t="n">
        <v>0.606</v>
      </c>
      <c r="M81" s="42" t="n">
        <v>0.636</v>
      </c>
      <c r="N81" s="42" t="n">
        <v>0.619</v>
      </c>
      <c r="O81" s="43">
        <f>IFERROR(AVERAGE(J81:N81),"")</f>
        <v/>
      </c>
      <c r="P81" s="42" t="n"/>
      <c r="Q81" s="42" t="n"/>
      <c r="R81" s="42" t="n"/>
      <c r="S81" s="42" t="n"/>
      <c r="T81" s="42" t="n"/>
      <c r="U81" s="43">
        <f>IFERROR(AVERAGE(P81:T81),"")</f>
        <v/>
      </c>
      <c r="V81" s="42" t="n"/>
      <c r="W81" s="42" t="n"/>
      <c r="X81" s="42" t="n"/>
      <c r="Y81" s="42" t="n"/>
      <c r="Z81" s="42" t="n"/>
      <c r="AA81" s="43">
        <f>IFERROR(AVERAGE(V81:Z81),"")</f>
        <v/>
      </c>
      <c r="AB81" s="42" t="n">
        <v>0.758</v>
      </c>
      <c r="AC81" s="42" t="n">
        <v>0.724</v>
      </c>
      <c r="AD81" s="42" t="n">
        <v>0.751</v>
      </c>
      <c r="AE81" s="42" t="n">
        <v>0.724</v>
      </c>
      <c r="AF81" s="42" t="n">
        <v>0.734</v>
      </c>
      <c r="AG81" s="43">
        <f>IFERROR(AVERAGE(AB81:AF81),"")</f>
        <v/>
      </c>
      <c r="AH81" s="42">
        <f>IFERROR(AG81-AA81,"")</f>
        <v/>
      </c>
      <c r="AI81" s="42">
        <f>IFERROR(AG81-O81,"")</f>
        <v/>
      </c>
    </row>
    <row r="82">
      <c r="A82" s="41" t="inlineStr">
        <is>
          <t>heart</t>
        </is>
      </c>
      <c r="B82" s="42" t="inlineStr">
        <is>
          <t>boundary</t>
        </is>
      </c>
      <c r="C82" s="42" t="n">
        <v>0.2</v>
      </c>
      <c r="D82" s="42" t="n">
        <v>0.794</v>
      </c>
      <c r="E82" s="42" t="n">
        <v>0.734</v>
      </c>
      <c r="F82" s="42" t="n">
        <v>0.741</v>
      </c>
      <c r="G82" s="42" t="n">
        <v>0.784</v>
      </c>
      <c r="H82" s="42" t="n">
        <v>0.791</v>
      </c>
      <c r="I82" s="43">
        <f>IFERROR(AVERAGE(D82:H82),"")</f>
        <v/>
      </c>
      <c r="J82" s="42" t="n">
        <v>0.8110000000000001</v>
      </c>
      <c r="K82" s="42" t="n">
        <v>0.788</v>
      </c>
      <c r="L82" s="42" t="n">
        <v>0.805</v>
      </c>
      <c r="M82" s="42" t="n">
        <v>0.805</v>
      </c>
      <c r="N82" s="42" t="n">
        <v>0.835</v>
      </c>
      <c r="O82" s="43">
        <f>IFERROR(AVERAGE(J82:N82),"")</f>
        <v/>
      </c>
      <c r="P82" s="42" t="n">
        <v>0.747</v>
      </c>
      <c r="Q82" s="42" t="n">
        <v>0.791</v>
      </c>
      <c r="R82" s="42" t="n">
        <v>0.771</v>
      </c>
      <c r="S82" s="42" t="n">
        <v>0.758</v>
      </c>
      <c r="T82" s="42" t="n">
        <v>0.771</v>
      </c>
      <c r="U82" s="43">
        <f>IFERROR(AVERAGE(P82:T82),"")</f>
        <v/>
      </c>
      <c r="V82" s="42" t="n">
        <v>0.764</v>
      </c>
      <c r="W82" s="42" t="n">
        <v>0.791</v>
      </c>
      <c r="X82" s="42" t="n">
        <v>0.704</v>
      </c>
      <c r="Y82" s="42" t="n">
        <v>0.717</v>
      </c>
      <c r="Z82" s="42" t="n">
        <v>0.767</v>
      </c>
      <c r="AA82" s="43">
        <f>IFERROR(AVERAGE(V82:Z82),"")</f>
        <v/>
      </c>
      <c r="AB82" s="42" t="n">
        <v>0.764</v>
      </c>
      <c r="AC82" s="42" t="n">
        <v>0.791</v>
      </c>
      <c r="AD82" s="42" t="n">
        <v>0.704</v>
      </c>
      <c r="AE82" s="42" t="n">
        <v>0.717</v>
      </c>
      <c r="AF82" s="42" t="n">
        <v>0.767</v>
      </c>
      <c r="AG82" s="43">
        <f>IFERROR(AVERAGE(AB82:AF82),"")</f>
        <v/>
      </c>
      <c r="AH82" s="42">
        <f>IFERROR(AG82-AA82,"")</f>
        <v/>
      </c>
      <c r="AI82" s="42">
        <f>IFERROR(AG82-O82,"")</f>
        <v/>
      </c>
    </row>
    <row r="83">
      <c r="A83" s="41" t="inlineStr">
        <is>
          <t>heart</t>
        </is>
      </c>
      <c r="B83" s="42" t="inlineStr">
        <is>
          <t>boundary</t>
        </is>
      </c>
      <c r="C83" s="42" t="n">
        <v>0.3</v>
      </c>
      <c r="D83" s="42" t="n">
        <v>0.737</v>
      </c>
      <c r="E83" s="42" t="n">
        <v>0.738</v>
      </c>
      <c r="F83" s="42" t="n">
        <v>0.704</v>
      </c>
      <c r="G83" s="42" t="n">
        <v>0.774</v>
      </c>
      <c r="H83" s="42" t="n">
        <v>0.744</v>
      </c>
      <c r="I83" s="43">
        <f>IFERROR(AVERAGE(D83:H83),"")</f>
        <v/>
      </c>
      <c r="J83" s="42" t="n">
        <v>0.784</v>
      </c>
      <c r="K83" s="42" t="n">
        <v>0.755</v>
      </c>
      <c r="L83" s="42" t="n">
        <v>0.761</v>
      </c>
      <c r="M83" s="42" t="n">
        <v>0.805</v>
      </c>
      <c r="N83" s="42" t="n">
        <v>0.757</v>
      </c>
      <c r="O83" s="43">
        <f>IFERROR(AVERAGE(J83:N83),"")</f>
        <v/>
      </c>
      <c r="P83" s="42" t="n">
        <v>0.676</v>
      </c>
      <c r="Q83" s="42" t="n">
        <v>0.721</v>
      </c>
      <c r="R83" s="42" t="n">
        <v>0.63</v>
      </c>
      <c r="S83" s="42" t="n">
        <v>0.653</v>
      </c>
      <c r="T83" s="42" t="n">
        <v>0.66</v>
      </c>
      <c r="U83" s="43">
        <f>IFERROR(AVERAGE(P83:T83),"")</f>
        <v/>
      </c>
      <c r="V83" s="42" t="n">
        <v>0.714</v>
      </c>
      <c r="W83" s="42" t="n">
        <v>0.721</v>
      </c>
      <c r="X83" s="42" t="n">
        <v>0.707</v>
      </c>
      <c r="Y83" s="42" t="n">
        <v>0.784</v>
      </c>
      <c r="Z83" s="42" t="n">
        <v>0.68</v>
      </c>
      <c r="AA83" s="43">
        <f>IFERROR(AVERAGE(V83:Z83),"")</f>
        <v/>
      </c>
      <c r="AB83" s="42" t="n">
        <v>0.714</v>
      </c>
      <c r="AC83" s="42" t="n">
        <v>0.721</v>
      </c>
      <c r="AD83" s="42" t="n">
        <v>0.707</v>
      </c>
      <c r="AE83" s="42" t="n">
        <v>0.784</v>
      </c>
      <c r="AF83" s="42" t="n">
        <v>0.68</v>
      </c>
      <c r="AG83" s="43">
        <f>IFERROR(AVERAGE(AB83:AF83),"")</f>
        <v/>
      </c>
      <c r="AH83" s="42">
        <f>IFERROR(AG83-AA83,"")</f>
        <v/>
      </c>
      <c r="AI83" s="42">
        <f>IFERROR(AG83-O83,"")</f>
        <v/>
      </c>
    </row>
    <row r="84">
      <c r="A84" s="41" t="inlineStr">
        <is>
          <t>heart</t>
        </is>
      </c>
      <c r="B84" s="42" t="inlineStr">
        <is>
          <t>boundary</t>
        </is>
      </c>
      <c r="C84" s="42" t="n">
        <v>0.4</v>
      </c>
      <c r="D84" s="42" t="n">
        <v>0.707</v>
      </c>
      <c r="E84" s="42" t="n">
        <v>0.721</v>
      </c>
      <c r="F84" s="42" t="n">
        <v>0.6840000000000001</v>
      </c>
      <c r="G84" s="42" t="n">
        <v>0.6899999999999999</v>
      </c>
      <c r="H84" s="42" t="n">
        <v>0.623</v>
      </c>
      <c r="I84" s="43">
        <f>IFERROR(AVERAGE(D84:H84),"")</f>
        <v/>
      </c>
      <c r="J84" s="42" t="n">
        <v>0.734</v>
      </c>
      <c r="K84" s="42" t="n">
        <v>0.667</v>
      </c>
      <c r="L84" s="42" t="n">
        <v>0.6870000000000001</v>
      </c>
      <c r="M84" s="42" t="n">
        <v>0.6899999999999999</v>
      </c>
      <c r="N84" s="42" t="n">
        <v>0.67</v>
      </c>
      <c r="O84" s="43">
        <f>IFERROR(AVERAGE(J84:N84),"")</f>
        <v/>
      </c>
      <c r="P84" s="42" t="n">
        <v>0.663</v>
      </c>
      <c r="Q84" s="42" t="n">
        <v>0.6830000000000001</v>
      </c>
      <c r="R84" s="42" t="n">
        <v>0.63</v>
      </c>
      <c r="S84" s="42" t="n">
        <v>0.629</v>
      </c>
      <c r="T84" s="42" t="n">
        <v>0.6899999999999999</v>
      </c>
      <c r="U84" s="43">
        <f>IFERROR(AVERAGE(P84:T84),"")</f>
        <v/>
      </c>
      <c r="V84" s="42" t="n">
        <v>0.676</v>
      </c>
      <c r="W84" s="42" t="n">
        <v>0.5649999999999999</v>
      </c>
      <c r="X84" s="42" t="n">
        <v>0.667</v>
      </c>
      <c r="Y84" s="42" t="n">
        <v>0.632</v>
      </c>
      <c r="Z84" s="42" t="n">
        <v>0.583</v>
      </c>
      <c r="AA84" s="43">
        <f>IFERROR(AVERAGE(V84:Z84),"")</f>
        <v/>
      </c>
      <c r="AB84" s="42" t="n">
        <v>0.676</v>
      </c>
      <c r="AC84" s="42" t="n">
        <v>0.5649999999999999</v>
      </c>
      <c r="AD84" s="42" t="n">
        <v>0.667</v>
      </c>
      <c r="AE84" s="42" t="n">
        <v>0.632</v>
      </c>
      <c r="AF84" s="42" t="n">
        <v>0.583</v>
      </c>
      <c r="AG84" s="43">
        <f>IFERROR(AVERAGE(AB84:AF84),"")</f>
        <v/>
      </c>
      <c r="AH84" s="42">
        <f>IFERROR(AG84-AA84,"")</f>
        <v/>
      </c>
      <c r="AI84" s="42">
        <f>IFERROR(AG84-O84,"")</f>
        <v/>
      </c>
    </row>
    <row r="85">
      <c r="A85" s="41" t="inlineStr">
        <is>
          <t>heart</t>
        </is>
      </c>
      <c r="B85" s="42" t="inlineStr">
        <is>
          <t>boundary</t>
        </is>
      </c>
      <c r="C85" s="42" t="n">
        <v>0.5</v>
      </c>
      <c r="D85" s="42" t="n">
        <v>0.549</v>
      </c>
      <c r="E85" s="42" t="n">
        <v>0.518</v>
      </c>
      <c r="F85" s="42" t="n">
        <v>0.484</v>
      </c>
      <c r="G85" s="42" t="n">
        <v>0.482</v>
      </c>
      <c r="H85" s="42" t="n">
        <v>0.488</v>
      </c>
      <c r="I85" s="43">
        <f>IFERROR(AVERAGE(D85:H85),"")</f>
        <v/>
      </c>
      <c r="J85" s="42" t="n">
        <v>0.546</v>
      </c>
      <c r="K85" s="42" t="n">
        <v>0.448</v>
      </c>
      <c r="L85" s="42" t="n">
        <v>0.524</v>
      </c>
      <c r="M85" s="42" t="n">
        <v>0.518</v>
      </c>
      <c r="N85" s="42" t="n">
        <v>0.495</v>
      </c>
      <c r="O85" s="43">
        <f>IFERROR(AVERAGE(J85:N85),"")</f>
        <v/>
      </c>
      <c r="P85" s="42" t="n">
        <v>0.555</v>
      </c>
      <c r="Q85" s="42" t="n">
        <v>0.461</v>
      </c>
      <c r="R85" s="42" t="n">
        <v>0.451</v>
      </c>
      <c r="S85" s="42" t="n">
        <v>0.434</v>
      </c>
      <c r="T85" s="42" t="n">
        <v>0.455</v>
      </c>
      <c r="U85" s="43">
        <f>IFERROR(AVERAGE(P85:T85),"")</f>
        <v/>
      </c>
      <c r="V85" s="42" t="n">
        <v>0.555</v>
      </c>
      <c r="W85" s="42" t="n">
        <v>0.441</v>
      </c>
      <c r="X85" s="42" t="n">
        <v>0.515</v>
      </c>
      <c r="Y85" s="42" t="n">
        <v>0.454</v>
      </c>
      <c r="Z85" s="42" t="n">
        <v>0.441</v>
      </c>
      <c r="AA85" s="43">
        <f>IFERROR(AVERAGE(V85:Z85),"")</f>
        <v/>
      </c>
      <c r="AB85" s="42" t="n">
        <v>0.555</v>
      </c>
      <c r="AC85" s="42" t="n">
        <v>0.441</v>
      </c>
      <c r="AD85" s="42" t="n">
        <v>0.515</v>
      </c>
      <c r="AE85" s="42" t="n">
        <v>0.454</v>
      </c>
      <c r="AF85" s="42" t="n">
        <v>0.441</v>
      </c>
      <c r="AG85" s="43">
        <f>IFERROR(AVERAGE(AB85:AF85),"")</f>
        <v/>
      </c>
      <c r="AH85" s="42">
        <f>IFERROR(AG85-AA85,"")</f>
        <v/>
      </c>
      <c r="AI85" s="42">
        <f>IFERROR(AG85-O85,"")</f>
        <v/>
      </c>
    </row>
    <row r="86">
      <c r="A86" s="41" t="inlineStr">
        <is>
          <t>heart</t>
        </is>
      </c>
      <c r="B86" s="42" t="inlineStr">
        <is>
          <t>far</t>
        </is>
      </c>
      <c r="C86" s="42" t="n">
        <v>0.2</v>
      </c>
      <c r="D86" s="42" t="n">
        <v>0.737</v>
      </c>
      <c r="E86" s="42" t="n">
        <v>0.704</v>
      </c>
      <c r="F86" s="42" t="n">
        <v>0.728</v>
      </c>
      <c r="G86" s="42" t="n">
        <v>0.734</v>
      </c>
      <c r="H86" s="42" t="n">
        <v>0.721</v>
      </c>
      <c r="I86" s="43">
        <f>IFERROR(AVERAGE(D86:H86),"")</f>
        <v/>
      </c>
      <c r="J86" s="42" t="n">
        <v>0.731</v>
      </c>
      <c r="K86" s="42" t="n">
        <v>0.737</v>
      </c>
      <c r="L86" s="42" t="n">
        <v>0.761</v>
      </c>
      <c r="M86" s="42" t="n">
        <v>0.754</v>
      </c>
      <c r="N86" s="42" t="n">
        <v>0.747</v>
      </c>
      <c r="O86" s="43">
        <f>IFERROR(AVERAGE(J86:N86),"")</f>
        <v/>
      </c>
      <c r="P86" s="42" t="n">
        <v>0.653</v>
      </c>
      <c r="Q86" s="42" t="n">
        <v>0.68</v>
      </c>
      <c r="R86" s="42" t="n">
        <v>0.697</v>
      </c>
      <c r="S86" s="42" t="n">
        <v>0.637</v>
      </c>
      <c r="T86" s="42" t="n">
        <v>0.7</v>
      </c>
      <c r="U86" s="43">
        <f>IFERROR(AVERAGE(P86:T86),"")</f>
        <v/>
      </c>
      <c r="V86" s="42" t="n">
        <v>0.673</v>
      </c>
      <c r="W86" s="42" t="n">
        <v>0.646</v>
      </c>
      <c r="X86" s="42" t="n">
        <v>0.639</v>
      </c>
      <c r="Y86" s="42" t="n">
        <v>0.681</v>
      </c>
      <c r="Z86" s="42" t="n">
        <v>0.639</v>
      </c>
      <c r="AA86" s="43">
        <f>IFERROR(AVERAGE(V86:Z86),"")</f>
        <v/>
      </c>
      <c r="AB86" s="42" t="n">
        <v>0.673</v>
      </c>
      <c r="AC86" s="42" t="n">
        <v>0.646</v>
      </c>
      <c r="AD86" s="42" t="n">
        <v>0.639</v>
      </c>
      <c r="AE86" s="42" t="n">
        <v>0.681</v>
      </c>
      <c r="AF86" s="42" t="n">
        <v>0.639</v>
      </c>
      <c r="AG86" s="43">
        <f>IFERROR(AVERAGE(AB86:AF86),"")</f>
        <v/>
      </c>
      <c r="AH86" s="42">
        <f>IFERROR(AG86-AA86,"")</f>
        <v/>
      </c>
      <c r="AI86" s="42">
        <f>IFERROR(AG86-O86,"")</f>
        <v/>
      </c>
    </row>
    <row r="87">
      <c r="A87" s="41" t="inlineStr">
        <is>
          <t>heart</t>
        </is>
      </c>
      <c r="B87" s="42" t="inlineStr">
        <is>
          <t>far</t>
        </is>
      </c>
      <c r="C87" s="42" t="n">
        <v>0.3</v>
      </c>
      <c r="D87" s="42" t="n">
        <v>0.636</v>
      </c>
      <c r="E87" s="42" t="n">
        <v>0.647</v>
      </c>
      <c r="F87" s="42" t="n">
        <v>0.633</v>
      </c>
      <c r="G87" s="42" t="n">
        <v>0.6860000000000001</v>
      </c>
      <c r="H87" s="42" t="n">
        <v>0.663</v>
      </c>
      <c r="I87" s="43">
        <f>IFERROR(AVERAGE(D87:H87),"")</f>
        <v/>
      </c>
      <c r="J87" s="42" t="n">
        <v>0.731</v>
      </c>
      <c r="K87" s="42" t="n">
        <v>0.637</v>
      </c>
      <c r="L87" s="42" t="n">
        <v>0.741</v>
      </c>
      <c r="M87" s="42" t="n">
        <v>0.6870000000000001</v>
      </c>
      <c r="N87" s="42" t="n">
        <v>0.727</v>
      </c>
      <c r="O87" s="43">
        <f>IFERROR(AVERAGE(J87:N87),"")</f>
        <v/>
      </c>
      <c r="P87" s="42" t="n">
        <v>0.606</v>
      </c>
      <c r="Q87" s="42" t="n">
        <v>0.556</v>
      </c>
      <c r="R87" s="42" t="n">
        <v>0.613</v>
      </c>
      <c r="S87" s="42" t="n">
        <v>0.596</v>
      </c>
      <c r="T87" s="42" t="n">
        <v>0.623</v>
      </c>
      <c r="U87" s="43">
        <f>IFERROR(AVERAGE(P87:T87),"")</f>
        <v/>
      </c>
      <c r="V87" s="42" t="n">
        <v>0.68</v>
      </c>
      <c r="W87" s="42" t="n">
        <v>0.67</v>
      </c>
      <c r="X87" s="42" t="n">
        <v>0.646</v>
      </c>
      <c r="Y87" s="42" t="n">
        <v>0.63</v>
      </c>
      <c r="Z87" s="42" t="n">
        <v>0.6830000000000001</v>
      </c>
      <c r="AA87" s="43">
        <f>IFERROR(AVERAGE(V87:Z87),"")</f>
        <v/>
      </c>
      <c r="AB87" s="42" t="n">
        <v>0.68</v>
      </c>
      <c r="AC87" s="42" t="n">
        <v>0.67</v>
      </c>
      <c r="AD87" s="42" t="n">
        <v>0.646</v>
      </c>
      <c r="AE87" s="42" t="n">
        <v>0.63</v>
      </c>
      <c r="AF87" s="42" t="n">
        <v>0.6830000000000001</v>
      </c>
      <c r="AG87" s="43">
        <f>IFERROR(AVERAGE(AB87:AF87),"")</f>
        <v/>
      </c>
      <c r="AH87" s="42">
        <f>IFERROR(AG87-AA87,"")</f>
        <v/>
      </c>
      <c r="AI87" s="42">
        <f>IFERROR(AG87-O87,"")</f>
        <v/>
      </c>
    </row>
    <row r="88">
      <c r="A88" s="41" t="inlineStr">
        <is>
          <t>heart</t>
        </is>
      </c>
      <c r="B88" s="42" t="inlineStr">
        <is>
          <t>far</t>
        </is>
      </c>
      <c r="C88" s="42" t="n">
        <v>0.4</v>
      </c>
      <c r="D88" s="42" t="n">
        <v>0.67</v>
      </c>
      <c r="E88" s="42" t="n">
        <v>0.589</v>
      </c>
      <c r="F88" s="42" t="n">
        <v>0.597</v>
      </c>
      <c r="G88" s="42" t="n">
        <v>0.545</v>
      </c>
      <c r="H88" s="42" t="n">
        <v>0.623</v>
      </c>
      <c r="I88" s="43">
        <f>IFERROR(AVERAGE(D88:H88),"")</f>
        <v/>
      </c>
      <c r="J88" s="42" t="n">
        <v>0.666</v>
      </c>
      <c r="K88" s="42" t="n">
        <v>0.569</v>
      </c>
      <c r="L88" s="42" t="n">
        <v>0.569</v>
      </c>
      <c r="M88" s="42" t="n">
        <v>0.63</v>
      </c>
      <c r="N88" s="42" t="n">
        <v>0.677</v>
      </c>
      <c r="O88" s="43">
        <f>IFERROR(AVERAGE(J88:N88),"")</f>
        <v/>
      </c>
      <c r="P88" s="42" t="n">
        <v>0.592</v>
      </c>
      <c r="Q88" s="42" t="n">
        <v>0.525</v>
      </c>
      <c r="R88" s="42" t="n">
        <v>0.535</v>
      </c>
      <c r="S88" s="42" t="n">
        <v>0.589</v>
      </c>
      <c r="T88" s="42" t="n">
        <v>0.602</v>
      </c>
      <c r="U88" s="43">
        <f>IFERROR(AVERAGE(P88:T88),"")</f>
        <v/>
      </c>
      <c r="V88" s="42" t="n">
        <v>0.646</v>
      </c>
      <c r="W88" s="42" t="n">
        <v>0.61</v>
      </c>
      <c r="X88" s="42" t="n">
        <v>0.5659999999999999</v>
      </c>
      <c r="Y88" s="42" t="n">
        <v>0.609</v>
      </c>
      <c r="Z88" s="42" t="n">
        <v>0.616</v>
      </c>
      <c r="AA88" s="43">
        <f>IFERROR(AVERAGE(V88:Z88),"")</f>
        <v/>
      </c>
      <c r="AB88" s="42" t="n">
        <v>0.646</v>
      </c>
      <c r="AC88" s="42" t="n">
        <v>0.61</v>
      </c>
      <c r="AD88" s="42" t="n">
        <v>0.5659999999999999</v>
      </c>
      <c r="AE88" s="42" t="n">
        <v>0.609</v>
      </c>
      <c r="AF88" s="42" t="n">
        <v>0.616</v>
      </c>
      <c r="AG88" s="43">
        <f>IFERROR(AVERAGE(AB88:AF88),"")</f>
        <v/>
      </c>
      <c r="AH88" s="42">
        <f>IFERROR(AG88-AA88,"")</f>
        <v/>
      </c>
      <c r="AI88" s="42">
        <f>IFERROR(AG88-O88,"")</f>
        <v/>
      </c>
    </row>
    <row r="89">
      <c r="A89" s="41" t="inlineStr">
        <is>
          <t>heart</t>
        </is>
      </c>
      <c r="B89" s="42" t="inlineStr">
        <is>
          <t>far</t>
        </is>
      </c>
      <c r="C89" s="42" t="n">
        <v>0.5</v>
      </c>
      <c r="D89" s="42" t="n">
        <v>0.431</v>
      </c>
      <c r="E89" s="42" t="n">
        <v>0.509</v>
      </c>
      <c r="F89" s="42" t="n">
        <v>0.512</v>
      </c>
      <c r="G89" s="42" t="n">
        <v>0.518</v>
      </c>
      <c r="H89" s="42" t="n">
        <v>0.5620000000000001</v>
      </c>
      <c r="I89" s="43">
        <f>IFERROR(AVERAGE(D89:H89),"")</f>
        <v/>
      </c>
      <c r="J89" s="42" t="n">
        <v>0.448</v>
      </c>
      <c r="K89" s="42" t="n">
        <v>0.438</v>
      </c>
      <c r="L89" s="42" t="n">
        <v>0.502</v>
      </c>
      <c r="M89" s="42" t="n">
        <v>0.485</v>
      </c>
      <c r="N89" s="42" t="n">
        <v>0.458</v>
      </c>
      <c r="O89" s="43">
        <f>IFERROR(AVERAGE(J89:N89),"")</f>
        <v/>
      </c>
      <c r="P89" s="42" t="n">
        <v>0.512</v>
      </c>
      <c r="Q89" s="42" t="n">
        <v>0.502</v>
      </c>
      <c r="R89" s="42" t="n">
        <v>0.515</v>
      </c>
      <c r="S89" s="42" t="n">
        <v>0.498</v>
      </c>
      <c r="T89" s="42" t="n">
        <v>0.5590000000000001</v>
      </c>
      <c r="U89" s="43">
        <f>IFERROR(AVERAGE(P89:T89),"")</f>
        <v/>
      </c>
      <c r="V89" s="42" t="n">
        <v>0.521</v>
      </c>
      <c r="W89" s="42" t="n">
        <v>0.39</v>
      </c>
      <c r="X89" s="42" t="n">
        <v>0.549</v>
      </c>
      <c r="Y89" s="42" t="n">
        <v>0.492</v>
      </c>
      <c r="Z89" s="42" t="n">
        <v>0.495</v>
      </c>
      <c r="AA89" s="43">
        <f>IFERROR(AVERAGE(V89:Z89),"")</f>
        <v/>
      </c>
      <c r="AB89" s="42" t="n">
        <v>0.521</v>
      </c>
      <c r="AC89" s="42" t="n">
        <v>0.39</v>
      </c>
      <c r="AD89" s="42" t="n">
        <v>0.549</v>
      </c>
      <c r="AE89" s="42" t="n">
        <v>0.492</v>
      </c>
      <c r="AF89" s="42" t="n">
        <v>0.495</v>
      </c>
      <c r="AG89" s="43">
        <f>IFERROR(AVERAGE(AB89:AF89),"")</f>
        <v/>
      </c>
      <c r="AH89" s="42">
        <f>IFERROR(AG89-AA89,"")</f>
        <v/>
      </c>
      <c r="AI89" s="42">
        <f>IFERROR(AG89-O89,"")</f>
        <v/>
      </c>
    </row>
    <row r="90">
      <c r="A90" s="41" t="inlineStr">
        <is>
          <t>ionosphere</t>
        </is>
      </c>
      <c r="B90" s="42" t="inlineStr">
        <is>
          <t>(clean)</t>
        </is>
      </c>
      <c r="C90" s="42" t="n">
        <v>0</v>
      </c>
      <c r="D90" s="42" t="n">
        <v>0.8149999999999999</v>
      </c>
      <c r="E90" s="42" t="n">
        <v>0.775</v>
      </c>
      <c r="F90" s="42" t="n">
        <v>0.758</v>
      </c>
      <c r="G90" s="42" t="n">
        <v>0.729</v>
      </c>
      <c r="H90" s="42" t="n">
        <v>0.855</v>
      </c>
      <c r="I90" s="43">
        <f>IFERROR(AVERAGE(D90:H90),"")</f>
        <v/>
      </c>
      <c r="J90" s="42" t="n">
        <v>0.846</v>
      </c>
      <c r="K90" s="42" t="n">
        <v>0.8179999999999999</v>
      </c>
      <c r="L90" s="42" t="n">
        <v>0.832</v>
      </c>
      <c r="M90" s="42" t="n">
        <v>0.8090000000000001</v>
      </c>
      <c r="N90" s="42" t="n">
        <v>0.804</v>
      </c>
      <c r="O90" s="43">
        <f>IFERROR(AVERAGE(J90:N90),"")</f>
        <v/>
      </c>
      <c r="P90" s="42" t="n">
        <v>0.84</v>
      </c>
      <c r="Q90" s="42" t="n">
        <v>0.829</v>
      </c>
      <c r="R90" s="42" t="n">
        <v>0.8149999999999999</v>
      </c>
      <c r="S90" s="42" t="n">
        <v>0.804</v>
      </c>
      <c r="T90" s="42" t="n">
        <v>0.8149999999999999</v>
      </c>
      <c r="U90" s="43">
        <f>IFERROR(AVERAGE(P90:T90),"")</f>
        <v/>
      </c>
      <c r="V90" s="42" t="n">
        <v>0.826</v>
      </c>
      <c r="W90" s="42" t="n">
        <v>0.766</v>
      </c>
      <c r="X90" s="42" t="n">
        <v>0.749</v>
      </c>
      <c r="Y90" s="42" t="n">
        <v>0.775</v>
      </c>
      <c r="Z90" s="42" t="n">
        <v>0.767</v>
      </c>
      <c r="AA90" s="43">
        <f>IFERROR(AVERAGE(V90:Z90),"")</f>
        <v/>
      </c>
      <c r="AB90" s="42" t="n">
        <v>0.826</v>
      </c>
      <c r="AC90" s="42" t="n">
        <v>0.766</v>
      </c>
      <c r="AD90" s="42" t="n">
        <v>0.749</v>
      </c>
      <c r="AE90" s="42" t="n">
        <v>0.775</v>
      </c>
      <c r="AF90" s="42" t="n">
        <v>0.767</v>
      </c>
      <c r="AG90" s="43">
        <f>IFERROR(AVERAGE(AB90:AF90),"")</f>
        <v/>
      </c>
      <c r="AH90" s="42">
        <f>IFERROR(AG90-AA90,"")</f>
        <v/>
      </c>
      <c r="AI90" s="42">
        <f>IFERROR(AG90-O90,"")</f>
        <v/>
      </c>
    </row>
    <row r="91">
      <c r="A91" s="41" t="inlineStr">
        <is>
          <t>ionosphere</t>
        </is>
      </c>
      <c r="B91" s="42" t="inlineStr">
        <is>
          <t>symmetric</t>
        </is>
      </c>
      <c r="C91" s="42" t="n">
        <v>0.2</v>
      </c>
      <c r="D91" s="42" t="n">
        <v>0.832</v>
      </c>
      <c r="E91" s="42" t="n">
        <v>0.749</v>
      </c>
      <c r="F91" s="42" t="n">
        <v>0.789</v>
      </c>
      <c r="G91" s="42" t="n">
        <v>0.789</v>
      </c>
      <c r="H91" s="42" t="n">
        <v>0.786</v>
      </c>
      <c r="I91" s="43">
        <f>IFERROR(AVERAGE(D91:H91),"")</f>
        <v/>
      </c>
      <c r="J91" s="42" t="n">
        <v>0.772</v>
      </c>
      <c r="K91" s="42" t="n">
        <v>0.775</v>
      </c>
      <c r="L91" s="42" t="n">
        <v>0.821</v>
      </c>
      <c r="M91" s="42" t="n">
        <v>0.806</v>
      </c>
      <c r="N91" s="42" t="n">
        <v>0.786</v>
      </c>
      <c r="O91" s="43">
        <f>IFERROR(AVERAGE(J91:N91),"")</f>
        <v/>
      </c>
      <c r="P91" s="42" t="n">
        <v>0.801</v>
      </c>
      <c r="Q91" s="42" t="n">
        <v>0.767</v>
      </c>
      <c r="R91" s="42" t="n">
        <v>0.8090000000000001</v>
      </c>
      <c r="S91" s="42" t="n">
        <v>0.732</v>
      </c>
      <c r="T91" s="42" t="n">
        <v>0.789</v>
      </c>
      <c r="U91" s="43">
        <f>IFERROR(AVERAGE(P91:T91),"")</f>
        <v/>
      </c>
      <c r="V91" s="42" t="n">
        <v>0.738</v>
      </c>
      <c r="W91" s="42" t="n">
        <v>0.721</v>
      </c>
      <c r="X91" s="42" t="n">
        <v>0.726</v>
      </c>
      <c r="Y91" s="42" t="n">
        <v>0.795</v>
      </c>
      <c r="Z91" s="42" t="n">
        <v>0.732</v>
      </c>
      <c r="AA91" s="43">
        <f>IFERROR(AVERAGE(V91:Z91),"")</f>
        <v/>
      </c>
      <c r="AB91" s="42" t="n">
        <v>0.738</v>
      </c>
      <c r="AC91" s="42" t="n">
        <v>0.721</v>
      </c>
      <c r="AD91" s="42" t="n">
        <v>0.726</v>
      </c>
      <c r="AE91" s="42" t="n">
        <v>0.795</v>
      </c>
      <c r="AF91" s="42" t="n">
        <v>0.732</v>
      </c>
      <c r="AG91" s="43">
        <f>IFERROR(AVERAGE(AB91:AF91),"")</f>
        <v/>
      </c>
      <c r="AH91" s="42">
        <f>IFERROR(AG91-AA91,"")</f>
        <v/>
      </c>
      <c r="AI91" s="42">
        <f>IFERROR(AG91-O91,"")</f>
        <v/>
      </c>
    </row>
    <row r="92">
      <c r="A92" s="41" t="inlineStr">
        <is>
          <t>ionosphere</t>
        </is>
      </c>
      <c r="B92" s="42" t="inlineStr">
        <is>
          <t>symmetric</t>
        </is>
      </c>
      <c r="C92" s="42" t="n">
        <v>0.3</v>
      </c>
      <c r="D92" s="42" t="n">
        <v>0.752</v>
      </c>
      <c r="E92" s="42" t="n">
        <v>0.715</v>
      </c>
      <c r="F92" s="42" t="n">
        <v>0.798</v>
      </c>
      <c r="G92" s="42" t="n">
        <v>0.709</v>
      </c>
      <c r="H92" s="42" t="n">
        <v>0.735</v>
      </c>
      <c r="I92" s="43">
        <f>IFERROR(AVERAGE(D92:H92),"")</f>
        <v/>
      </c>
      <c r="J92" s="42" t="n">
        <v>0.732</v>
      </c>
      <c r="K92" s="42" t="n">
        <v>0.732</v>
      </c>
      <c r="L92" s="42" t="n">
        <v>0.778</v>
      </c>
      <c r="M92" s="42" t="n">
        <v>0.758</v>
      </c>
      <c r="N92" s="42" t="n">
        <v>0.758</v>
      </c>
      <c r="O92" s="43">
        <f>IFERROR(AVERAGE(J92:N92),"")</f>
        <v/>
      </c>
      <c r="P92" s="42" t="n">
        <v>0.712</v>
      </c>
      <c r="Q92" s="42" t="n">
        <v>0.624</v>
      </c>
      <c r="R92" s="42" t="n">
        <v>0.643</v>
      </c>
      <c r="S92" s="42" t="n">
        <v>0.581</v>
      </c>
      <c r="T92" s="42" t="n">
        <v>0.667</v>
      </c>
      <c r="U92" s="43">
        <f>IFERROR(AVERAGE(P92:T92),"")</f>
        <v/>
      </c>
      <c r="V92" s="42" t="n">
        <v>0.718</v>
      </c>
      <c r="W92" s="42" t="n">
        <v>0.616</v>
      </c>
      <c r="X92" s="42" t="n">
        <v>0.695</v>
      </c>
      <c r="Y92" s="42" t="n">
        <v>0.715</v>
      </c>
      <c r="Z92" s="42" t="n">
        <v>0.718</v>
      </c>
      <c r="AA92" s="43">
        <f>IFERROR(AVERAGE(V92:Z92),"")</f>
        <v/>
      </c>
      <c r="AB92" s="42" t="n">
        <v>0.718</v>
      </c>
      <c r="AC92" s="42" t="n">
        <v>0.616</v>
      </c>
      <c r="AD92" s="42" t="n">
        <v>0.695</v>
      </c>
      <c r="AE92" s="42" t="n">
        <v>0.715</v>
      </c>
      <c r="AF92" s="42" t="n">
        <v>0.718</v>
      </c>
      <c r="AG92" s="43">
        <f>IFERROR(AVERAGE(AB92:AF92),"")</f>
        <v/>
      </c>
      <c r="AH92" s="42">
        <f>IFERROR(AG92-AA92,"")</f>
        <v/>
      </c>
      <c r="AI92" s="42">
        <f>IFERROR(AG92-O92,"")</f>
        <v/>
      </c>
    </row>
    <row r="93">
      <c r="A93" s="41" t="inlineStr">
        <is>
          <t>ionosphere</t>
        </is>
      </c>
      <c r="B93" s="42" t="inlineStr">
        <is>
          <t>symmetric</t>
        </is>
      </c>
      <c r="C93" s="42" t="n">
        <v>0.4</v>
      </c>
      <c r="D93" s="42" t="n">
        <v>0.6870000000000001</v>
      </c>
      <c r="E93" s="42" t="n">
        <v>0.627</v>
      </c>
      <c r="F93" s="42" t="n">
        <v>0.601</v>
      </c>
      <c r="G93" s="42" t="n">
        <v>0.635</v>
      </c>
      <c r="H93" s="42" t="n">
        <v>0.664</v>
      </c>
      <c r="I93" s="43">
        <f>IFERROR(AVERAGE(D93:H93),"")</f>
        <v/>
      </c>
      <c r="J93" s="42" t="n">
        <v>0.641</v>
      </c>
      <c r="K93" s="42" t="n">
        <v>0.589</v>
      </c>
      <c r="L93" s="42" t="n">
        <v>0.744</v>
      </c>
      <c r="M93" s="42" t="n">
        <v>0.641</v>
      </c>
      <c r="N93" s="42" t="n">
        <v>0.67</v>
      </c>
      <c r="O93" s="43">
        <f>IFERROR(AVERAGE(J93:N93),"")</f>
        <v/>
      </c>
      <c r="P93" s="42" t="n">
        <v>0.57</v>
      </c>
      <c r="Q93" s="42" t="n">
        <v>0.584</v>
      </c>
      <c r="R93" s="42" t="n">
        <v>0.555</v>
      </c>
      <c r="S93" s="42" t="n">
        <v>0.607</v>
      </c>
      <c r="T93" s="42" t="n">
        <v>0.624</v>
      </c>
      <c r="U93" s="43">
        <f>IFERROR(AVERAGE(P93:T93),"")</f>
        <v/>
      </c>
      <c r="V93" s="42" t="n">
        <v>0.576</v>
      </c>
      <c r="W93" s="42" t="n">
        <v>0.5639999999999999</v>
      </c>
      <c r="X93" s="42" t="n">
        <v>0.629</v>
      </c>
      <c r="Y93" s="42" t="n">
        <v>0.681</v>
      </c>
      <c r="Z93" s="42" t="n">
        <v>0.652</v>
      </c>
      <c r="AA93" s="43">
        <f>IFERROR(AVERAGE(V93:Z93),"")</f>
        <v/>
      </c>
      <c r="AB93" s="42" t="n">
        <v>0.576</v>
      </c>
      <c r="AC93" s="42" t="n">
        <v>0.5639999999999999</v>
      </c>
      <c r="AD93" s="42" t="n">
        <v>0.629</v>
      </c>
      <c r="AE93" s="42" t="n">
        <v>0.681</v>
      </c>
      <c r="AF93" s="42" t="n">
        <v>0.652</v>
      </c>
      <c r="AG93" s="43">
        <f>IFERROR(AVERAGE(AB93:AF93),"")</f>
        <v/>
      </c>
      <c r="AH93" s="42">
        <f>IFERROR(AG93-AA93,"")</f>
        <v/>
      </c>
      <c r="AI93" s="42">
        <f>IFERROR(AG93-O93,"")</f>
        <v/>
      </c>
    </row>
    <row r="94">
      <c r="A94" s="41" t="inlineStr">
        <is>
          <t>ionosphere</t>
        </is>
      </c>
      <c r="B94" s="42" t="inlineStr">
        <is>
          <t>symmetric</t>
        </is>
      </c>
      <c r="C94" s="42" t="n">
        <v>0.5</v>
      </c>
      <c r="D94" s="42" t="n">
        <v>0.493</v>
      </c>
      <c r="E94" s="42" t="n">
        <v>0.556</v>
      </c>
      <c r="F94" s="42" t="n">
        <v>0.501</v>
      </c>
      <c r="G94" s="42" t="n">
        <v>0.536</v>
      </c>
      <c r="H94" s="42" t="n">
        <v>0.524</v>
      </c>
      <c r="I94" s="43">
        <f>IFERROR(AVERAGE(D94:H94),"")</f>
        <v/>
      </c>
      <c r="J94" s="42" t="n">
        <v>0.556</v>
      </c>
      <c r="K94" s="42" t="n">
        <v>0.5639999999999999</v>
      </c>
      <c r="L94" s="42" t="n">
        <v>0.501</v>
      </c>
      <c r="M94" s="42" t="n">
        <v>0.553</v>
      </c>
      <c r="N94" s="42" t="n">
        <v>0.499</v>
      </c>
      <c r="O94" s="43">
        <f>IFERROR(AVERAGE(J94:N94),"")</f>
        <v/>
      </c>
      <c r="P94" s="42" t="n">
        <v>0.504</v>
      </c>
      <c r="Q94" s="42" t="n">
        <v>0.541</v>
      </c>
      <c r="R94" s="42" t="n">
        <v>0.515</v>
      </c>
      <c r="S94" s="42" t="n">
        <v>0.51</v>
      </c>
      <c r="T94" s="42" t="n">
        <v>0.499</v>
      </c>
      <c r="U94" s="43">
        <f>IFERROR(AVERAGE(P94:T94),"")</f>
        <v/>
      </c>
      <c r="V94" s="42" t="n">
        <v>0.499</v>
      </c>
      <c r="W94" s="42" t="n">
        <v>0.532</v>
      </c>
      <c r="X94" s="42" t="n">
        <v>0.482</v>
      </c>
      <c r="Y94" s="42" t="n">
        <v>0.5639999999999999</v>
      </c>
      <c r="Z94" s="42" t="n">
        <v>0.482</v>
      </c>
      <c r="AA94" s="43">
        <f>IFERROR(AVERAGE(V94:Z94),"")</f>
        <v/>
      </c>
      <c r="AB94" s="42" t="n">
        <v>0.499</v>
      </c>
      <c r="AC94" s="42" t="n">
        <v>0.532</v>
      </c>
      <c r="AD94" s="42" t="n">
        <v>0.482</v>
      </c>
      <c r="AE94" s="42" t="n">
        <v>0.5639999999999999</v>
      </c>
      <c r="AF94" s="42" t="n">
        <v>0.482</v>
      </c>
      <c r="AG94" s="43">
        <f>IFERROR(AVERAGE(AB94:AF94),"")</f>
        <v/>
      </c>
      <c r="AH94" s="42">
        <f>IFERROR(AG94-AA94,"")</f>
        <v/>
      </c>
      <c r="AI94" s="42">
        <f>IFERROR(AG94-O94,"")</f>
        <v/>
      </c>
    </row>
    <row r="95">
      <c r="A95" s="41" t="inlineStr">
        <is>
          <t>ionosphere</t>
        </is>
      </c>
      <c r="B95" s="42" t="inlineStr">
        <is>
          <t>asymmetric</t>
        </is>
      </c>
      <c r="C95" s="42" t="n">
        <v>0.2</v>
      </c>
      <c r="D95" s="42" t="n">
        <v>0.786</v>
      </c>
      <c r="E95" s="42" t="n">
        <v>0.786</v>
      </c>
      <c r="F95" s="42" t="n">
        <v>0.6840000000000001</v>
      </c>
      <c r="G95" s="42" t="n">
        <v>0.738</v>
      </c>
      <c r="H95" s="42" t="n">
        <v>0.8120000000000001</v>
      </c>
      <c r="I95" s="43">
        <f>IFERROR(AVERAGE(D95:H95),"")</f>
        <v/>
      </c>
      <c r="J95" s="42" t="n">
        <v>0.803</v>
      </c>
      <c r="K95" s="42" t="n">
        <v>0.803</v>
      </c>
      <c r="L95" s="42" t="n">
        <v>0.732</v>
      </c>
      <c r="M95" s="42" t="n">
        <v>0.795</v>
      </c>
      <c r="N95" s="42" t="n">
        <v>0.775</v>
      </c>
      <c r="O95" s="43">
        <f>IFERROR(AVERAGE(J95:N95),"")</f>
        <v/>
      </c>
      <c r="P95" s="42" t="n"/>
      <c r="Q95" s="42" t="n"/>
      <c r="R95" s="42" t="n"/>
      <c r="S95" s="42" t="n"/>
      <c r="T95" s="42" t="n"/>
      <c r="U95" s="43">
        <f>IFERROR(AVERAGE(P95:T95),"")</f>
        <v/>
      </c>
      <c r="V95" s="42" t="n"/>
      <c r="W95" s="42" t="n"/>
      <c r="X95" s="42" t="n"/>
      <c r="Y95" s="42" t="n"/>
      <c r="Z95" s="42" t="n"/>
      <c r="AA95" s="43">
        <f>IFERROR(AVERAGE(V95:Z95),"")</f>
        <v/>
      </c>
      <c r="AB95" s="42" t="n">
        <v>0.675</v>
      </c>
      <c r="AC95" s="42" t="n">
        <v>0.712</v>
      </c>
      <c r="AD95" s="42" t="n">
        <v>0.6899999999999999</v>
      </c>
      <c r="AE95" s="42" t="n">
        <v>0.695</v>
      </c>
      <c r="AF95" s="42" t="n">
        <v>0.6889999999999999</v>
      </c>
      <c r="AG95" s="43">
        <f>IFERROR(AVERAGE(AB95:AF95),"")</f>
        <v/>
      </c>
      <c r="AH95" s="42">
        <f>IFERROR(AG95-AA95,"")</f>
        <v/>
      </c>
      <c r="AI95" s="42">
        <f>IFERROR(AG95-O95,"")</f>
        <v/>
      </c>
    </row>
    <row r="96">
      <c r="A96" s="41" t="inlineStr">
        <is>
          <t>ionosphere</t>
        </is>
      </c>
      <c r="B96" s="42" t="inlineStr">
        <is>
          <t>asymmetric</t>
        </is>
      </c>
      <c r="C96" s="42" t="n">
        <v>0.3</v>
      </c>
      <c r="D96" s="42" t="n">
        <v>0.8120000000000001</v>
      </c>
      <c r="E96" s="42" t="n">
        <v>0.792</v>
      </c>
      <c r="F96" s="42" t="n">
        <v>0.73</v>
      </c>
      <c r="G96" s="42" t="n">
        <v>0.735</v>
      </c>
      <c r="H96" s="42" t="n">
        <v>0.792</v>
      </c>
      <c r="I96" s="43">
        <f>IFERROR(AVERAGE(D96:H96),"")</f>
        <v/>
      </c>
      <c r="J96" s="42" t="n">
        <v>0.786</v>
      </c>
      <c r="K96" s="42" t="n">
        <v>0.798</v>
      </c>
      <c r="L96" s="42" t="n">
        <v>0.786</v>
      </c>
      <c r="M96" s="42" t="n">
        <v>0.789</v>
      </c>
      <c r="N96" s="42" t="n">
        <v>0.795</v>
      </c>
      <c r="O96" s="43">
        <f>IFERROR(AVERAGE(J96:N96),"")</f>
        <v/>
      </c>
      <c r="P96" s="42" t="n"/>
      <c r="Q96" s="42" t="n"/>
      <c r="R96" s="42" t="n"/>
      <c r="S96" s="42" t="n"/>
      <c r="T96" s="42" t="n"/>
      <c r="U96" s="43">
        <f>IFERROR(AVERAGE(P96:T96),"")</f>
        <v/>
      </c>
      <c r="V96" s="42" t="n"/>
      <c r="W96" s="42" t="n"/>
      <c r="X96" s="42" t="n"/>
      <c r="Y96" s="42" t="n"/>
      <c r="Z96" s="42" t="n"/>
      <c r="AA96" s="43">
        <f>IFERROR(AVERAGE(V96:Z96),"")</f>
        <v/>
      </c>
      <c r="AB96" s="42" t="n">
        <v>0.732</v>
      </c>
      <c r="AC96" s="42" t="n">
        <v>0.735</v>
      </c>
      <c r="AD96" s="42" t="n">
        <v>0.695</v>
      </c>
      <c r="AE96" s="42" t="n">
        <v>0.701</v>
      </c>
      <c r="AF96" s="42" t="n">
        <v>0.635</v>
      </c>
      <c r="AG96" s="43">
        <f>IFERROR(AVERAGE(AB96:AF96),"")</f>
        <v/>
      </c>
      <c r="AH96" s="42">
        <f>IFERROR(AG96-AA96,"")</f>
        <v/>
      </c>
      <c r="AI96" s="42">
        <f>IFERROR(AG96-O96,"")</f>
        <v/>
      </c>
    </row>
    <row r="97">
      <c r="A97" s="41" t="inlineStr">
        <is>
          <t>ionosphere</t>
        </is>
      </c>
      <c r="B97" s="42" t="inlineStr">
        <is>
          <t>asymmetric</t>
        </is>
      </c>
      <c r="C97" s="42" t="n">
        <v>0.4</v>
      </c>
      <c r="D97" s="42" t="n">
        <v>0.724</v>
      </c>
      <c r="E97" s="42" t="n">
        <v>0.755</v>
      </c>
      <c r="F97" s="42" t="n">
        <v>0.723</v>
      </c>
      <c r="G97" s="42" t="n">
        <v>0.783</v>
      </c>
      <c r="H97" s="42" t="n">
        <v>0.752</v>
      </c>
      <c r="I97" s="43">
        <f>IFERROR(AVERAGE(D97:H97),"")</f>
        <v/>
      </c>
      <c r="J97" s="42" t="n">
        <v>0.752</v>
      </c>
      <c r="K97" s="42" t="n">
        <v>0.801</v>
      </c>
      <c r="L97" s="42" t="n">
        <v>0.755</v>
      </c>
      <c r="M97" s="42" t="n">
        <v>0.786</v>
      </c>
      <c r="N97" s="42" t="n">
        <v>0.755</v>
      </c>
      <c r="O97" s="43">
        <f>IFERROR(AVERAGE(J97:N97),"")</f>
        <v/>
      </c>
      <c r="P97" s="42" t="n"/>
      <c r="Q97" s="42" t="n"/>
      <c r="R97" s="42" t="n"/>
      <c r="S97" s="42" t="n"/>
      <c r="T97" s="42" t="n"/>
      <c r="U97" s="43">
        <f>IFERROR(AVERAGE(P97:T97),"")</f>
        <v/>
      </c>
      <c r="V97" s="42" t="n"/>
      <c r="W97" s="42" t="n"/>
      <c r="X97" s="42" t="n"/>
      <c r="Y97" s="42" t="n"/>
      <c r="Z97" s="42" t="n"/>
      <c r="AA97" s="43">
        <f>IFERROR(AVERAGE(V97:Z97),"")</f>
        <v/>
      </c>
      <c r="AB97" s="42" t="n">
        <v>0.71</v>
      </c>
      <c r="AC97" s="42" t="n">
        <v>0.6840000000000001</v>
      </c>
      <c r="AD97" s="42" t="n">
        <v>0.746</v>
      </c>
      <c r="AE97" s="42" t="n">
        <v>0.755</v>
      </c>
      <c r="AF97" s="42" t="n">
        <v>0.701</v>
      </c>
      <c r="AG97" s="43">
        <f>IFERROR(AVERAGE(AB97:AF97),"")</f>
        <v/>
      </c>
      <c r="AH97" s="42">
        <f>IFERROR(AG97-AA97,"")</f>
        <v/>
      </c>
      <c r="AI97" s="42">
        <f>IFERROR(AG97-O97,"")</f>
        <v/>
      </c>
    </row>
    <row r="98">
      <c r="A98" s="41" t="inlineStr">
        <is>
          <t>ionosphere</t>
        </is>
      </c>
      <c r="B98" s="42" t="inlineStr">
        <is>
          <t>asymmetric</t>
        </is>
      </c>
      <c r="C98" s="42" t="n">
        <v>0.5</v>
      </c>
      <c r="D98" s="42" t="n">
        <v>0.721</v>
      </c>
      <c r="E98" s="42" t="n">
        <v>0.718</v>
      </c>
      <c r="F98" s="42" t="n">
        <v>0.744</v>
      </c>
      <c r="G98" s="42" t="n">
        <v>0.729</v>
      </c>
      <c r="H98" s="42" t="n">
        <v>0.721</v>
      </c>
      <c r="I98" s="43">
        <f>IFERROR(AVERAGE(D98:H98),"")</f>
        <v/>
      </c>
      <c r="J98" s="42" t="n">
        <v>0.755</v>
      </c>
      <c r="K98" s="42" t="n">
        <v>0.755</v>
      </c>
      <c r="L98" s="42" t="n">
        <v>0.772</v>
      </c>
      <c r="M98" s="42" t="n">
        <v>0.735</v>
      </c>
      <c r="N98" s="42" t="n">
        <v>0.769</v>
      </c>
      <c r="O98" s="43">
        <f>IFERROR(AVERAGE(J98:N98),"")</f>
        <v/>
      </c>
      <c r="P98" s="42" t="n"/>
      <c r="Q98" s="42" t="n"/>
      <c r="R98" s="42" t="n"/>
      <c r="S98" s="42" t="n"/>
      <c r="T98" s="42" t="n"/>
      <c r="U98" s="43">
        <f>IFERROR(AVERAGE(P98:T98),"")</f>
        <v/>
      </c>
      <c r="V98" s="42" t="n"/>
      <c r="W98" s="42" t="n"/>
      <c r="X98" s="42" t="n"/>
      <c r="Y98" s="42" t="n"/>
      <c r="Z98" s="42" t="n"/>
      <c r="AA98" s="43">
        <f>IFERROR(AVERAGE(V98:Z98),"")</f>
        <v/>
      </c>
      <c r="AB98" s="42" t="n">
        <v>0.701</v>
      </c>
      <c r="AC98" s="42" t="n">
        <v>0.729</v>
      </c>
      <c r="AD98" s="42" t="n">
        <v>0.724</v>
      </c>
      <c r="AE98" s="42" t="n">
        <v>0.709</v>
      </c>
      <c r="AF98" s="42" t="n">
        <v>0.65</v>
      </c>
      <c r="AG98" s="43">
        <f>IFERROR(AVERAGE(AB98:AF98),"")</f>
        <v/>
      </c>
      <c r="AH98" s="42">
        <f>IFERROR(AG98-AA98,"")</f>
        <v/>
      </c>
      <c r="AI98" s="42">
        <f>IFERROR(AG98-O98,"")</f>
        <v/>
      </c>
    </row>
    <row r="99">
      <c r="A99" s="41" t="inlineStr">
        <is>
          <t>ionosphere</t>
        </is>
      </c>
      <c r="B99" s="42" t="inlineStr">
        <is>
          <t>boundary</t>
        </is>
      </c>
      <c r="C99" s="42" t="n">
        <v>0.2</v>
      </c>
      <c r="D99" s="42" t="n">
        <v>0.824</v>
      </c>
      <c r="E99" s="42" t="n">
        <v>0.8179999999999999</v>
      </c>
      <c r="F99" s="42" t="n">
        <v>0.778</v>
      </c>
      <c r="G99" s="42" t="n">
        <v>0.832</v>
      </c>
      <c r="H99" s="42" t="n">
        <v>0.8120000000000001</v>
      </c>
      <c r="I99" s="43">
        <f>IFERROR(AVERAGE(D99:H99),"")</f>
        <v/>
      </c>
      <c r="J99" s="42" t="n">
        <v>0.798</v>
      </c>
      <c r="K99" s="42" t="n">
        <v>0.789</v>
      </c>
      <c r="L99" s="42" t="n">
        <v>0.784</v>
      </c>
      <c r="M99" s="42" t="n">
        <v>0.803</v>
      </c>
      <c r="N99" s="42" t="n">
        <v>0.835</v>
      </c>
      <c r="O99" s="43">
        <f>IFERROR(AVERAGE(J99:N99),"")</f>
        <v/>
      </c>
      <c r="P99" s="42" t="n">
        <v>0.829</v>
      </c>
      <c r="Q99" s="42" t="n">
        <v>0.84</v>
      </c>
      <c r="R99" s="42" t="n">
        <v>0.8120000000000001</v>
      </c>
      <c r="S99" s="42" t="n">
        <v>0.8149999999999999</v>
      </c>
      <c r="T99" s="42" t="n">
        <v>0.738</v>
      </c>
      <c r="U99" s="43">
        <f>IFERROR(AVERAGE(P99:T99),"")</f>
        <v/>
      </c>
      <c r="V99" s="42" t="n">
        <v>0.798</v>
      </c>
      <c r="W99" s="42" t="n">
        <v>0.778</v>
      </c>
      <c r="X99" s="42" t="n">
        <v>0.755</v>
      </c>
      <c r="Y99" s="42" t="n">
        <v>0.787</v>
      </c>
      <c r="Z99" s="42" t="n">
        <v>0.732</v>
      </c>
      <c r="AA99" s="43">
        <f>IFERROR(AVERAGE(V99:Z99),"")</f>
        <v/>
      </c>
      <c r="AB99" s="42" t="n">
        <v>0.798</v>
      </c>
      <c r="AC99" s="42" t="n">
        <v>0.778</v>
      </c>
      <c r="AD99" s="42" t="n">
        <v>0.755</v>
      </c>
      <c r="AE99" s="42" t="n">
        <v>0.787</v>
      </c>
      <c r="AF99" s="42" t="n">
        <v>0.732</v>
      </c>
      <c r="AG99" s="43">
        <f>IFERROR(AVERAGE(AB99:AF99),"")</f>
        <v/>
      </c>
      <c r="AH99" s="42">
        <f>IFERROR(AG99-AA99,"")</f>
        <v/>
      </c>
      <c r="AI99" s="42">
        <f>IFERROR(AG99-O99,"")</f>
        <v/>
      </c>
    </row>
    <row r="100">
      <c r="A100" s="41" t="inlineStr">
        <is>
          <t>ionosphere</t>
        </is>
      </c>
      <c r="B100" s="42" t="inlineStr">
        <is>
          <t>boundary</t>
        </is>
      </c>
      <c r="C100" s="42" t="n">
        <v>0.3</v>
      </c>
      <c r="D100" s="42" t="n">
        <v>0.758</v>
      </c>
      <c r="E100" s="42" t="n">
        <v>0.752</v>
      </c>
      <c r="F100" s="42" t="n">
        <v>0.786</v>
      </c>
      <c r="G100" s="42" t="n">
        <v>0.769</v>
      </c>
      <c r="H100" s="42" t="n">
        <v>0.718</v>
      </c>
      <c r="I100" s="43">
        <f>IFERROR(AVERAGE(D100:H100),"")</f>
        <v/>
      </c>
      <c r="J100" s="42" t="n">
        <v>0.784</v>
      </c>
      <c r="K100" s="42" t="n">
        <v>0.775</v>
      </c>
      <c r="L100" s="42" t="n">
        <v>0.758</v>
      </c>
      <c r="M100" s="42" t="n">
        <v>0.783</v>
      </c>
      <c r="N100" s="42" t="n">
        <v>0.726</v>
      </c>
      <c r="O100" s="43">
        <f>IFERROR(AVERAGE(J100:N100),"")</f>
        <v/>
      </c>
      <c r="P100" s="42" t="n">
        <v>0.67</v>
      </c>
      <c r="Q100" s="42" t="n">
        <v>0.6929999999999999</v>
      </c>
      <c r="R100" s="42" t="n">
        <v>0.724</v>
      </c>
      <c r="S100" s="42" t="n">
        <v>0.721</v>
      </c>
      <c r="T100" s="42" t="n">
        <v>0.695</v>
      </c>
      <c r="U100" s="43">
        <f>IFERROR(AVERAGE(P100:T100),"")</f>
        <v/>
      </c>
      <c r="V100" s="42" t="n">
        <v>0.6899999999999999</v>
      </c>
      <c r="W100" s="42" t="n">
        <v>0.723</v>
      </c>
      <c r="X100" s="42" t="n">
        <v>0.681</v>
      </c>
      <c r="Y100" s="42" t="n">
        <v>0.724</v>
      </c>
      <c r="Z100" s="42" t="n">
        <v>0.6889999999999999</v>
      </c>
      <c r="AA100" s="43">
        <f>IFERROR(AVERAGE(V100:Z100),"")</f>
        <v/>
      </c>
      <c r="AB100" s="42" t="n">
        <v>0.6899999999999999</v>
      </c>
      <c r="AC100" s="42" t="n">
        <v>0.723</v>
      </c>
      <c r="AD100" s="42" t="n">
        <v>0.681</v>
      </c>
      <c r="AE100" s="42" t="n">
        <v>0.724</v>
      </c>
      <c r="AF100" s="42" t="n">
        <v>0.6889999999999999</v>
      </c>
      <c r="AG100" s="43">
        <f>IFERROR(AVERAGE(AB100:AF100),"")</f>
        <v/>
      </c>
      <c r="AH100" s="42">
        <f>IFERROR(AG100-AA100,"")</f>
        <v/>
      </c>
      <c r="AI100" s="42">
        <f>IFERROR(AG100-O100,"")</f>
        <v/>
      </c>
    </row>
    <row r="101">
      <c r="A101" s="41" t="inlineStr">
        <is>
          <t>ionosphere</t>
        </is>
      </c>
      <c r="B101" s="42" t="inlineStr">
        <is>
          <t>boundary</t>
        </is>
      </c>
      <c r="C101" s="42" t="n">
        <v>0.4</v>
      </c>
      <c r="D101" s="42" t="n">
        <v>0.747</v>
      </c>
      <c r="E101" s="42" t="n">
        <v>0.647</v>
      </c>
      <c r="F101" s="42" t="n">
        <v>0.647</v>
      </c>
      <c r="G101" s="42" t="n">
        <v>0.678</v>
      </c>
      <c r="H101" s="42" t="n">
        <v>0.71</v>
      </c>
      <c r="I101" s="43">
        <f>IFERROR(AVERAGE(D101:H101),"")</f>
        <v/>
      </c>
      <c r="J101" s="42" t="n">
        <v>0.724</v>
      </c>
      <c r="K101" s="42" t="n">
        <v>0.664</v>
      </c>
      <c r="L101" s="42" t="n">
        <v>0.707</v>
      </c>
      <c r="M101" s="42" t="n">
        <v>0.609</v>
      </c>
      <c r="N101" s="42" t="n">
        <v>0.741</v>
      </c>
      <c r="O101" s="43">
        <f>IFERROR(AVERAGE(J101:N101),"")</f>
        <v/>
      </c>
      <c r="P101" s="42" t="n">
        <v>0.675</v>
      </c>
      <c r="Q101" s="42" t="n">
        <v>0.61</v>
      </c>
      <c r="R101" s="42" t="n">
        <v>0.63</v>
      </c>
      <c r="S101" s="42" t="n">
        <v>0.641</v>
      </c>
      <c r="T101" s="42" t="n">
        <v>0.595</v>
      </c>
      <c r="U101" s="43">
        <f>IFERROR(AVERAGE(P101:T101),"")</f>
        <v/>
      </c>
      <c r="V101" s="42" t="n">
        <v>0.635</v>
      </c>
      <c r="W101" s="42" t="n">
        <v>0.581</v>
      </c>
      <c r="X101" s="42" t="n">
        <v>0.627</v>
      </c>
      <c r="Y101" s="42" t="n">
        <v>0.5580000000000001</v>
      </c>
      <c r="Z101" s="42" t="n">
        <v>0.649</v>
      </c>
      <c r="AA101" s="43">
        <f>IFERROR(AVERAGE(V101:Z101),"")</f>
        <v/>
      </c>
      <c r="AB101" s="42" t="n">
        <v>0.635</v>
      </c>
      <c r="AC101" s="42" t="n">
        <v>0.581</v>
      </c>
      <c r="AD101" s="42" t="n">
        <v>0.627</v>
      </c>
      <c r="AE101" s="42" t="n">
        <v>0.5580000000000001</v>
      </c>
      <c r="AF101" s="42" t="n">
        <v>0.649</v>
      </c>
      <c r="AG101" s="43">
        <f>IFERROR(AVERAGE(AB101:AF101),"")</f>
        <v/>
      </c>
      <c r="AH101" s="42">
        <f>IFERROR(AG101-AA101,"")</f>
        <v/>
      </c>
      <c r="AI101" s="42">
        <f>IFERROR(AG101-O101,"")</f>
        <v/>
      </c>
    </row>
    <row r="102">
      <c r="A102" s="41" t="inlineStr">
        <is>
          <t>ionosphere</t>
        </is>
      </c>
      <c r="B102" s="42" t="inlineStr">
        <is>
          <t>boundary</t>
        </is>
      </c>
      <c r="C102" s="42" t="n">
        <v>0.5</v>
      </c>
      <c r="D102" s="42" t="n">
        <v>0.527</v>
      </c>
      <c r="E102" s="42" t="n">
        <v>0.499</v>
      </c>
      <c r="F102" s="42" t="n">
        <v>0.493</v>
      </c>
      <c r="G102" s="42" t="n">
        <v>0.51</v>
      </c>
      <c r="H102" s="42" t="n">
        <v>0.513</v>
      </c>
      <c r="I102" s="43">
        <f>IFERROR(AVERAGE(D102:H102),"")</f>
        <v/>
      </c>
      <c r="J102" s="42" t="n">
        <v>0.521</v>
      </c>
      <c r="K102" s="42" t="n">
        <v>0.419</v>
      </c>
      <c r="L102" s="42" t="n">
        <v>0.519</v>
      </c>
      <c r="M102" s="42" t="n">
        <v>0.5639999999999999</v>
      </c>
      <c r="N102" s="42" t="n">
        <v>0.524</v>
      </c>
      <c r="O102" s="43">
        <f>IFERROR(AVERAGE(J102:N102),"")</f>
        <v/>
      </c>
      <c r="P102" s="42" t="n">
        <v>0.49</v>
      </c>
      <c r="Q102" s="42" t="n">
        <v>0.479</v>
      </c>
      <c r="R102" s="42" t="n">
        <v>0.43</v>
      </c>
      <c r="S102" s="42" t="n">
        <v>0.49</v>
      </c>
      <c r="T102" s="42" t="n">
        <v>0.482</v>
      </c>
      <c r="U102" s="43">
        <f>IFERROR(AVERAGE(P102:T102),"")</f>
        <v/>
      </c>
      <c r="V102" s="42" t="n">
        <v>0.527</v>
      </c>
      <c r="W102" s="42" t="n">
        <v>0.419</v>
      </c>
      <c r="X102" s="42" t="n">
        <v>0.433</v>
      </c>
      <c r="Y102" s="42" t="n">
        <v>0.501</v>
      </c>
      <c r="Z102" s="42" t="n">
        <v>0.484</v>
      </c>
      <c r="AA102" s="43">
        <f>IFERROR(AVERAGE(V102:Z102),"")</f>
        <v/>
      </c>
      <c r="AB102" s="42" t="n">
        <v>0.527</v>
      </c>
      <c r="AC102" s="42" t="n">
        <v>0.419</v>
      </c>
      <c r="AD102" s="42" t="n">
        <v>0.433</v>
      </c>
      <c r="AE102" s="42" t="n">
        <v>0.501</v>
      </c>
      <c r="AF102" s="42" t="n">
        <v>0.484</v>
      </c>
      <c r="AG102" s="43">
        <f>IFERROR(AVERAGE(AB102:AF102),"")</f>
        <v/>
      </c>
      <c r="AH102" s="42">
        <f>IFERROR(AG102-AA102,"")</f>
        <v/>
      </c>
      <c r="AI102" s="42">
        <f>IFERROR(AG102-O102,"")</f>
        <v/>
      </c>
    </row>
    <row r="103">
      <c r="A103" s="41" t="inlineStr">
        <is>
          <t>ionosphere</t>
        </is>
      </c>
      <c r="B103" s="42" t="inlineStr">
        <is>
          <t>far</t>
        </is>
      </c>
      <c r="C103" s="42" t="n">
        <v>0.2</v>
      </c>
      <c r="D103" s="42" t="n">
        <v>0.678</v>
      </c>
      <c r="E103" s="42" t="n">
        <v>0.718</v>
      </c>
      <c r="F103" s="42" t="n">
        <v>0.698</v>
      </c>
      <c r="G103" s="42" t="n">
        <v>0.607</v>
      </c>
      <c r="H103" s="42" t="n">
        <v>0.741</v>
      </c>
      <c r="I103" s="43">
        <f>IFERROR(AVERAGE(D103:H103),"")</f>
        <v/>
      </c>
      <c r="J103" s="42" t="n">
        <v>0.712</v>
      </c>
      <c r="K103" s="42" t="n">
        <v>0.741</v>
      </c>
      <c r="L103" s="42" t="n">
        <v>0.738</v>
      </c>
      <c r="M103" s="42" t="n">
        <v>0.701</v>
      </c>
      <c r="N103" s="42" t="n">
        <v>0.726</v>
      </c>
      <c r="O103" s="43">
        <f>IFERROR(AVERAGE(J103:N103),"")</f>
        <v/>
      </c>
      <c r="P103" s="42" t="n">
        <v>0.709</v>
      </c>
      <c r="Q103" s="42" t="n">
        <v>0.721</v>
      </c>
      <c r="R103" s="42" t="n">
        <v>0.726</v>
      </c>
      <c r="S103" s="42" t="n">
        <v>0.6870000000000001</v>
      </c>
      <c r="T103" s="42" t="n">
        <v>0.695</v>
      </c>
      <c r="U103" s="43">
        <f>IFERROR(AVERAGE(P103:T103),"")</f>
        <v/>
      </c>
      <c r="V103" s="42" t="n">
        <v>0.666</v>
      </c>
      <c r="W103" s="42" t="n">
        <v>0.681</v>
      </c>
      <c r="X103" s="42" t="n">
        <v>0.675</v>
      </c>
      <c r="Y103" s="42" t="n">
        <v>0.6870000000000001</v>
      </c>
      <c r="Z103" s="42" t="n">
        <v>0.661</v>
      </c>
      <c r="AA103" s="43">
        <f>IFERROR(AVERAGE(V103:Z103),"")</f>
        <v/>
      </c>
      <c r="AB103" s="42" t="n">
        <v>0.666</v>
      </c>
      <c r="AC103" s="42" t="n">
        <v>0.681</v>
      </c>
      <c r="AD103" s="42" t="n">
        <v>0.675</v>
      </c>
      <c r="AE103" s="42" t="n">
        <v>0.6870000000000001</v>
      </c>
      <c r="AF103" s="42" t="n">
        <v>0.661</v>
      </c>
      <c r="AG103" s="43">
        <f>IFERROR(AVERAGE(AB103:AF103),"")</f>
        <v/>
      </c>
      <c r="AH103" s="42">
        <f>IFERROR(AG103-AA103,"")</f>
        <v/>
      </c>
      <c r="AI103" s="42">
        <f>IFERROR(AG103-O103,"")</f>
        <v/>
      </c>
    </row>
    <row r="104">
      <c r="A104" s="41" t="inlineStr">
        <is>
          <t>ionosphere</t>
        </is>
      </c>
      <c r="B104" s="42" t="inlineStr">
        <is>
          <t>far</t>
        </is>
      </c>
      <c r="C104" s="42" t="n">
        <v>0.3</v>
      </c>
      <c r="D104" s="42" t="n">
        <v>0.621</v>
      </c>
      <c r="E104" s="42" t="n">
        <v>0.672</v>
      </c>
      <c r="F104" s="42" t="n">
        <v>0.652</v>
      </c>
      <c r="G104" s="42" t="n">
        <v>0.638</v>
      </c>
      <c r="H104" s="42" t="n">
        <v>0.604</v>
      </c>
      <c r="I104" s="43">
        <f>IFERROR(AVERAGE(D104:H104),"")</f>
        <v/>
      </c>
      <c r="J104" s="42" t="n">
        <v>0.673</v>
      </c>
      <c r="K104" s="42" t="n">
        <v>0.709</v>
      </c>
      <c r="L104" s="42" t="n">
        <v>0.704</v>
      </c>
      <c r="M104" s="42" t="n">
        <v>0.698</v>
      </c>
      <c r="N104" s="42" t="n">
        <v>0.678</v>
      </c>
      <c r="O104" s="43">
        <f>IFERROR(AVERAGE(J104:N104),"")</f>
        <v/>
      </c>
      <c r="P104" s="42" t="n">
        <v>0.624</v>
      </c>
      <c r="Q104" s="42" t="n">
        <v>0.704</v>
      </c>
      <c r="R104" s="42" t="n">
        <v>0.704</v>
      </c>
      <c r="S104" s="42" t="n">
        <v>0.695</v>
      </c>
      <c r="T104" s="42" t="n">
        <v>0.644</v>
      </c>
      <c r="U104" s="43">
        <f>IFERROR(AVERAGE(P104:T104),"")</f>
        <v/>
      </c>
      <c r="V104" s="42" t="n">
        <v>0.638</v>
      </c>
      <c r="W104" s="42" t="n">
        <v>0.652</v>
      </c>
      <c r="X104" s="42" t="n">
        <v>0.712</v>
      </c>
      <c r="Y104" s="42" t="n">
        <v>0.712</v>
      </c>
      <c r="Z104" s="42" t="n">
        <v>0.712</v>
      </c>
      <c r="AA104" s="43">
        <f>IFERROR(AVERAGE(V104:Z104),"")</f>
        <v/>
      </c>
      <c r="AB104" s="42" t="n">
        <v>0.638</v>
      </c>
      <c r="AC104" s="42" t="n">
        <v>0.652</v>
      </c>
      <c r="AD104" s="42" t="n">
        <v>0.712</v>
      </c>
      <c r="AE104" s="42" t="n">
        <v>0.712</v>
      </c>
      <c r="AF104" s="42" t="n">
        <v>0.712</v>
      </c>
      <c r="AG104" s="43">
        <f>IFERROR(AVERAGE(AB104:AF104),"")</f>
        <v/>
      </c>
      <c r="AH104" s="42">
        <f>IFERROR(AG104-AA104,"")</f>
        <v/>
      </c>
      <c r="AI104" s="42">
        <f>IFERROR(AG104-O104,"")</f>
        <v/>
      </c>
    </row>
    <row r="105">
      <c r="A105" s="41" t="inlineStr">
        <is>
          <t>ionosphere</t>
        </is>
      </c>
      <c r="B105" s="42" t="inlineStr">
        <is>
          <t>far</t>
        </is>
      </c>
      <c r="C105" s="42" t="n">
        <v>0.4</v>
      </c>
      <c r="D105" s="42" t="n">
        <v>0.607</v>
      </c>
      <c r="E105" s="42" t="n">
        <v>0.524</v>
      </c>
      <c r="F105" s="42" t="n">
        <v>0.612</v>
      </c>
      <c r="G105" s="42" t="n">
        <v>0.592</v>
      </c>
      <c r="H105" s="42" t="n">
        <v>0.533</v>
      </c>
      <c r="I105" s="43">
        <f>IFERROR(AVERAGE(D105:H105),"")</f>
        <v/>
      </c>
      <c r="J105" s="42" t="n">
        <v>0.59</v>
      </c>
      <c r="K105" s="42" t="n">
        <v>0.618</v>
      </c>
      <c r="L105" s="42" t="n">
        <v>0.627</v>
      </c>
      <c r="M105" s="42" t="n">
        <v>0.635</v>
      </c>
      <c r="N105" s="42" t="n">
        <v>0.658</v>
      </c>
      <c r="O105" s="43">
        <f>IFERROR(AVERAGE(J105:N105),"")</f>
        <v/>
      </c>
      <c r="P105" s="42" t="n">
        <v>0.516</v>
      </c>
      <c r="Q105" s="42" t="n">
        <v>0.501</v>
      </c>
      <c r="R105" s="42" t="n">
        <v>0.5639999999999999</v>
      </c>
      <c r="S105" s="42" t="n">
        <v>0.604</v>
      </c>
      <c r="T105" s="42" t="n">
        <v>0.53</v>
      </c>
      <c r="U105" s="43">
        <f>IFERROR(AVERAGE(P105:T105),"")</f>
        <v/>
      </c>
      <c r="V105" s="42" t="n">
        <v>0.385</v>
      </c>
      <c r="W105" s="42" t="n">
        <v>0.493</v>
      </c>
      <c r="X105" s="42" t="n">
        <v>0.55</v>
      </c>
      <c r="Y105" s="42" t="n">
        <v>0.598</v>
      </c>
      <c r="Z105" s="42" t="n">
        <v>0.57</v>
      </c>
      <c r="AA105" s="43">
        <f>IFERROR(AVERAGE(V105:Z105),"")</f>
        <v/>
      </c>
      <c r="AB105" s="42" t="n">
        <v>0.385</v>
      </c>
      <c r="AC105" s="42" t="n">
        <v>0.493</v>
      </c>
      <c r="AD105" s="42" t="n">
        <v>0.55</v>
      </c>
      <c r="AE105" s="42" t="n">
        <v>0.598</v>
      </c>
      <c r="AF105" s="42" t="n">
        <v>0.57</v>
      </c>
      <c r="AG105" s="43">
        <f>IFERROR(AVERAGE(AB105:AF105),"")</f>
        <v/>
      </c>
      <c r="AH105" s="42">
        <f>IFERROR(AG105-AA105,"")</f>
        <v/>
      </c>
      <c r="AI105" s="42">
        <f>IFERROR(AG105-O105,"")</f>
        <v/>
      </c>
    </row>
    <row r="106">
      <c r="A106" s="41" t="inlineStr">
        <is>
          <t>ionosphere</t>
        </is>
      </c>
      <c r="B106" s="42" t="inlineStr">
        <is>
          <t>far</t>
        </is>
      </c>
      <c r="C106" s="42" t="n">
        <v>0.5</v>
      </c>
      <c r="D106" s="42" t="n">
        <v>0.55</v>
      </c>
      <c r="E106" s="42" t="n">
        <v>0.53</v>
      </c>
      <c r="F106" s="42" t="n">
        <v>0.581</v>
      </c>
      <c r="G106" s="42" t="n">
        <v>0.419</v>
      </c>
      <c r="H106" s="42" t="n">
        <v>0.524</v>
      </c>
      <c r="I106" s="43">
        <f>IFERROR(AVERAGE(D106:H106),"")</f>
        <v/>
      </c>
      <c r="J106" s="42" t="n">
        <v>0.547</v>
      </c>
      <c r="K106" s="42" t="n">
        <v>0.499</v>
      </c>
      <c r="L106" s="42" t="n">
        <v>0.604</v>
      </c>
      <c r="M106" s="42" t="n">
        <v>0.475</v>
      </c>
      <c r="N106" s="42" t="n">
        <v>0.393</v>
      </c>
      <c r="O106" s="43">
        <f>IFERROR(AVERAGE(J106:N106),"")</f>
        <v/>
      </c>
      <c r="P106" s="42" t="n">
        <v>0.519</v>
      </c>
      <c r="Q106" s="42" t="n">
        <v>0.575</v>
      </c>
      <c r="R106" s="42" t="n">
        <v>0.539</v>
      </c>
      <c r="S106" s="42" t="n">
        <v>0.533</v>
      </c>
      <c r="T106" s="42" t="n">
        <v>0.512</v>
      </c>
      <c r="U106" s="43">
        <f>IFERROR(AVERAGE(P106:T106),"")</f>
        <v/>
      </c>
      <c r="V106" s="42" t="n">
        <v>0.496</v>
      </c>
      <c r="W106" s="42" t="n">
        <v>0.433</v>
      </c>
      <c r="X106" s="42" t="n">
        <v>0.578</v>
      </c>
      <c r="Y106" s="42" t="n">
        <v>0.5639999999999999</v>
      </c>
      <c r="Z106" s="42" t="n">
        <v>0.51</v>
      </c>
      <c r="AA106" s="43">
        <f>IFERROR(AVERAGE(V106:Z106),"")</f>
        <v/>
      </c>
      <c r="AB106" s="42" t="n">
        <v>0.496</v>
      </c>
      <c r="AC106" s="42" t="n">
        <v>0.433</v>
      </c>
      <c r="AD106" s="42" t="n">
        <v>0.578</v>
      </c>
      <c r="AE106" s="42" t="n">
        <v>0.5639999999999999</v>
      </c>
      <c r="AF106" s="42" t="n">
        <v>0.51</v>
      </c>
      <c r="AG106" s="43">
        <f>IFERROR(AVERAGE(AB106:AF106),"")</f>
        <v/>
      </c>
      <c r="AH106" s="42">
        <f>IFERROR(AG106-AA106,"")</f>
        <v/>
      </c>
      <c r="AI106" s="42">
        <f>IFERROR(AG106-O106,"")</f>
        <v/>
      </c>
    </row>
    <row r="107">
      <c r="A107" s="41" t="inlineStr">
        <is>
          <t>sonar</t>
        </is>
      </c>
      <c r="B107" s="42" t="inlineStr">
        <is>
          <t>(clean)</t>
        </is>
      </c>
      <c r="C107" s="42" t="n">
        <v>0</v>
      </c>
      <c r="D107" s="42" t="n">
        <v>0.712</v>
      </c>
      <c r="E107" s="42" t="n">
        <v>0.726</v>
      </c>
      <c r="F107" s="42" t="n">
        <v>0.726</v>
      </c>
      <c r="G107" s="42" t="n">
        <v>0.711</v>
      </c>
      <c r="H107" s="42" t="n">
        <v>0.6879999999999999</v>
      </c>
      <c r="I107" s="43">
        <f>IFERROR(AVERAGE(D107:H107),"")</f>
        <v/>
      </c>
      <c r="J107" s="42" t="n">
        <v>0.736</v>
      </c>
      <c r="K107" s="42" t="n">
        <v>0.6919999999999999</v>
      </c>
      <c r="L107" s="42" t="n">
        <v>0.721</v>
      </c>
      <c r="M107" s="42" t="n">
        <v>0.711</v>
      </c>
      <c r="N107" s="42" t="n">
        <v>0.716</v>
      </c>
      <c r="O107" s="43">
        <f>IFERROR(AVERAGE(J107:N107),"")</f>
        <v/>
      </c>
      <c r="P107" s="42" t="n">
        <v>0.707</v>
      </c>
      <c r="Q107" s="42" t="n">
        <v>0.645</v>
      </c>
      <c r="R107" s="42" t="n">
        <v>0.702</v>
      </c>
      <c r="S107" s="42" t="n">
        <v>0.644</v>
      </c>
      <c r="T107" s="42" t="n">
        <v>0.711</v>
      </c>
      <c r="U107" s="43">
        <f>IFERROR(AVERAGE(P107:T107),"")</f>
        <v/>
      </c>
      <c r="V107" s="42" t="n">
        <v>0.721</v>
      </c>
      <c r="W107" s="42" t="n">
        <v>0.64</v>
      </c>
      <c r="X107" s="42" t="n">
        <v>0.6830000000000001</v>
      </c>
      <c r="Y107" s="42" t="n">
        <v>0.6919999999999999</v>
      </c>
      <c r="Z107" s="42" t="n">
        <v>0.673</v>
      </c>
      <c r="AA107" s="43">
        <f>IFERROR(AVERAGE(V107:Z107),"")</f>
        <v/>
      </c>
      <c r="AB107" s="42" t="n">
        <v>0.721</v>
      </c>
      <c r="AC107" s="42" t="n">
        <v>0.64</v>
      </c>
      <c r="AD107" s="42" t="n">
        <v>0.6830000000000001</v>
      </c>
      <c r="AE107" s="42" t="n">
        <v>0.6919999999999999</v>
      </c>
      <c r="AF107" s="42" t="n">
        <v>0.673</v>
      </c>
      <c r="AG107" s="43">
        <f>IFERROR(AVERAGE(AB107:AF107),"")</f>
        <v/>
      </c>
      <c r="AH107" s="42">
        <f>IFERROR(AG107-AA107,"")</f>
        <v/>
      </c>
      <c r="AI107" s="42">
        <f>IFERROR(AG107-O107,"")</f>
        <v/>
      </c>
    </row>
    <row r="108">
      <c r="A108" s="41" t="inlineStr">
        <is>
          <t>sonar</t>
        </is>
      </c>
      <c r="B108" s="42" t="inlineStr">
        <is>
          <t>symmetric</t>
        </is>
      </c>
      <c r="C108" s="42" t="n">
        <v>0.2</v>
      </c>
      <c r="D108" s="42" t="n">
        <v>0.61</v>
      </c>
      <c r="E108" s="42" t="n">
        <v>0.577</v>
      </c>
      <c r="F108" s="42" t="n">
        <v>0.582</v>
      </c>
      <c r="G108" s="42" t="n">
        <v>0.624</v>
      </c>
      <c r="H108" s="42" t="n">
        <v>0.601</v>
      </c>
      <c r="I108" s="43">
        <f>IFERROR(AVERAGE(D108:H108),"")</f>
        <v/>
      </c>
      <c r="J108" s="42" t="n">
        <v>0.663</v>
      </c>
      <c r="K108" s="42" t="n">
        <v>0.649</v>
      </c>
      <c r="L108" s="42" t="n">
        <v>0.64</v>
      </c>
      <c r="M108" s="42" t="n">
        <v>0.6919999999999999</v>
      </c>
      <c r="N108" s="42" t="n">
        <v>0.649</v>
      </c>
      <c r="O108" s="43">
        <f>IFERROR(AVERAGE(J108:N108),"")</f>
        <v/>
      </c>
      <c r="P108" s="42" t="n">
        <v>0.649</v>
      </c>
      <c r="Q108" s="42" t="n">
        <v>0.63</v>
      </c>
      <c r="R108" s="42" t="n">
        <v>0.663</v>
      </c>
      <c r="S108" s="42" t="n">
        <v>0.639</v>
      </c>
      <c r="T108" s="42" t="n">
        <v>0.678</v>
      </c>
      <c r="U108" s="43">
        <f>IFERROR(AVERAGE(P108:T108),"")</f>
        <v/>
      </c>
      <c r="V108" s="42" t="n">
        <v>0.668</v>
      </c>
      <c r="W108" s="42" t="n">
        <v>0.649</v>
      </c>
      <c r="X108" s="42" t="n">
        <v>0.63</v>
      </c>
      <c r="Y108" s="42" t="n">
        <v>0.62</v>
      </c>
      <c r="Z108" s="42" t="n">
        <v>0.634</v>
      </c>
      <c r="AA108" s="43">
        <f>IFERROR(AVERAGE(V108:Z108),"")</f>
        <v/>
      </c>
      <c r="AB108" s="42" t="n">
        <v>0.668</v>
      </c>
      <c r="AC108" s="42" t="n">
        <v>0.649</v>
      </c>
      <c r="AD108" s="42" t="n">
        <v>0.63</v>
      </c>
      <c r="AE108" s="42" t="n">
        <v>0.62</v>
      </c>
      <c r="AF108" s="42" t="n">
        <v>0.634</v>
      </c>
      <c r="AG108" s="43">
        <f>IFERROR(AVERAGE(AB108:AF108),"")</f>
        <v/>
      </c>
      <c r="AH108" s="42">
        <f>IFERROR(AG108-AA108,"")</f>
        <v/>
      </c>
      <c r="AI108" s="42">
        <f>IFERROR(AG108-O108,"")</f>
        <v/>
      </c>
    </row>
    <row r="109">
      <c r="A109" s="41" t="inlineStr">
        <is>
          <t>sonar</t>
        </is>
      </c>
      <c r="B109" s="42" t="inlineStr">
        <is>
          <t>symmetric</t>
        </is>
      </c>
      <c r="C109" s="42" t="n">
        <v>0.3</v>
      </c>
      <c r="D109" s="42" t="n">
        <v>0.5620000000000001</v>
      </c>
      <c r="E109" s="42" t="n">
        <v>0.578</v>
      </c>
      <c r="F109" s="42" t="n">
        <v>0.5580000000000001</v>
      </c>
      <c r="G109" s="42" t="n">
        <v>0.577</v>
      </c>
      <c r="H109" s="42" t="n">
        <v>0.51</v>
      </c>
      <c r="I109" s="43">
        <f>IFERROR(AVERAGE(D109:H109),"")</f>
        <v/>
      </c>
      <c r="J109" s="42" t="n">
        <v>0.649</v>
      </c>
      <c r="K109" s="42" t="n">
        <v>0.63</v>
      </c>
      <c r="L109" s="42" t="n">
        <v>0.5669999999999999</v>
      </c>
      <c r="M109" s="42" t="n">
        <v>0.572</v>
      </c>
      <c r="N109" s="42" t="n">
        <v>0.62</v>
      </c>
      <c r="O109" s="43">
        <f>IFERROR(AVERAGE(J109:N109),"")</f>
        <v/>
      </c>
      <c r="P109" s="42" t="n">
        <v>0.543</v>
      </c>
      <c r="Q109" s="42" t="n">
        <v>0.62</v>
      </c>
      <c r="R109" s="42" t="n">
        <v>0.6830000000000001</v>
      </c>
      <c r="S109" s="42" t="n">
        <v>0.606</v>
      </c>
      <c r="T109" s="42" t="n">
        <v>0.5590000000000001</v>
      </c>
      <c r="U109" s="43">
        <f>IFERROR(AVERAGE(P109:T109),"")</f>
        <v/>
      </c>
      <c r="V109" s="42" t="n">
        <v>0.635</v>
      </c>
      <c r="W109" s="42" t="n">
        <v>0.582</v>
      </c>
      <c r="X109" s="42" t="n">
        <v>0.578</v>
      </c>
      <c r="Y109" s="42" t="n">
        <v>0.605</v>
      </c>
      <c r="Z109" s="42" t="n">
        <v>0.625</v>
      </c>
      <c r="AA109" s="43">
        <f>IFERROR(AVERAGE(V109:Z109),"")</f>
        <v/>
      </c>
      <c r="AB109" s="42" t="n">
        <v>0.635</v>
      </c>
      <c r="AC109" s="42" t="n">
        <v>0.582</v>
      </c>
      <c r="AD109" s="42" t="n">
        <v>0.578</v>
      </c>
      <c r="AE109" s="42" t="n">
        <v>0.605</v>
      </c>
      <c r="AF109" s="42" t="n">
        <v>0.625</v>
      </c>
      <c r="AG109" s="43">
        <f>IFERROR(AVERAGE(AB109:AF109),"")</f>
        <v/>
      </c>
      <c r="AH109" s="42">
        <f>IFERROR(AG109-AA109,"")</f>
        <v/>
      </c>
      <c r="AI109" s="42">
        <f>IFERROR(AG109-O109,"")</f>
        <v/>
      </c>
    </row>
    <row r="110">
      <c r="A110" s="41" t="inlineStr">
        <is>
          <t>sonar</t>
        </is>
      </c>
      <c r="B110" s="42" t="inlineStr">
        <is>
          <t>symmetric</t>
        </is>
      </c>
      <c r="C110" s="42" t="n">
        <v>0.4</v>
      </c>
      <c r="D110" s="42" t="n">
        <v>0.553</v>
      </c>
      <c r="E110" s="42" t="n">
        <v>0.514</v>
      </c>
      <c r="F110" s="42" t="n">
        <v>0.534</v>
      </c>
      <c r="G110" s="42" t="n">
        <v>0.5669999999999999</v>
      </c>
      <c r="H110" s="42" t="n">
        <v>0.519</v>
      </c>
      <c r="I110" s="43">
        <f>IFERROR(AVERAGE(D110:H110),"")</f>
        <v/>
      </c>
      <c r="J110" s="42" t="n">
        <v>0.505</v>
      </c>
      <c r="K110" s="42" t="n">
        <v>0.5</v>
      </c>
      <c r="L110" s="42" t="n">
        <v>0.529</v>
      </c>
      <c r="M110" s="42" t="n">
        <v>0.548</v>
      </c>
      <c r="N110" s="42" t="n">
        <v>0.62</v>
      </c>
      <c r="O110" s="43">
        <f>IFERROR(AVERAGE(J110:N110),"")</f>
        <v/>
      </c>
      <c r="P110" s="42" t="n">
        <v>0.543</v>
      </c>
      <c r="Q110" s="42" t="n">
        <v>0.543</v>
      </c>
      <c r="R110" s="42" t="n">
        <v>0.543</v>
      </c>
      <c r="S110" s="42" t="n">
        <v>0.5570000000000001</v>
      </c>
      <c r="T110" s="42" t="n">
        <v>0.5570000000000001</v>
      </c>
      <c r="U110" s="43">
        <f>IFERROR(AVERAGE(P110:T110),"")</f>
        <v/>
      </c>
      <c r="V110" s="42" t="n">
        <v>0.548</v>
      </c>
      <c r="W110" s="42" t="n">
        <v>0.49</v>
      </c>
      <c r="X110" s="42" t="n">
        <v>0.506</v>
      </c>
      <c r="Y110" s="42" t="n">
        <v>0.495</v>
      </c>
      <c r="Z110" s="42" t="n">
        <v>0.5620000000000001</v>
      </c>
      <c r="AA110" s="43">
        <f>IFERROR(AVERAGE(V110:Z110),"")</f>
        <v/>
      </c>
      <c r="AB110" s="42" t="n">
        <v>0.548</v>
      </c>
      <c r="AC110" s="42" t="n">
        <v>0.49</v>
      </c>
      <c r="AD110" s="42" t="n">
        <v>0.506</v>
      </c>
      <c r="AE110" s="42" t="n">
        <v>0.495</v>
      </c>
      <c r="AF110" s="42" t="n">
        <v>0.5620000000000001</v>
      </c>
      <c r="AG110" s="43">
        <f>IFERROR(AVERAGE(AB110:AF110),"")</f>
        <v/>
      </c>
      <c r="AH110" s="42">
        <f>IFERROR(AG110-AA110,"")</f>
        <v/>
      </c>
      <c r="AI110" s="42">
        <f>IFERROR(AG110-O110,"")</f>
        <v/>
      </c>
    </row>
    <row r="111">
      <c r="A111" s="41" t="inlineStr">
        <is>
          <t>sonar</t>
        </is>
      </c>
      <c r="B111" s="42" t="inlineStr">
        <is>
          <t>symmetric</t>
        </is>
      </c>
      <c r="C111" s="42" t="n">
        <v>0.5</v>
      </c>
      <c r="D111" s="42" t="n">
        <v>0.466</v>
      </c>
      <c r="E111" s="42" t="n">
        <v>0.52</v>
      </c>
      <c r="F111" s="42" t="n">
        <v>0.509</v>
      </c>
      <c r="G111" s="42" t="n">
        <v>0.5</v>
      </c>
      <c r="H111" s="42" t="n">
        <v>0.573</v>
      </c>
      <c r="I111" s="43">
        <f>IFERROR(AVERAGE(D111:H111),"")</f>
        <v/>
      </c>
      <c r="J111" s="42" t="n">
        <v>0.447</v>
      </c>
      <c r="K111" s="42" t="n">
        <v>0.5669999999999999</v>
      </c>
      <c r="L111" s="42" t="n">
        <v>0.524</v>
      </c>
      <c r="M111" s="42" t="n">
        <v>0.519</v>
      </c>
      <c r="N111" s="42" t="n">
        <v>0.5669999999999999</v>
      </c>
      <c r="O111" s="43">
        <f>IFERROR(AVERAGE(J111:N111),"")</f>
        <v/>
      </c>
      <c r="P111" s="42" t="n">
        <v>0.447</v>
      </c>
      <c r="Q111" s="42" t="n">
        <v>0.553</v>
      </c>
      <c r="R111" s="42" t="n">
        <v>0.481</v>
      </c>
      <c r="S111" s="42" t="n">
        <v>0.5590000000000001</v>
      </c>
      <c r="T111" s="42" t="n">
        <v>0.553</v>
      </c>
      <c r="U111" s="43">
        <f>IFERROR(AVERAGE(P111:T111),"")</f>
        <v/>
      </c>
      <c r="V111" s="42" t="n">
        <v>0.394</v>
      </c>
      <c r="W111" s="42" t="n">
        <v>0.52</v>
      </c>
      <c r="X111" s="42" t="n">
        <v>0.529</v>
      </c>
      <c r="Y111" s="42" t="n">
        <v>0.49</v>
      </c>
      <c r="Z111" s="42" t="n">
        <v>0.586</v>
      </c>
      <c r="AA111" s="43">
        <f>IFERROR(AVERAGE(V111:Z111),"")</f>
        <v/>
      </c>
      <c r="AB111" s="42" t="n">
        <v>0.394</v>
      </c>
      <c r="AC111" s="42" t="n">
        <v>0.52</v>
      </c>
      <c r="AD111" s="42" t="n">
        <v>0.529</v>
      </c>
      <c r="AE111" s="42" t="n">
        <v>0.49</v>
      </c>
      <c r="AF111" s="42" t="n">
        <v>0.586</v>
      </c>
      <c r="AG111" s="43">
        <f>IFERROR(AVERAGE(AB111:AF111),"")</f>
        <v/>
      </c>
      <c r="AH111" s="42">
        <f>IFERROR(AG111-AA111,"")</f>
        <v/>
      </c>
      <c r="AI111" s="42">
        <f>IFERROR(AG111-O111,"")</f>
        <v/>
      </c>
    </row>
    <row r="112">
      <c r="A112" s="41" t="inlineStr">
        <is>
          <t>sonar</t>
        </is>
      </c>
      <c r="B112" s="42" t="inlineStr">
        <is>
          <t>asymmetric</t>
        </is>
      </c>
      <c r="C112" s="42" t="n">
        <v>0.2</v>
      </c>
      <c r="D112" s="42" t="n">
        <v>0.634</v>
      </c>
      <c r="E112" s="42" t="n">
        <v>0.592</v>
      </c>
      <c r="F112" s="42" t="n">
        <v>0.606</v>
      </c>
      <c r="G112" s="42" t="n">
        <v>0.659</v>
      </c>
      <c r="H112" s="42" t="n">
        <v>0.544</v>
      </c>
      <c r="I112" s="43">
        <f>IFERROR(AVERAGE(D112:H112),"")</f>
        <v/>
      </c>
      <c r="J112" s="42" t="n">
        <v>0.639</v>
      </c>
      <c r="K112" s="42" t="n">
        <v>0.63</v>
      </c>
      <c r="L112" s="42" t="n">
        <v>0.634</v>
      </c>
      <c r="M112" s="42" t="n">
        <v>0.624</v>
      </c>
      <c r="N112" s="42" t="n">
        <v>0.611</v>
      </c>
      <c r="O112" s="43">
        <f>IFERROR(AVERAGE(J112:N112),"")</f>
        <v/>
      </c>
      <c r="P112" s="42" t="n">
        <v>0.645</v>
      </c>
      <c r="Q112" s="42" t="n">
        <v>0.606</v>
      </c>
      <c r="R112" s="42" t="n">
        <v>0.677</v>
      </c>
      <c r="S112" s="42" t="n">
        <v>0.62</v>
      </c>
      <c r="T112" s="42" t="n">
        <v>0.62</v>
      </c>
      <c r="U112" s="43">
        <f>IFERROR(AVERAGE(P112:T112),"")</f>
        <v/>
      </c>
      <c r="V112" s="42" t="n">
        <v>0.601</v>
      </c>
      <c r="W112" s="42" t="n">
        <v>0.587</v>
      </c>
      <c r="X112" s="42" t="n">
        <v>0.673</v>
      </c>
      <c r="Y112" s="42" t="n">
        <v>0.625</v>
      </c>
      <c r="Z112" s="42" t="n">
        <v>0.591</v>
      </c>
      <c r="AA112" s="43">
        <f>IFERROR(AVERAGE(V112:Z112),"")</f>
        <v/>
      </c>
      <c r="AB112" s="42" t="n">
        <v>0.601</v>
      </c>
      <c r="AC112" s="42" t="n">
        <v>0.587</v>
      </c>
      <c r="AD112" s="42" t="n">
        <v>0.673</v>
      </c>
      <c r="AE112" s="42" t="n">
        <v>0.625</v>
      </c>
      <c r="AF112" s="42" t="n">
        <v>0.591</v>
      </c>
      <c r="AG112" s="43">
        <f>IFERROR(AVERAGE(AB112:AF112),"")</f>
        <v/>
      </c>
      <c r="AH112" s="42">
        <f>IFERROR(AG112-AA112,"")</f>
        <v/>
      </c>
      <c r="AI112" s="42">
        <f>IFERROR(AG112-O112,"")</f>
        <v/>
      </c>
    </row>
    <row r="113">
      <c r="A113" s="41" t="inlineStr">
        <is>
          <t>sonar</t>
        </is>
      </c>
      <c r="B113" s="42" t="inlineStr">
        <is>
          <t>asymmetric</t>
        </is>
      </c>
      <c r="C113" s="42" t="n">
        <v>0.3</v>
      </c>
      <c r="D113" s="42" t="n">
        <v>0.5629999999999999</v>
      </c>
      <c r="E113" s="42" t="n">
        <v>0.591</v>
      </c>
      <c r="F113" s="42" t="n">
        <v>0.601</v>
      </c>
      <c r="G113" s="42" t="n">
        <v>0.6</v>
      </c>
      <c r="H113" s="42" t="n">
        <v>0.554</v>
      </c>
      <c r="I113" s="43">
        <f>IFERROR(AVERAGE(D113:H113),"")</f>
        <v/>
      </c>
      <c r="J113" s="42" t="n">
        <v>0.644</v>
      </c>
      <c r="K113" s="42" t="n">
        <v>0.644</v>
      </c>
      <c r="L113" s="42" t="n">
        <v>0.678</v>
      </c>
      <c r="M113" s="42" t="n">
        <v>0.6870000000000001</v>
      </c>
      <c r="N113" s="42" t="n">
        <v>0.572</v>
      </c>
      <c r="O113" s="43">
        <f>IFERROR(AVERAGE(J113:N113),"")</f>
        <v/>
      </c>
      <c r="P113" s="42" t="n">
        <v>0.572</v>
      </c>
      <c r="Q113" s="42" t="n">
        <v>0.616</v>
      </c>
      <c r="R113" s="42" t="n">
        <v>0.625</v>
      </c>
      <c r="S113" s="42" t="n">
        <v>0.639</v>
      </c>
      <c r="T113" s="42" t="n">
        <v>0.548</v>
      </c>
      <c r="U113" s="43">
        <f>IFERROR(AVERAGE(P113:T113),"")</f>
        <v/>
      </c>
      <c r="V113" s="42" t="n">
        <v>0.62</v>
      </c>
      <c r="W113" s="42" t="n">
        <v>0.548</v>
      </c>
      <c r="X113" s="42" t="n">
        <v>0.616</v>
      </c>
      <c r="Y113" s="42" t="n">
        <v>0.644</v>
      </c>
      <c r="Z113" s="42" t="n">
        <v>0.5629999999999999</v>
      </c>
      <c r="AA113" s="43">
        <f>IFERROR(AVERAGE(V113:Z113),"")</f>
        <v/>
      </c>
      <c r="AB113" s="42" t="n">
        <v>0.62</v>
      </c>
      <c r="AC113" s="42" t="n">
        <v>0.548</v>
      </c>
      <c r="AD113" s="42" t="n">
        <v>0.616</v>
      </c>
      <c r="AE113" s="42" t="n">
        <v>0.644</v>
      </c>
      <c r="AF113" s="42" t="n">
        <v>0.5629999999999999</v>
      </c>
      <c r="AG113" s="43">
        <f>IFERROR(AVERAGE(AB113:AF113),"")</f>
        <v/>
      </c>
      <c r="AH113" s="42">
        <f>IFERROR(AG113-AA113,"")</f>
        <v/>
      </c>
      <c r="AI113" s="42">
        <f>IFERROR(AG113-O113,"")</f>
        <v/>
      </c>
    </row>
    <row r="114">
      <c r="A114" s="41" t="inlineStr">
        <is>
          <t>sonar</t>
        </is>
      </c>
      <c r="B114" s="42" t="inlineStr">
        <is>
          <t>asymmetric</t>
        </is>
      </c>
      <c r="C114" s="42" t="n">
        <v>0.4</v>
      </c>
      <c r="D114" s="42" t="n">
        <v>0.5620000000000001</v>
      </c>
      <c r="E114" s="42" t="n">
        <v>0.602</v>
      </c>
      <c r="F114" s="42" t="n">
        <v>0.572</v>
      </c>
      <c r="G114" s="42" t="n">
        <v>0.5620000000000001</v>
      </c>
      <c r="H114" s="42" t="n">
        <v>0.554</v>
      </c>
      <c r="I114" s="43">
        <f>IFERROR(AVERAGE(D114:H114),"")</f>
        <v/>
      </c>
      <c r="J114" s="42" t="n">
        <v>0.601</v>
      </c>
      <c r="K114" s="42" t="n">
        <v>0.5580000000000001</v>
      </c>
      <c r="L114" s="42" t="n">
        <v>0.62</v>
      </c>
      <c r="M114" s="42" t="n">
        <v>0.586</v>
      </c>
      <c r="N114" s="42" t="n">
        <v>0.606</v>
      </c>
      <c r="O114" s="43">
        <f>IFERROR(AVERAGE(J114:N114),"")</f>
        <v/>
      </c>
      <c r="P114" s="42" t="n">
        <v>0.533</v>
      </c>
      <c r="Q114" s="42" t="n">
        <v>0.539</v>
      </c>
      <c r="R114" s="42" t="n">
        <v>0.5570000000000001</v>
      </c>
      <c r="S114" s="42" t="n">
        <v>0.543</v>
      </c>
      <c r="T114" s="42" t="n">
        <v>0.605</v>
      </c>
      <c r="U114" s="43">
        <f>IFERROR(AVERAGE(P114:T114),"")</f>
        <v/>
      </c>
      <c r="V114" s="42" t="n">
        <v>0.514</v>
      </c>
      <c r="W114" s="42" t="n">
        <v>0.501</v>
      </c>
      <c r="X114" s="42" t="n">
        <v>0.582</v>
      </c>
      <c r="Y114" s="42" t="n">
        <v>0.5570000000000001</v>
      </c>
      <c r="Z114" s="42" t="n">
        <v>0.595</v>
      </c>
      <c r="AA114" s="43">
        <f>IFERROR(AVERAGE(V114:Z114),"")</f>
        <v/>
      </c>
      <c r="AB114" s="42" t="n">
        <v>0.514</v>
      </c>
      <c r="AC114" s="42" t="n">
        <v>0.501</v>
      </c>
      <c r="AD114" s="42" t="n">
        <v>0.582</v>
      </c>
      <c r="AE114" s="42" t="n">
        <v>0.5570000000000001</v>
      </c>
      <c r="AF114" s="42" t="n">
        <v>0.595</v>
      </c>
      <c r="AG114" s="43">
        <f>IFERROR(AVERAGE(AB114:AF114),"")</f>
        <v/>
      </c>
      <c r="AH114" s="42">
        <f>IFERROR(AG114-AA114,"")</f>
        <v/>
      </c>
      <c r="AI114" s="42">
        <f>IFERROR(AG114-O114,"")</f>
        <v/>
      </c>
    </row>
    <row r="115">
      <c r="A115" s="41" t="inlineStr">
        <is>
          <t>sonar</t>
        </is>
      </c>
      <c r="B115" s="42" t="inlineStr">
        <is>
          <t>asymmetric</t>
        </is>
      </c>
      <c r="C115" s="42" t="n">
        <v>0.5</v>
      </c>
      <c r="D115" s="42" t="n">
        <v>0.529</v>
      </c>
      <c r="E115" s="42" t="n">
        <v>0.533</v>
      </c>
      <c r="F115" s="42" t="n">
        <v>0.515</v>
      </c>
      <c r="G115" s="42" t="n">
        <v>0.5</v>
      </c>
      <c r="H115" s="42" t="n">
        <v>0.553</v>
      </c>
      <c r="I115" s="43">
        <f>IFERROR(AVERAGE(D115:H115),"")</f>
        <v/>
      </c>
      <c r="J115" s="42" t="n">
        <v>0.572</v>
      </c>
      <c r="K115" s="42" t="n">
        <v>0.582</v>
      </c>
      <c r="L115" s="42" t="n">
        <v>0.5669999999999999</v>
      </c>
      <c r="M115" s="42" t="n">
        <v>0.595</v>
      </c>
      <c r="N115" s="42" t="n">
        <v>0.577</v>
      </c>
      <c r="O115" s="43">
        <f>IFERROR(AVERAGE(J115:N115),"")</f>
        <v/>
      </c>
      <c r="P115" s="42" t="n"/>
      <c r="Q115" s="42" t="n"/>
      <c r="R115" s="42" t="n"/>
      <c r="S115" s="42" t="n"/>
      <c r="T115" s="42" t="n"/>
      <c r="U115" s="43">
        <f>IFERROR(AVERAGE(P115:T115),"")</f>
        <v/>
      </c>
      <c r="V115" s="42" t="n"/>
      <c r="W115" s="42" t="n"/>
      <c r="X115" s="42" t="n"/>
      <c r="Y115" s="42" t="n"/>
      <c r="Z115" s="42" t="n"/>
      <c r="AA115" s="43">
        <f>IFERROR(AVERAGE(V115:Z115),"")</f>
        <v/>
      </c>
      <c r="AB115" s="42" t="n">
        <v>0.596</v>
      </c>
      <c r="AC115" s="42" t="n">
        <v>0.591</v>
      </c>
      <c r="AD115" s="42" t="n">
        <v>0.534</v>
      </c>
      <c r="AE115" s="42" t="n">
        <v>0.672</v>
      </c>
      <c r="AF115" s="42" t="n">
        <v>0.615</v>
      </c>
      <c r="AG115" s="43">
        <f>IFERROR(AVERAGE(AB115:AF115),"")</f>
        <v/>
      </c>
      <c r="AH115" s="42">
        <f>IFERROR(AG115-AA115,"")</f>
        <v/>
      </c>
      <c r="AI115" s="42">
        <f>IFERROR(AG115-O115,"")</f>
        <v/>
      </c>
    </row>
    <row r="116">
      <c r="A116" s="41" t="inlineStr">
        <is>
          <t>sonar</t>
        </is>
      </c>
      <c r="B116" s="42" t="inlineStr">
        <is>
          <t>boundary</t>
        </is>
      </c>
      <c r="C116" s="42" t="n">
        <v>0.2</v>
      </c>
      <c r="D116" s="42" t="n">
        <v>0.625</v>
      </c>
      <c r="E116" s="42" t="n">
        <v>0.62</v>
      </c>
      <c r="F116" s="42" t="n">
        <v>0.664</v>
      </c>
      <c r="G116" s="42" t="n">
        <v>0.697</v>
      </c>
      <c r="H116" s="42" t="n">
        <v>0.61</v>
      </c>
      <c r="I116" s="43">
        <f>IFERROR(AVERAGE(D116:H116),"")</f>
        <v/>
      </c>
      <c r="J116" s="42" t="n">
        <v>0.707</v>
      </c>
      <c r="K116" s="42" t="n">
        <v>0.6879999999999999</v>
      </c>
      <c r="L116" s="42" t="n">
        <v>0.784</v>
      </c>
      <c r="M116" s="42" t="n">
        <v>0.711</v>
      </c>
      <c r="N116" s="42" t="n">
        <v>0.707</v>
      </c>
      <c r="O116" s="43">
        <f>IFERROR(AVERAGE(J116:N116),"")</f>
        <v/>
      </c>
      <c r="P116" s="42" t="n">
        <v>0.6929999999999999</v>
      </c>
      <c r="Q116" s="42" t="n">
        <v>0.6879999999999999</v>
      </c>
      <c r="R116" s="42" t="n">
        <v>0.678</v>
      </c>
      <c r="S116" s="42" t="n">
        <v>0.668</v>
      </c>
      <c r="T116" s="42" t="n">
        <v>0.645</v>
      </c>
      <c r="U116" s="43">
        <f>IFERROR(AVERAGE(P116:T116),"")</f>
        <v/>
      </c>
      <c r="V116" s="42" t="n">
        <v>0.649</v>
      </c>
      <c r="W116" s="42" t="n">
        <v>0.702</v>
      </c>
      <c r="X116" s="42" t="n">
        <v>0.654</v>
      </c>
      <c r="Y116" s="42" t="n">
        <v>0.663</v>
      </c>
      <c r="Z116" s="42" t="n">
        <v>0.6879999999999999</v>
      </c>
      <c r="AA116" s="43">
        <f>IFERROR(AVERAGE(V116:Z116),"")</f>
        <v/>
      </c>
      <c r="AB116" s="42" t="n">
        <v>0.649</v>
      </c>
      <c r="AC116" s="42" t="n">
        <v>0.702</v>
      </c>
      <c r="AD116" s="42" t="n">
        <v>0.654</v>
      </c>
      <c r="AE116" s="42" t="n">
        <v>0.663</v>
      </c>
      <c r="AF116" s="42" t="n">
        <v>0.6879999999999999</v>
      </c>
      <c r="AG116" s="43">
        <f>IFERROR(AVERAGE(AB116:AF116),"")</f>
        <v/>
      </c>
      <c r="AH116" s="42">
        <f>IFERROR(AG116-AA116,"")</f>
        <v/>
      </c>
      <c r="AI116" s="42">
        <f>IFERROR(AG116-O116,"")</f>
        <v/>
      </c>
    </row>
    <row r="117">
      <c r="A117" s="41" t="inlineStr">
        <is>
          <t>sonar</t>
        </is>
      </c>
      <c r="B117" s="42" t="inlineStr">
        <is>
          <t>boundary</t>
        </is>
      </c>
      <c r="C117" s="42" t="n">
        <v>0.3</v>
      </c>
      <c r="D117" s="42" t="n">
        <v>0.606</v>
      </c>
      <c r="E117" s="42" t="n">
        <v>0.581</v>
      </c>
      <c r="F117" s="42" t="n">
        <v>0.6830000000000001</v>
      </c>
      <c r="G117" s="42" t="n">
        <v>0.6870000000000001</v>
      </c>
      <c r="H117" s="42" t="n">
        <v>0.664</v>
      </c>
      <c r="I117" s="43">
        <f>IFERROR(AVERAGE(D117:H117),"")</f>
        <v/>
      </c>
      <c r="J117" s="42" t="n">
        <v>0.624</v>
      </c>
      <c r="K117" s="42" t="n">
        <v>0.615</v>
      </c>
      <c r="L117" s="42" t="n">
        <v>0.664</v>
      </c>
      <c r="M117" s="42" t="n">
        <v>0.644</v>
      </c>
      <c r="N117" s="42" t="n">
        <v>0.677</v>
      </c>
      <c r="O117" s="43">
        <f>IFERROR(AVERAGE(J117:N117),"")</f>
        <v/>
      </c>
      <c r="P117" s="42" t="n">
        <v>0.629</v>
      </c>
      <c r="Q117" s="42" t="n">
        <v>0.639</v>
      </c>
      <c r="R117" s="42" t="n">
        <v>0.669</v>
      </c>
      <c r="S117" s="42" t="n">
        <v>0.62</v>
      </c>
      <c r="T117" s="42" t="n">
        <v>0.601</v>
      </c>
      <c r="U117" s="43">
        <f>IFERROR(AVERAGE(P117:T117),"")</f>
        <v/>
      </c>
      <c r="V117" s="42" t="n">
        <v>0.596</v>
      </c>
      <c r="W117" s="42" t="n">
        <v>0.592</v>
      </c>
      <c r="X117" s="42" t="n">
        <v>0.616</v>
      </c>
      <c r="Y117" s="42" t="n">
        <v>0.634</v>
      </c>
      <c r="Z117" s="42" t="n">
        <v>0.673</v>
      </c>
      <c r="AA117" s="43">
        <f>IFERROR(AVERAGE(V117:Z117),"")</f>
        <v/>
      </c>
      <c r="AB117" s="42" t="n">
        <v>0.596</v>
      </c>
      <c r="AC117" s="42" t="n">
        <v>0.592</v>
      </c>
      <c r="AD117" s="42" t="n">
        <v>0.616</v>
      </c>
      <c r="AE117" s="42" t="n">
        <v>0.634</v>
      </c>
      <c r="AF117" s="42" t="n">
        <v>0.673</v>
      </c>
      <c r="AG117" s="43">
        <f>IFERROR(AVERAGE(AB117:AF117),"")</f>
        <v/>
      </c>
      <c r="AH117" s="42">
        <f>IFERROR(AG117-AA117,"")</f>
        <v/>
      </c>
      <c r="AI117" s="42">
        <f>IFERROR(AG117-O117,"")</f>
        <v/>
      </c>
    </row>
    <row r="118">
      <c r="A118" s="41" t="inlineStr">
        <is>
          <t>sonar</t>
        </is>
      </c>
      <c r="B118" s="42" t="inlineStr">
        <is>
          <t>boundary</t>
        </is>
      </c>
      <c r="C118" s="42" t="n">
        <v>0.4</v>
      </c>
      <c r="D118" s="42" t="n">
        <v>0.548</v>
      </c>
      <c r="E118" s="42" t="n">
        <v>0.548</v>
      </c>
      <c r="F118" s="42" t="n">
        <v>0.577</v>
      </c>
      <c r="G118" s="42" t="n">
        <v>0.611</v>
      </c>
      <c r="H118" s="42" t="n">
        <v>0.602</v>
      </c>
      <c r="I118" s="43">
        <f>IFERROR(AVERAGE(D118:H118),"")</f>
        <v/>
      </c>
      <c r="J118" s="42" t="n">
        <v>0.606</v>
      </c>
      <c r="K118" s="42" t="n">
        <v>0.625</v>
      </c>
      <c r="L118" s="42" t="n">
        <v>0.601</v>
      </c>
      <c r="M118" s="42" t="n">
        <v>0.649</v>
      </c>
      <c r="N118" s="42" t="n">
        <v>0.658</v>
      </c>
      <c r="O118" s="43">
        <f>IFERROR(AVERAGE(J118:N118),"")</f>
        <v/>
      </c>
      <c r="P118" s="42" t="n">
        <v>0.5620000000000001</v>
      </c>
      <c r="Q118" s="42" t="n">
        <v>0.582</v>
      </c>
      <c r="R118" s="42" t="n">
        <v>0.543</v>
      </c>
      <c r="S118" s="42" t="n">
        <v>0.5570000000000001</v>
      </c>
      <c r="T118" s="42" t="n">
        <v>0.5669999999999999</v>
      </c>
      <c r="U118" s="43">
        <f>IFERROR(AVERAGE(P118:T118),"")</f>
        <v/>
      </c>
      <c r="V118" s="42" t="n">
        <v>0.587</v>
      </c>
      <c r="W118" s="42" t="n">
        <v>0.62</v>
      </c>
      <c r="X118" s="42" t="n">
        <v>0.644</v>
      </c>
      <c r="Y118" s="42" t="n">
        <v>0.668</v>
      </c>
      <c r="Z118" s="42" t="n">
        <v>0.63</v>
      </c>
      <c r="AA118" s="43">
        <f>IFERROR(AVERAGE(V118:Z118),"")</f>
        <v/>
      </c>
      <c r="AB118" s="42" t="n">
        <v>0.587</v>
      </c>
      <c r="AC118" s="42" t="n">
        <v>0.62</v>
      </c>
      <c r="AD118" s="42" t="n">
        <v>0.644</v>
      </c>
      <c r="AE118" s="42" t="n">
        <v>0.668</v>
      </c>
      <c r="AF118" s="42" t="n">
        <v>0.63</v>
      </c>
      <c r="AG118" s="43">
        <f>IFERROR(AVERAGE(AB118:AF118),"")</f>
        <v/>
      </c>
      <c r="AH118" s="42">
        <f>IFERROR(AG118-AA118,"")</f>
        <v/>
      </c>
      <c r="AI118" s="42">
        <f>IFERROR(AG118-O118,"")</f>
        <v/>
      </c>
    </row>
    <row r="119">
      <c r="A119" s="41" t="inlineStr">
        <is>
          <t>sonar</t>
        </is>
      </c>
      <c r="B119" s="42" t="inlineStr">
        <is>
          <t>boundary</t>
        </is>
      </c>
      <c r="C119" s="42" t="n">
        <v>0.5</v>
      </c>
      <c r="D119" s="42" t="n">
        <v>0.505</v>
      </c>
      <c r="E119" s="42" t="n">
        <v>0.553</v>
      </c>
      <c r="F119" s="42" t="n">
        <v>0.509</v>
      </c>
      <c r="G119" s="42" t="n">
        <v>0.475</v>
      </c>
      <c r="H119" s="42" t="n">
        <v>0.49</v>
      </c>
      <c r="I119" s="43">
        <f>IFERROR(AVERAGE(D119:H119),"")</f>
        <v/>
      </c>
      <c r="J119" s="42" t="n">
        <v>0.51</v>
      </c>
      <c r="K119" s="42" t="n">
        <v>0.481</v>
      </c>
      <c r="L119" s="42" t="n">
        <v>0.523</v>
      </c>
      <c r="M119" s="42" t="n">
        <v>0.48</v>
      </c>
      <c r="N119" s="42" t="n">
        <v>0.495</v>
      </c>
      <c r="O119" s="43">
        <f>IFERROR(AVERAGE(J119:N119),"")</f>
        <v/>
      </c>
      <c r="P119" s="42" t="n">
        <v>0.515</v>
      </c>
      <c r="Q119" s="42" t="n">
        <v>0.576</v>
      </c>
      <c r="R119" s="42" t="n">
        <v>0.495</v>
      </c>
      <c r="S119" s="42" t="n">
        <v>0.494</v>
      </c>
      <c r="T119" s="42" t="n">
        <v>0.475</v>
      </c>
      <c r="U119" s="43">
        <f>IFERROR(AVERAGE(P119:T119),"")</f>
        <v/>
      </c>
      <c r="V119" s="42" t="n">
        <v>0.519</v>
      </c>
      <c r="W119" s="42" t="n">
        <v>0.5</v>
      </c>
      <c r="X119" s="42" t="n">
        <v>0.466</v>
      </c>
      <c r="Y119" s="42" t="n">
        <v>0.552</v>
      </c>
      <c r="Z119" s="42" t="n">
        <v>0.553</v>
      </c>
      <c r="AA119" s="43">
        <f>IFERROR(AVERAGE(V119:Z119),"")</f>
        <v/>
      </c>
      <c r="AB119" s="42" t="n">
        <v>0.519</v>
      </c>
      <c r="AC119" s="42" t="n">
        <v>0.5</v>
      </c>
      <c r="AD119" s="42" t="n">
        <v>0.466</v>
      </c>
      <c r="AE119" s="42" t="n">
        <v>0.552</v>
      </c>
      <c r="AF119" s="42" t="n">
        <v>0.553</v>
      </c>
      <c r="AG119" s="43">
        <f>IFERROR(AVERAGE(AB119:AF119),"")</f>
        <v/>
      </c>
      <c r="AH119" s="42">
        <f>IFERROR(AG119-AA119,"")</f>
        <v/>
      </c>
      <c r="AI119" s="42">
        <f>IFERROR(AG119-O119,"")</f>
        <v/>
      </c>
    </row>
    <row r="120">
      <c r="A120" s="41" t="inlineStr">
        <is>
          <t>sonar</t>
        </is>
      </c>
      <c r="B120" s="42" t="inlineStr">
        <is>
          <t>far</t>
        </is>
      </c>
      <c r="C120" s="42" t="n">
        <v>0.2</v>
      </c>
      <c r="D120" s="42" t="n">
        <v>0.591</v>
      </c>
      <c r="E120" s="42" t="n">
        <v>0.602</v>
      </c>
      <c r="F120" s="42" t="n">
        <v>0.601</v>
      </c>
      <c r="G120" s="42" t="n">
        <v>0.543</v>
      </c>
      <c r="H120" s="42" t="n">
        <v>0.649</v>
      </c>
      <c r="I120" s="43">
        <f>IFERROR(AVERAGE(D120:H120),"")</f>
        <v/>
      </c>
      <c r="J120" s="42" t="n">
        <v>0.63</v>
      </c>
      <c r="K120" s="42" t="n">
        <v>0.645</v>
      </c>
      <c r="L120" s="42" t="n">
        <v>0.716</v>
      </c>
      <c r="M120" s="42" t="n">
        <v>0.677</v>
      </c>
      <c r="N120" s="42" t="n">
        <v>0.659</v>
      </c>
      <c r="O120" s="43">
        <f>IFERROR(AVERAGE(J120:N120),"")</f>
        <v/>
      </c>
      <c r="P120" s="42" t="n">
        <v>0.554</v>
      </c>
      <c r="Q120" s="42" t="n">
        <v>0.582</v>
      </c>
      <c r="R120" s="42" t="n">
        <v>0.534</v>
      </c>
      <c r="S120" s="42" t="n">
        <v>0.601</v>
      </c>
      <c r="T120" s="42" t="n">
        <v>0.62</v>
      </c>
      <c r="U120" s="43">
        <f>IFERROR(AVERAGE(P120:T120),"")</f>
        <v/>
      </c>
      <c r="V120" s="42" t="n">
        <v>0.5679999999999999</v>
      </c>
      <c r="W120" s="42" t="n">
        <v>0.606</v>
      </c>
      <c r="X120" s="42" t="n">
        <v>0.519</v>
      </c>
      <c r="Y120" s="42" t="n">
        <v>0.62</v>
      </c>
      <c r="Z120" s="42" t="n">
        <v>0.639</v>
      </c>
      <c r="AA120" s="43">
        <f>IFERROR(AVERAGE(V120:Z120),"")</f>
        <v/>
      </c>
      <c r="AB120" s="42" t="n">
        <v>0.5679999999999999</v>
      </c>
      <c r="AC120" s="42" t="n">
        <v>0.606</v>
      </c>
      <c r="AD120" s="42" t="n">
        <v>0.519</v>
      </c>
      <c r="AE120" s="42" t="n">
        <v>0.62</v>
      </c>
      <c r="AF120" s="42" t="n">
        <v>0.639</v>
      </c>
      <c r="AG120" s="43">
        <f>IFERROR(AVERAGE(AB120:AF120),"")</f>
        <v/>
      </c>
      <c r="AH120" s="42">
        <f>IFERROR(AG120-AA120,"")</f>
        <v/>
      </c>
      <c r="AI120" s="42">
        <f>IFERROR(AG120-O120,"")</f>
        <v/>
      </c>
    </row>
    <row r="121">
      <c r="A121" s="41" t="inlineStr">
        <is>
          <t>sonar</t>
        </is>
      </c>
      <c r="B121" s="42" t="inlineStr">
        <is>
          <t>far</t>
        </is>
      </c>
      <c r="C121" s="42" t="n">
        <v>0.3</v>
      </c>
      <c r="D121" s="42" t="n">
        <v>0.5679999999999999</v>
      </c>
      <c r="E121" s="42" t="n">
        <v>0.572</v>
      </c>
      <c r="F121" s="42" t="n">
        <v>0.5</v>
      </c>
      <c r="G121" s="42" t="n">
        <v>0.5629999999999999</v>
      </c>
      <c r="H121" s="42" t="n">
        <v>0.51</v>
      </c>
      <c r="I121" s="43">
        <f>IFERROR(AVERAGE(D121:H121),"")</f>
        <v/>
      </c>
      <c r="J121" s="42" t="n">
        <v>0.639</v>
      </c>
      <c r="K121" s="42" t="n">
        <v>0.616</v>
      </c>
      <c r="L121" s="42" t="n">
        <v>0.649</v>
      </c>
      <c r="M121" s="42" t="n">
        <v>0.678</v>
      </c>
      <c r="N121" s="42" t="n">
        <v>0.591</v>
      </c>
      <c r="O121" s="43">
        <f>IFERROR(AVERAGE(J121:N121),"")</f>
        <v/>
      </c>
      <c r="P121" s="42" t="n">
        <v>0.534</v>
      </c>
      <c r="Q121" s="42" t="n">
        <v>0.548</v>
      </c>
      <c r="R121" s="42" t="n">
        <v>0.591</v>
      </c>
      <c r="S121" s="42" t="n">
        <v>0.519</v>
      </c>
      <c r="T121" s="42" t="n">
        <v>0.552</v>
      </c>
      <c r="U121" s="43">
        <f>IFERROR(AVERAGE(P121:T121),"")</f>
        <v/>
      </c>
      <c r="V121" s="42" t="n">
        <v>0.5679999999999999</v>
      </c>
      <c r="W121" s="42" t="n">
        <v>0.606</v>
      </c>
      <c r="X121" s="42" t="n">
        <v>0.581</v>
      </c>
      <c r="Y121" s="42" t="n">
        <v>0.582</v>
      </c>
      <c r="Z121" s="42" t="n">
        <v>0.586</v>
      </c>
      <c r="AA121" s="43">
        <f>IFERROR(AVERAGE(V121:Z121),"")</f>
        <v/>
      </c>
      <c r="AB121" s="42" t="n">
        <v>0.5679999999999999</v>
      </c>
      <c r="AC121" s="42" t="n">
        <v>0.606</v>
      </c>
      <c r="AD121" s="42" t="n">
        <v>0.581</v>
      </c>
      <c r="AE121" s="42" t="n">
        <v>0.582</v>
      </c>
      <c r="AF121" s="42" t="n">
        <v>0.586</v>
      </c>
      <c r="AG121" s="43">
        <f>IFERROR(AVERAGE(AB121:AF121),"")</f>
        <v/>
      </c>
      <c r="AH121" s="42">
        <f>IFERROR(AG121-AA121,"")</f>
        <v/>
      </c>
      <c r="AI121" s="42">
        <f>IFERROR(AG121-O121,"")</f>
        <v/>
      </c>
    </row>
    <row r="122">
      <c r="A122" s="41" t="inlineStr">
        <is>
          <t>sonar</t>
        </is>
      </c>
      <c r="B122" s="42" t="inlineStr">
        <is>
          <t>far</t>
        </is>
      </c>
      <c r="C122" s="42" t="n">
        <v>0.4</v>
      </c>
      <c r="D122" s="42" t="n">
        <v>0.499</v>
      </c>
      <c r="E122" s="42" t="n">
        <v>0.524</v>
      </c>
      <c r="F122" s="42" t="n">
        <v>0.577</v>
      </c>
      <c r="G122" s="42" t="n">
        <v>0.539</v>
      </c>
      <c r="H122" s="42" t="n">
        <v>0.573</v>
      </c>
      <c r="I122" s="43">
        <f>IFERROR(AVERAGE(D122:H122),"")</f>
        <v/>
      </c>
      <c r="J122" s="42" t="n">
        <v>0.615</v>
      </c>
      <c r="K122" s="42" t="n">
        <v>0.523</v>
      </c>
      <c r="L122" s="42" t="n">
        <v>0.596</v>
      </c>
      <c r="M122" s="42" t="n">
        <v>0.592</v>
      </c>
      <c r="N122" s="42" t="n">
        <v>0.606</v>
      </c>
      <c r="O122" s="43">
        <f>IFERROR(AVERAGE(J122:N122),"")</f>
        <v/>
      </c>
      <c r="P122" s="42" t="n">
        <v>0.5620000000000001</v>
      </c>
      <c r="Q122" s="42" t="n">
        <v>0.548</v>
      </c>
      <c r="R122" s="42" t="n">
        <v>0.548</v>
      </c>
      <c r="S122" s="42" t="n">
        <v>0.529</v>
      </c>
      <c r="T122" s="42" t="n">
        <v>0.519</v>
      </c>
      <c r="U122" s="43">
        <f>IFERROR(AVERAGE(P122:T122),"")</f>
        <v/>
      </c>
      <c r="V122" s="42" t="n">
        <v>0.591</v>
      </c>
      <c r="W122" s="42" t="n">
        <v>0.514</v>
      </c>
      <c r="X122" s="42" t="n">
        <v>0.544</v>
      </c>
      <c r="Y122" s="42" t="n">
        <v>0.5620000000000001</v>
      </c>
      <c r="Z122" s="42" t="n">
        <v>0.596</v>
      </c>
      <c r="AA122" s="43">
        <f>IFERROR(AVERAGE(V122:Z122),"")</f>
        <v/>
      </c>
      <c r="AB122" s="42" t="n">
        <v>0.591</v>
      </c>
      <c r="AC122" s="42" t="n">
        <v>0.514</v>
      </c>
      <c r="AD122" s="42" t="n">
        <v>0.544</v>
      </c>
      <c r="AE122" s="42" t="n">
        <v>0.5620000000000001</v>
      </c>
      <c r="AF122" s="42" t="n">
        <v>0.596</v>
      </c>
      <c r="AG122" s="43">
        <f>IFERROR(AVERAGE(AB122:AF122),"")</f>
        <v/>
      </c>
      <c r="AH122" s="42">
        <f>IFERROR(AG122-AA122,"")</f>
        <v/>
      </c>
      <c r="AI122" s="42">
        <f>IFERROR(AG122-O122,"")</f>
        <v/>
      </c>
    </row>
    <row r="123">
      <c r="A123" s="41" t="inlineStr">
        <is>
          <t>sonar</t>
        </is>
      </c>
      <c r="B123" s="42" t="inlineStr">
        <is>
          <t>far</t>
        </is>
      </c>
      <c r="C123" s="42" t="n">
        <v>0.5</v>
      </c>
      <c r="D123" s="42" t="n">
        <v>0.485</v>
      </c>
      <c r="E123" s="42" t="n">
        <v>0.529</v>
      </c>
      <c r="F123" s="42" t="n">
        <v>0.519</v>
      </c>
      <c r="G123" s="42" t="n">
        <v>0.529</v>
      </c>
      <c r="H123" s="42" t="n">
        <v>0.496</v>
      </c>
      <c r="I123" s="43">
        <f>IFERROR(AVERAGE(D123:H123),"")</f>
        <v/>
      </c>
      <c r="J123" s="42" t="n">
        <v>0.519</v>
      </c>
      <c r="K123" s="42" t="n">
        <v>0.5580000000000001</v>
      </c>
      <c r="L123" s="42" t="n">
        <v>0.543</v>
      </c>
      <c r="M123" s="42" t="n">
        <v>0.5580000000000001</v>
      </c>
      <c r="N123" s="42" t="n">
        <v>0.499</v>
      </c>
      <c r="O123" s="43">
        <f>IFERROR(AVERAGE(J123:N123),"")</f>
        <v/>
      </c>
      <c r="P123" s="42" t="n">
        <v>0.548</v>
      </c>
      <c r="Q123" s="42" t="n">
        <v>0.534</v>
      </c>
      <c r="R123" s="42" t="n">
        <v>0.466</v>
      </c>
      <c r="S123" s="42" t="n">
        <v>0.548</v>
      </c>
      <c r="T123" s="42" t="n">
        <v>0.592</v>
      </c>
      <c r="U123" s="43">
        <f>IFERROR(AVERAGE(P123:T123),"")</f>
        <v/>
      </c>
      <c r="V123" s="42" t="n">
        <v>0.533</v>
      </c>
      <c r="W123" s="42" t="n">
        <v>0.471</v>
      </c>
      <c r="X123" s="42" t="n">
        <v>0.428</v>
      </c>
      <c r="Y123" s="42" t="n">
        <v>0.509</v>
      </c>
      <c r="Z123" s="42" t="n">
        <v>0.5</v>
      </c>
      <c r="AA123" s="43">
        <f>IFERROR(AVERAGE(V123:Z123),"")</f>
        <v/>
      </c>
      <c r="AB123" s="42" t="n">
        <v>0.533</v>
      </c>
      <c r="AC123" s="42" t="n">
        <v>0.471</v>
      </c>
      <c r="AD123" s="42" t="n">
        <v>0.428</v>
      </c>
      <c r="AE123" s="42" t="n">
        <v>0.509</v>
      </c>
      <c r="AF123" s="42" t="n">
        <v>0.5</v>
      </c>
      <c r="AG123" s="43">
        <f>IFERROR(AVERAGE(AB123:AF123),"")</f>
        <v/>
      </c>
      <c r="AH123" s="42">
        <f>IFERROR(AG123-AA123,"")</f>
        <v/>
      </c>
      <c r="AI123" s="42">
        <f>IFERROR(AG123-O123,"")</f>
        <v/>
      </c>
    </row>
    <row r="124">
      <c r="A124" s="41" t="inlineStr">
        <is>
          <t>banknote</t>
        </is>
      </c>
      <c r="B124" s="42" t="inlineStr">
        <is>
          <t>(clean)</t>
        </is>
      </c>
      <c r="C124" s="42" t="n">
        <v>0</v>
      </c>
      <c r="D124" s="42" t="n">
        <v>0.976</v>
      </c>
      <c r="E124" s="42" t="n">
        <v>0.978</v>
      </c>
      <c r="F124" s="42" t="n">
        <v>0.973</v>
      </c>
      <c r="G124" s="42" t="n">
        <v>0.977</v>
      </c>
      <c r="H124" s="42" t="n">
        <v>0.975</v>
      </c>
      <c r="I124" s="43">
        <f>IFERROR(AVERAGE(D124:H124),"")</f>
        <v/>
      </c>
      <c r="J124" s="42" t="n">
        <v>0.98</v>
      </c>
      <c r="K124" s="42" t="n">
        <v>0.984</v>
      </c>
      <c r="L124" s="42" t="n">
        <v>0.98</v>
      </c>
      <c r="M124" s="42" t="n">
        <v>0.985</v>
      </c>
      <c r="N124" s="42" t="n">
        <v>0.983</v>
      </c>
      <c r="O124" s="43">
        <f>IFERROR(AVERAGE(J124:N124),"")</f>
        <v/>
      </c>
      <c r="P124" s="42" t="n">
        <v>0.9370000000000001</v>
      </c>
      <c r="Q124" s="42" t="n">
        <v>0.924</v>
      </c>
      <c r="R124" s="42" t="n">
        <v>0.944</v>
      </c>
      <c r="S124" s="42" t="n">
        <v>0.951</v>
      </c>
      <c r="T124" s="42" t="n">
        <v>0.944</v>
      </c>
      <c r="U124" s="43">
        <f>IFERROR(AVERAGE(P124:T124),"")</f>
        <v/>
      </c>
      <c r="V124" s="42" t="n">
        <v>0.9409999999999999</v>
      </c>
      <c r="W124" s="42" t="n">
        <v>0.9399999999999999</v>
      </c>
      <c r="X124" s="42" t="n">
        <v>0.951</v>
      </c>
      <c r="Y124" s="42" t="n">
        <v>0.956</v>
      </c>
      <c r="Z124" s="42" t="n">
        <v>0.955</v>
      </c>
      <c r="AA124" s="43">
        <f>IFERROR(AVERAGE(V124:Z124),"")</f>
        <v/>
      </c>
      <c r="AB124" s="42" t="n">
        <v>0.9409999999999999</v>
      </c>
      <c r="AC124" s="42" t="n">
        <v>0.9399999999999999</v>
      </c>
      <c r="AD124" s="42" t="n">
        <v>0.951</v>
      </c>
      <c r="AE124" s="42" t="n">
        <v>0.956</v>
      </c>
      <c r="AF124" s="42" t="n">
        <v>0.955</v>
      </c>
      <c r="AG124" s="43">
        <f>IFERROR(AVERAGE(AB124:AF124),"")</f>
        <v/>
      </c>
      <c r="AH124" s="42">
        <f>IFERROR(AG124-AA124,"")</f>
        <v/>
      </c>
      <c r="AI124" s="42">
        <f>IFERROR(AG124-O124,"")</f>
        <v/>
      </c>
    </row>
    <row r="125">
      <c r="A125" s="41" t="inlineStr">
        <is>
          <t>banknote</t>
        </is>
      </c>
      <c r="B125" s="42" t="inlineStr">
        <is>
          <t>symmetric</t>
        </is>
      </c>
      <c r="C125" s="42" t="n">
        <v>0.2</v>
      </c>
      <c r="D125" s="42" t="n">
        <v>0.961</v>
      </c>
      <c r="E125" s="42" t="n">
        <v>0.98</v>
      </c>
      <c r="F125" s="42" t="n">
        <v>0.977</v>
      </c>
      <c r="G125" s="42" t="n">
        <v>0.975</v>
      </c>
      <c r="H125" s="42" t="n">
        <v>0.973</v>
      </c>
      <c r="I125" s="43">
        <f>IFERROR(AVERAGE(D125:H125),"")</f>
        <v/>
      </c>
      <c r="J125" s="42" t="n">
        <v>0.964</v>
      </c>
      <c r="K125" s="42" t="n">
        <v>0.98</v>
      </c>
      <c r="L125" s="42" t="n">
        <v>0.978</v>
      </c>
      <c r="M125" s="42" t="n">
        <v>0.974</v>
      </c>
      <c r="N125" s="42" t="n">
        <v>0.975</v>
      </c>
      <c r="O125" s="43">
        <f>IFERROR(AVERAGE(J125:N125),"")</f>
        <v/>
      </c>
      <c r="P125" s="42" t="n">
        <v>0.924</v>
      </c>
      <c r="Q125" s="42" t="n">
        <v>0.921</v>
      </c>
      <c r="R125" s="42" t="n">
        <v>0.964</v>
      </c>
      <c r="S125" s="42" t="n">
        <v>0.953</v>
      </c>
      <c r="T125" s="42" t="n">
        <v>0.9389999999999999</v>
      </c>
      <c r="U125" s="43">
        <f>IFERROR(AVERAGE(P125:T125),"")</f>
        <v/>
      </c>
      <c r="V125" s="42" t="n">
        <v>0.9370000000000001</v>
      </c>
      <c r="W125" s="42" t="n">
        <v>0.9399999999999999</v>
      </c>
      <c r="X125" s="42" t="n">
        <v>0.955</v>
      </c>
      <c r="Y125" s="42" t="n">
        <v>0.958</v>
      </c>
      <c r="Z125" s="42" t="n">
        <v>0.958</v>
      </c>
      <c r="AA125" s="43">
        <f>IFERROR(AVERAGE(V125:Z125),"")</f>
        <v/>
      </c>
      <c r="AB125" s="42" t="n">
        <v>0.9370000000000001</v>
      </c>
      <c r="AC125" s="42" t="n">
        <v>0.9399999999999999</v>
      </c>
      <c r="AD125" s="42" t="n">
        <v>0.955</v>
      </c>
      <c r="AE125" s="42" t="n">
        <v>0.958</v>
      </c>
      <c r="AF125" s="42" t="n">
        <v>0.958</v>
      </c>
      <c r="AG125" s="43">
        <f>IFERROR(AVERAGE(AB125:AF125),"")</f>
        <v/>
      </c>
      <c r="AH125" s="42">
        <f>IFERROR(AG125-AA125,"")</f>
        <v/>
      </c>
      <c r="AI125" s="42">
        <f>IFERROR(AG125-O125,"")</f>
        <v/>
      </c>
    </row>
    <row r="126">
      <c r="A126" s="41" t="inlineStr">
        <is>
          <t>banknote</t>
        </is>
      </c>
      <c r="B126" s="42" t="inlineStr">
        <is>
          <t>symmetric</t>
        </is>
      </c>
      <c r="C126" s="42" t="n">
        <v>0.3</v>
      </c>
      <c r="D126" s="42" t="n">
        <v>0.969</v>
      </c>
      <c r="E126" s="42" t="n">
        <v>0.97</v>
      </c>
      <c r="F126" s="42" t="n">
        <v>0.971</v>
      </c>
      <c r="G126" s="42" t="n">
        <v>0.969</v>
      </c>
      <c r="H126" s="42" t="n">
        <v>0.956</v>
      </c>
      <c r="I126" s="43">
        <f>IFERROR(AVERAGE(D126:H126),"")</f>
        <v/>
      </c>
      <c r="J126" s="42" t="n">
        <v>0.972</v>
      </c>
      <c r="K126" s="42" t="n">
        <v>0.974</v>
      </c>
      <c r="L126" s="42" t="n">
        <v>0.975</v>
      </c>
      <c r="M126" s="42" t="n">
        <v>0.969</v>
      </c>
      <c r="N126" s="42" t="n">
        <v>0.967</v>
      </c>
      <c r="O126" s="43">
        <f>IFERROR(AVERAGE(J126:N126),"")</f>
        <v/>
      </c>
      <c r="P126" s="42" t="n">
        <v>0.9389999999999999</v>
      </c>
      <c r="Q126" s="42" t="n">
        <v>0.929</v>
      </c>
      <c r="R126" s="42" t="n">
        <v>0.921</v>
      </c>
      <c r="S126" s="42" t="n">
        <v>0.919</v>
      </c>
      <c r="T126" s="42" t="n">
        <v>0.945</v>
      </c>
      <c r="U126" s="43">
        <f>IFERROR(AVERAGE(P126:T126),"")</f>
        <v/>
      </c>
      <c r="V126" s="42" t="n">
        <v>0.945</v>
      </c>
      <c r="W126" s="42" t="n">
        <v>0.913</v>
      </c>
      <c r="X126" s="42" t="n">
        <v>0.921</v>
      </c>
      <c r="Y126" s="42" t="n">
        <v>0.961</v>
      </c>
      <c r="Z126" s="42" t="n">
        <v>0.956</v>
      </c>
      <c r="AA126" s="43">
        <f>IFERROR(AVERAGE(V126:Z126),"")</f>
        <v/>
      </c>
      <c r="AB126" s="42" t="n">
        <v>0.945</v>
      </c>
      <c r="AC126" s="42" t="n">
        <v>0.913</v>
      </c>
      <c r="AD126" s="42" t="n">
        <v>0.921</v>
      </c>
      <c r="AE126" s="42" t="n">
        <v>0.961</v>
      </c>
      <c r="AF126" s="42" t="n">
        <v>0.956</v>
      </c>
      <c r="AG126" s="43">
        <f>IFERROR(AVERAGE(AB126:AF126),"")</f>
        <v/>
      </c>
      <c r="AH126" s="42">
        <f>IFERROR(AG126-AA126,"")</f>
        <v/>
      </c>
      <c r="AI126" s="42">
        <f>IFERROR(AG126-O126,"")</f>
        <v/>
      </c>
    </row>
    <row r="127">
      <c r="A127" s="41" t="inlineStr">
        <is>
          <t>banknote</t>
        </is>
      </c>
      <c r="B127" s="42" t="inlineStr">
        <is>
          <t>symmetric</t>
        </is>
      </c>
      <c r="C127" s="42" t="n">
        <v>0.4</v>
      </c>
      <c r="D127" s="42" t="n">
        <v>0.9399999999999999</v>
      </c>
      <c r="E127" s="42" t="n">
        <v>0.891</v>
      </c>
      <c r="F127" s="42" t="n">
        <v>0.9429999999999999</v>
      </c>
      <c r="G127" s="42" t="n">
        <v>0.945</v>
      </c>
      <c r="H127" s="42" t="n">
        <v>0.949</v>
      </c>
      <c r="I127" s="43">
        <f>IFERROR(AVERAGE(D127:H127),"")</f>
        <v/>
      </c>
      <c r="J127" s="42" t="n">
        <v>0.95</v>
      </c>
      <c r="K127" s="42" t="n">
        <v>0.926</v>
      </c>
      <c r="L127" s="42" t="n">
        <v>0.956</v>
      </c>
      <c r="M127" s="42" t="n">
        <v>0.952</v>
      </c>
      <c r="N127" s="42" t="n">
        <v>0.969</v>
      </c>
      <c r="O127" s="43">
        <f>IFERROR(AVERAGE(J127:N127),"")</f>
        <v/>
      </c>
      <c r="P127" s="42" t="n">
        <v>0.875</v>
      </c>
      <c r="Q127" s="42" t="n">
        <v>0.867</v>
      </c>
      <c r="R127" s="42" t="n">
        <v>0.901</v>
      </c>
      <c r="S127" s="42" t="n">
        <v>0.9</v>
      </c>
      <c r="T127" s="42" t="n">
        <v>0.926</v>
      </c>
      <c r="U127" s="43">
        <f>IFERROR(AVERAGE(P127:T127),"")</f>
        <v/>
      </c>
      <c r="V127" s="42" t="n">
        <v>0.913</v>
      </c>
      <c r="W127" s="42" t="n">
        <v>0.921</v>
      </c>
      <c r="X127" s="42" t="n">
        <v>0.9370000000000001</v>
      </c>
      <c r="Y127" s="42" t="n">
        <v>0.9419999999999999</v>
      </c>
      <c r="Z127" s="42" t="n">
        <v>0.948</v>
      </c>
      <c r="AA127" s="43">
        <f>IFERROR(AVERAGE(V127:Z127),"")</f>
        <v/>
      </c>
      <c r="AB127" s="42" t="n">
        <v>0.913</v>
      </c>
      <c r="AC127" s="42" t="n">
        <v>0.921</v>
      </c>
      <c r="AD127" s="42" t="n">
        <v>0.9370000000000001</v>
      </c>
      <c r="AE127" s="42" t="n">
        <v>0.9419999999999999</v>
      </c>
      <c r="AF127" s="42" t="n">
        <v>0.948</v>
      </c>
      <c r="AG127" s="43">
        <f>IFERROR(AVERAGE(AB127:AF127),"")</f>
        <v/>
      </c>
      <c r="AH127" s="42">
        <f>IFERROR(AG127-AA127,"")</f>
        <v/>
      </c>
      <c r="AI127" s="42">
        <f>IFERROR(AG127-O127,"")</f>
        <v/>
      </c>
    </row>
    <row r="128">
      <c r="A128" s="41" t="inlineStr">
        <is>
          <t>banknote</t>
        </is>
      </c>
      <c r="B128" s="42" t="inlineStr">
        <is>
          <t>symmetric</t>
        </is>
      </c>
      <c r="C128" s="42" t="n">
        <v>0.5</v>
      </c>
      <c r="D128" s="42" t="n">
        <v>0.423</v>
      </c>
      <c r="E128" s="42" t="n">
        <v>0.474</v>
      </c>
      <c r="F128" s="42" t="n">
        <v>0.42</v>
      </c>
      <c r="G128" s="42" t="n">
        <v>0.5</v>
      </c>
      <c r="H128" s="42" t="n">
        <v>0.387</v>
      </c>
      <c r="I128" s="43">
        <f>IFERROR(AVERAGE(D128:H128),"")</f>
        <v/>
      </c>
      <c r="J128" s="42" t="n">
        <v>0.428</v>
      </c>
      <c r="K128" s="42" t="n">
        <v>0.445</v>
      </c>
      <c r="L128" s="42" t="n">
        <v>0.46</v>
      </c>
      <c r="M128" s="42" t="n">
        <v>0.498</v>
      </c>
      <c r="N128" s="42" t="n">
        <v>0.383</v>
      </c>
      <c r="O128" s="43">
        <f>IFERROR(AVERAGE(J128:N128),"")</f>
        <v/>
      </c>
      <c r="P128" s="42" t="n">
        <v>0.421</v>
      </c>
      <c r="Q128" s="42" t="n">
        <v>0.579</v>
      </c>
      <c r="R128" s="42" t="n">
        <v>0.488</v>
      </c>
      <c r="S128" s="42" t="n">
        <v>0.483</v>
      </c>
      <c r="T128" s="42" t="n">
        <v>0.415</v>
      </c>
      <c r="U128" s="43">
        <f>IFERROR(AVERAGE(P128:T128),"")</f>
        <v/>
      </c>
      <c r="V128" s="42" t="n">
        <v>0.461</v>
      </c>
      <c r="W128" s="42" t="n">
        <v>0.603</v>
      </c>
      <c r="X128" s="42" t="n">
        <v>0.504</v>
      </c>
      <c r="Y128" s="42" t="n">
        <v>0.579</v>
      </c>
      <c r="Z128" s="42" t="n">
        <v>0.46</v>
      </c>
      <c r="AA128" s="43">
        <f>IFERROR(AVERAGE(V128:Z128),"")</f>
        <v/>
      </c>
      <c r="AB128" s="42" t="n">
        <v>0.461</v>
      </c>
      <c r="AC128" s="42" t="n">
        <v>0.603</v>
      </c>
      <c r="AD128" s="42" t="n">
        <v>0.504</v>
      </c>
      <c r="AE128" s="42" t="n">
        <v>0.579</v>
      </c>
      <c r="AF128" s="42" t="n">
        <v>0.46</v>
      </c>
      <c r="AG128" s="43">
        <f>IFERROR(AVERAGE(AB128:AF128),"")</f>
        <v/>
      </c>
      <c r="AH128" s="42">
        <f>IFERROR(AG128-AA128,"")</f>
        <v/>
      </c>
      <c r="AI128" s="42">
        <f>IFERROR(AG128-O128,"")</f>
        <v/>
      </c>
    </row>
    <row r="129">
      <c r="A129" s="41" t="inlineStr">
        <is>
          <t>banknote</t>
        </is>
      </c>
      <c r="B129" s="42" t="inlineStr">
        <is>
          <t>asymmetric</t>
        </is>
      </c>
      <c r="C129" s="42" t="n">
        <v>0.2</v>
      </c>
      <c r="D129" s="42" t="n">
        <v>0.945</v>
      </c>
      <c r="E129" s="42" t="n">
        <v>0.948</v>
      </c>
      <c r="F129" s="42" t="n">
        <v>0.918</v>
      </c>
      <c r="G129" s="42" t="n">
        <v>0.9419999999999999</v>
      </c>
      <c r="H129" s="42" t="n">
        <v>0.953</v>
      </c>
      <c r="I129" s="43">
        <f>IFERROR(AVERAGE(D129:H129),"")</f>
        <v/>
      </c>
      <c r="J129" s="42" t="n">
        <v>0.944</v>
      </c>
      <c r="K129" s="42" t="n">
        <v>0.946</v>
      </c>
      <c r="L129" s="42" t="n">
        <v>0.953</v>
      </c>
      <c r="M129" s="42" t="n">
        <v>0.9419999999999999</v>
      </c>
      <c r="N129" s="42" t="n">
        <v>0.946</v>
      </c>
      <c r="O129" s="43">
        <f>IFERROR(AVERAGE(J129:N129),"")</f>
        <v/>
      </c>
      <c r="P129" s="42" t="n">
        <v>0.915</v>
      </c>
      <c r="Q129" s="42" t="n">
        <v>0.918</v>
      </c>
      <c r="R129" s="42" t="n">
        <v>0.913</v>
      </c>
      <c r="S129" s="42" t="n">
        <v>0.9320000000000001</v>
      </c>
      <c r="T129" s="42" t="n">
        <v>0.923</v>
      </c>
      <c r="U129" s="43">
        <f>IFERROR(AVERAGE(P129:T129),"")</f>
        <v/>
      </c>
      <c r="V129" s="42" t="n">
        <v>0.92</v>
      </c>
      <c r="W129" s="42" t="n">
        <v>0.912</v>
      </c>
      <c r="X129" s="42" t="n">
        <v>0.92</v>
      </c>
      <c r="Y129" s="42" t="n">
        <v>0.926</v>
      </c>
      <c r="Z129" s="42" t="n">
        <v>0.9320000000000001</v>
      </c>
      <c r="AA129" s="43">
        <f>IFERROR(AVERAGE(V129:Z129),"")</f>
        <v/>
      </c>
      <c r="AB129" s="42" t="n">
        <v>0.92</v>
      </c>
      <c r="AC129" s="42" t="n">
        <v>0.912</v>
      </c>
      <c r="AD129" s="42" t="n">
        <v>0.92</v>
      </c>
      <c r="AE129" s="42" t="n">
        <v>0.926</v>
      </c>
      <c r="AF129" s="42" t="n">
        <v>0.9320000000000001</v>
      </c>
      <c r="AG129" s="43">
        <f>IFERROR(AVERAGE(AB129:AF129),"")</f>
        <v/>
      </c>
      <c r="AH129" s="42">
        <f>IFERROR(AG129-AA129,"")</f>
        <v/>
      </c>
      <c r="AI129" s="42">
        <f>IFERROR(AG129-O129,"")</f>
        <v/>
      </c>
    </row>
    <row r="130">
      <c r="A130" s="41" t="inlineStr">
        <is>
          <t>banknote</t>
        </is>
      </c>
      <c r="B130" s="42" t="inlineStr">
        <is>
          <t>asymmetric</t>
        </is>
      </c>
      <c r="C130" s="42" t="n">
        <v>0.3</v>
      </c>
      <c r="D130" s="42" t="n">
        <v>0.9409999999999999</v>
      </c>
      <c r="E130" s="42" t="n">
        <v>0.9399999999999999</v>
      </c>
      <c r="F130" s="42" t="n">
        <v>0.9429999999999999</v>
      </c>
      <c r="G130" s="42" t="n">
        <v>0.945</v>
      </c>
      <c r="H130" s="42" t="n">
        <v>0.929</v>
      </c>
      <c r="I130" s="43">
        <f>IFERROR(AVERAGE(D130:H130),"")</f>
        <v/>
      </c>
      <c r="J130" s="42" t="n">
        <v>0.925</v>
      </c>
      <c r="K130" s="42" t="n">
        <v>0.9360000000000001</v>
      </c>
      <c r="L130" s="42" t="n">
        <v>0.926</v>
      </c>
      <c r="M130" s="42" t="n">
        <v>0.914</v>
      </c>
      <c r="N130" s="42" t="n">
        <v>0.918</v>
      </c>
      <c r="O130" s="43">
        <f>IFERROR(AVERAGE(J130:N130),"")</f>
        <v/>
      </c>
      <c r="P130" s="42" t="n">
        <v>0.749</v>
      </c>
      <c r="Q130" s="42" t="n">
        <v>0.8090000000000001</v>
      </c>
      <c r="R130" s="42" t="n">
        <v>0.763</v>
      </c>
      <c r="S130" s="42" t="n">
        <v>0.762</v>
      </c>
      <c r="T130" s="42" t="n">
        <v>0.8129999999999999</v>
      </c>
      <c r="U130" s="43">
        <f>IFERROR(AVERAGE(P130:T130),"")</f>
        <v/>
      </c>
      <c r="V130" s="42" t="n">
        <v>0.751</v>
      </c>
      <c r="W130" s="42" t="n">
        <v>0.789</v>
      </c>
      <c r="X130" s="42" t="n">
        <v>0.735</v>
      </c>
      <c r="Y130" s="42" t="n">
        <v>0.743</v>
      </c>
      <c r="Z130" s="42" t="n">
        <v>0.754</v>
      </c>
      <c r="AA130" s="43">
        <f>IFERROR(AVERAGE(V130:Z130),"")</f>
        <v/>
      </c>
      <c r="AB130" s="42" t="n">
        <v>0.751</v>
      </c>
      <c r="AC130" s="42" t="n">
        <v>0.789</v>
      </c>
      <c r="AD130" s="42" t="n">
        <v>0.735</v>
      </c>
      <c r="AE130" s="42" t="n">
        <v>0.743</v>
      </c>
      <c r="AF130" s="42" t="n">
        <v>0.754</v>
      </c>
      <c r="AG130" s="43">
        <f>IFERROR(AVERAGE(AB130:AF130),"")</f>
        <v/>
      </c>
      <c r="AH130" s="42">
        <f>IFERROR(AG130-AA130,"")</f>
        <v/>
      </c>
      <c r="AI130" s="42">
        <f>IFERROR(AG130-O130,"")</f>
        <v/>
      </c>
    </row>
    <row r="131">
      <c r="A131" s="41" t="inlineStr">
        <is>
          <t>banknote</t>
        </is>
      </c>
      <c r="B131" s="42" t="inlineStr">
        <is>
          <t>asymmetric</t>
        </is>
      </c>
      <c r="C131" s="42" t="n">
        <v>0.4</v>
      </c>
      <c r="D131" s="42" t="n">
        <v>0.896</v>
      </c>
      <c r="E131" s="42" t="n">
        <v>0.908</v>
      </c>
      <c r="F131" s="42" t="n">
        <v>0.894</v>
      </c>
      <c r="G131" s="42" t="n">
        <v>0.911</v>
      </c>
      <c r="H131" s="42" t="n">
        <v>0.881</v>
      </c>
      <c r="I131" s="43">
        <f>IFERROR(AVERAGE(D131:H131),"")</f>
        <v/>
      </c>
      <c r="J131" s="42" t="n">
        <v>0.856</v>
      </c>
      <c r="K131" s="42" t="n">
        <v>0.861</v>
      </c>
      <c r="L131" s="42" t="n">
        <v>0.85</v>
      </c>
      <c r="M131" s="42" t="n">
        <v>0.852</v>
      </c>
      <c r="N131" s="42" t="n">
        <v>0.842</v>
      </c>
      <c r="O131" s="43">
        <f>IFERROR(AVERAGE(J131:N131),"")</f>
        <v/>
      </c>
      <c r="P131" s="42" t="n">
        <v>0.675</v>
      </c>
      <c r="Q131" s="42" t="n">
        <v>0.649</v>
      </c>
      <c r="R131" s="42" t="n">
        <v>0.752</v>
      </c>
      <c r="S131" s="42" t="n">
        <v>0.729</v>
      </c>
      <c r="T131" s="42" t="n">
        <v>0.709</v>
      </c>
      <c r="U131" s="43">
        <f>IFERROR(AVERAGE(P131:T131),"")</f>
        <v/>
      </c>
      <c r="V131" s="42" t="n">
        <v>0.625</v>
      </c>
      <c r="W131" s="42" t="n">
        <v>0.606</v>
      </c>
      <c r="X131" s="42" t="n">
        <v>0.677</v>
      </c>
      <c r="Y131" s="42" t="n">
        <v>0.65</v>
      </c>
      <c r="Z131" s="42" t="n">
        <v>0.638</v>
      </c>
      <c r="AA131" s="43">
        <f>IFERROR(AVERAGE(V131:Z131),"")</f>
        <v/>
      </c>
      <c r="AB131" s="42" t="n">
        <v>0.625</v>
      </c>
      <c r="AC131" s="42" t="n">
        <v>0.606</v>
      </c>
      <c r="AD131" s="42" t="n">
        <v>0.677</v>
      </c>
      <c r="AE131" s="42" t="n">
        <v>0.65</v>
      </c>
      <c r="AF131" s="42" t="n">
        <v>0.638</v>
      </c>
      <c r="AG131" s="43">
        <f>IFERROR(AVERAGE(AB131:AF131),"")</f>
        <v/>
      </c>
      <c r="AH131" s="42">
        <f>IFERROR(AG131-AA131,"")</f>
        <v/>
      </c>
      <c r="AI131" s="42">
        <f>IFERROR(AG131-O131,"")</f>
        <v/>
      </c>
    </row>
    <row r="132">
      <c r="A132" s="41" t="inlineStr">
        <is>
          <t>banknote</t>
        </is>
      </c>
      <c r="B132" s="42" t="inlineStr">
        <is>
          <t>asymmetric</t>
        </is>
      </c>
      <c r="C132" s="42" t="n">
        <v>0.5</v>
      </c>
      <c r="D132" s="42" t="n">
        <v>0.714</v>
      </c>
      <c r="E132" s="42" t="n">
        <v>0.6889999999999999</v>
      </c>
      <c r="F132" s="42" t="n">
        <v>0.727</v>
      </c>
      <c r="G132" s="42" t="n">
        <v>0.6840000000000001</v>
      </c>
      <c r="H132" s="42" t="n">
        <v>0.724</v>
      </c>
      <c r="I132" s="43">
        <f>IFERROR(AVERAGE(D132:H132),"")</f>
        <v/>
      </c>
      <c r="J132" s="42" t="n">
        <v>0.6919999999999999</v>
      </c>
      <c r="K132" s="42" t="n">
        <v>0.666</v>
      </c>
      <c r="L132" s="42" t="n">
        <v>0.714</v>
      </c>
      <c r="M132" s="42" t="n">
        <v>0.6870000000000001</v>
      </c>
      <c r="N132" s="42" t="n">
        <v>0.701</v>
      </c>
      <c r="O132" s="43">
        <f>IFERROR(AVERAGE(J132:N132),"")</f>
        <v/>
      </c>
      <c r="P132" s="42" t="n"/>
      <c r="Q132" s="42" t="n"/>
      <c r="R132" s="42" t="n"/>
      <c r="S132" s="42" t="n"/>
      <c r="T132" s="42" t="n"/>
      <c r="U132" s="43">
        <f>IFERROR(AVERAGE(P132:T132),"")</f>
        <v/>
      </c>
      <c r="V132" s="42" t="n"/>
      <c r="W132" s="42" t="n"/>
      <c r="X132" s="42" t="n"/>
      <c r="Y132" s="42" t="n"/>
      <c r="Z132" s="42" t="n"/>
      <c r="AA132" s="43">
        <f>IFERROR(AVERAGE(V132:Z132),"")</f>
        <v/>
      </c>
      <c r="AB132" s="42" t="n">
        <v>0.827</v>
      </c>
      <c r="AC132" s="42" t="n">
        <v>0.834</v>
      </c>
      <c r="AD132" s="42" t="n">
        <v>0.831</v>
      </c>
      <c r="AE132" s="42" t="n">
        <v>0.835</v>
      </c>
      <c r="AF132" s="42" t="n">
        <v>0.838</v>
      </c>
      <c r="AG132" s="43">
        <f>IFERROR(AVERAGE(AB132:AF132),"")</f>
        <v/>
      </c>
      <c r="AH132" s="42">
        <f>IFERROR(AG132-AA132,"")</f>
        <v/>
      </c>
      <c r="AI132" s="42">
        <f>IFERROR(AG132-O132,"")</f>
        <v/>
      </c>
    </row>
    <row r="133">
      <c r="A133" s="41" t="inlineStr">
        <is>
          <t>banknote</t>
        </is>
      </c>
      <c r="B133" s="42" t="inlineStr">
        <is>
          <t>boundary</t>
        </is>
      </c>
      <c r="C133" s="42" t="n">
        <v>0.2</v>
      </c>
      <c r="D133" s="42" t="n">
        <v>0.92</v>
      </c>
      <c r="E133" s="42" t="n">
        <v>0.952</v>
      </c>
      <c r="F133" s="42" t="n">
        <v>0.945</v>
      </c>
      <c r="G133" s="42" t="n">
        <v>0.9330000000000001</v>
      </c>
      <c r="H133" s="42" t="n">
        <v>0.9419999999999999</v>
      </c>
      <c r="I133" s="43">
        <f>IFERROR(AVERAGE(D133:H133),"")</f>
        <v/>
      </c>
      <c r="J133" s="42" t="n">
        <v>0.9350000000000001</v>
      </c>
      <c r="K133" s="42" t="n">
        <v>0.954</v>
      </c>
      <c r="L133" s="42" t="n">
        <v>0.945</v>
      </c>
      <c r="M133" s="42" t="n">
        <v>0.9350000000000001</v>
      </c>
      <c r="N133" s="42" t="n">
        <v>0.931</v>
      </c>
      <c r="O133" s="43">
        <f>IFERROR(AVERAGE(J133:N133),"")</f>
        <v/>
      </c>
      <c r="P133" s="42" t="n">
        <v>0.74</v>
      </c>
      <c r="Q133" s="42" t="n">
        <v>0.857</v>
      </c>
      <c r="R133" s="42" t="n">
        <v>0.842</v>
      </c>
      <c r="S133" s="42" t="n">
        <v>0.854</v>
      </c>
      <c r="T133" s="42" t="n">
        <v>0.765</v>
      </c>
      <c r="U133" s="43">
        <f>IFERROR(AVERAGE(P133:T133),"")</f>
        <v/>
      </c>
      <c r="V133" s="42" t="n">
        <v>0.747</v>
      </c>
      <c r="W133" s="42" t="n">
        <v>0.8110000000000001</v>
      </c>
      <c r="X133" s="42" t="n">
        <v>0.762</v>
      </c>
      <c r="Y133" s="42" t="n">
        <v>0.799</v>
      </c>
      <c r="Z133" s="42" t="n">
        <v>0.733</v>
      </c>
      <c r="AA133" s="43">
        <f>IFERROR(AVERAGE(V133:Z133),"")</f>
        <v/>
      </c>
      <c r="AB133" s="42" t="n">
        <v>0.747</v>
      </c>
      <c r="AC133" s="42" t="n">
        <v>0.8110000000000001</v>
      </c>
      <c r="AD133" s="42" t="n">
        <v>0.762</v>
      </c>
      <c r="AE133" s="42" t="n">
        <v>0.799</v>
      </c>
      <c r="AF133" s="42" t="n">
        <v>0.733</v>
      </c>
      <c r="AG133" s="43">
        <f>IFERROR(AVERAGE(AB133:AF133),"")</f>
        <v/>
      </c>
      <c r="AH133" s="42">
        <f>IFERROR(AG133-AA133,"")</f>
        <v/>
      </c>
      <c r="AI133" s="42">
        <f>IFERROR(AG133-O133,"")</f>
        <v/>
      </c>
    </row>
    <row r="134">
      <c r="A134" s="41" t="inlineStr">
        <is>
          <t>banknote</t>
        </is>
      </c>
      <c r="B134" s="42" t="inlineStr">
        <is>
          <t>boundary</t>
        </is>
      </c>
      <c r="C134" s="42" t="n">
        <v>0.3</v>
      </c>
      <c r="D134" s="42" t="n">
        <v>0.88</v>
      </c>
      <c r="E134" s="42" t="n">
        <v>0.873</v>
      </c>
      <c r="F134" s="42" t="n">
        <v>0.847</v>
      </c>
      <c r="G134" s="42" t="n">
        <v>0.864</v>
      </c>
      <c r="H134" s="42" t="n">
        <v>0.862</v>
      </c>
      <c r="I134" s="43">
        <f>IFERROR(AVERAGE(D134:H134),"")</f>
        <v/>
      </c>
      <c r="J134" s="42" t="n">
        <v>0.883</v>
      </c>
      <c r="K134" s="42" t="n">
        <v>0.873</v>
      </c>
      <c r="L134" s="42" t="n">
        <v>0.85</v>
      </c>
      <c r="M134" s="42" t="n">
        <v>0.87</v>
      </c>
      <c r="N134" s="42" t="n">
        <v>0.87</v>
      </c>
      <c r="O134" s="43">
        <f>IFERROR(AVERAGE(J134:N134),"")</f>
        <v/>
      </c>
      <c r="P134" s="42" t="n">
        <v>0.8090000000000001</v>
      </c>
      <c r="Q134" s="42" t="n">
        <v>0.842</v>
      </c>
      <c r="R134" s="42" t="n">
        <v>0.787</v>
      </c>
      <c r="S134" s="42" t="n">
        <v>0.789</v>
      </c>
      <c r="T134" s="42" t="n">
        <v>0.74</v>
      </c>
      <c r="U134" s="43">
        <f>IFERROR(AVERAGE(P134:T134),"")</f>
        <v/>
      </c>
      <c r="V134" s="42" t="n">
        <v>0.724</v>
      </c>
      <c r="W134" s="42" t="n">
        <v>0.733</v>
      </c>
      <c r="X134" s="42" t="n">
        <v>0.717</v>
      </c>
      <c r="Y134" s="42" t="n">
        <v>0.732</v>
      </c>
      <c r="Z134" s="42" t="n">
        <v>0.708</v>
      </c>
      <c r="AA134" s="43">
        <f>IFERROR(AVERAGE(V134:Z134),"")</f>
        <v/>
      </c>
      <c r="AB134" s="42" t="n">
        <v>0.724</v>
      </c>
      <c r="AC134" s="42" t="n">
        <v>0.738</v>
      </c>
      <c r="AD134" s="42" t="n">
        <v>0.717</v>
      </c>
      <c r="AE134" s="42" t="n">
        <v>0.732</v>
      </c>
      <c r="AF134" s="42" t="n">
        <v>0.708</v>
      </c>
      <c r="AG134" s="43">
        <f>IFERROR(AVERAGE(AB134:AF134),"")</f>
        <v/>
      </c>
      <c r="AH134" s="42">
        <f>IFERROR(AG134-AA134,"")</f>
        <v/>
      </c>
      <c r="AI134" s="42">
        <f>IFERROR(AG134-O134,"")</f>
        <v/>
      </c>
    </row>
    <row r="135">
      <c r="A135" s="41" t="inlineStr">
        <is>
          <t>banknote</t>
        </is>
      </c>
      <c r="B135" s="42" t="inlineStr">
        <is>
          <t>boundary</t>
        </is>
      </c>
      <c r="C135" s="42" t="n">
        <v>0.4</v>
      </c>
      <c r="D135" s="42" t="n">
        <v>0.883</v>
      </c>
      <c r="E135" s="42" t="n">
        <v>0.867</v>
      </c>
      <c r="F135" s="42" t="n">
        <v>0.846</v>
      </c>
      <c r="G135" s="42" t="n">
        <v>0.857</v>
      </c>
      <c r="H135" s="42" t="n">
        <v>0.832</v>
      </c>
      <c r="I135" s="43">
        <f>IFERROR(AVERAGE(D135:H135),"")</f>
        <v/>
      </c>
      <c r="J135" s="42" t="n">
        <v>0.881</v>
      </c>
      <c r="K135" s="42" t="n">
        <v>0.875</v>
      </c>
      <c r="L135" s="42" t="n">
        <v>0.87</v>
      </c>
      <c r="M135" s="42" t="n">
        <v>0.872</v>
      </c>
      <c r="N135" s="42" t="n">
        <v>0.852</v>
      </c>
      <c r="O135" s="43">
        <f>IFERROR(AVERAGE(J135:N135),"")</f>
        <v/>
      </c>
      <c r="P135" s="42" t="n">
        <v>0.5669999999999999</v>
      </c>
      <c r="Q135" s="42" t="n">
        <v>0.723</v>
      </c>
      <c r="R135" s="42" t="n">
        <v>0.828</v>
      </c>
      <c r="S135" s="42" t="n">
        <v>0.728</v>
      </c>
      <c r="T135" s="42" t="n">
        <v>0.768</v>
      </c>
      <c r="U135" s="43">
        <f>IFERROR(AVERAGE(P135:T135),"")</f>
        <v/>
      </c>
      <c r="V135" s="42" t="n">
        <v>0.769</v>
      </c>
      <c r="W135" s="42" t="n">
        <v>0.781</v>
      </c>
      <c r="X135" s="42" t="n">
        <v>0.82</v>
      </c>
      <c r="Y135" s="42" t="n">
        <v>0.819</v>
      </c>
      <c r="Z135" s="42" t="n">
        <v>0.759</v>
      </c>
      <c r="AA135" s="43">
        <f>IFERROR(AVERAGE(V135:Z135),"")</f>
        <v/>
      </c>
      <c r="AB135" s="42" t="n">
        <v>0.769</v>
      </c>
      <c r="AC135" s="42" t="n">
        <v>0.781</v>
      </c>
      <c r="AD135" s="42" t="n">
        <v>0.82</v>
      </c>
      <c r="AE135" s="42" t="n">
        <v>0.819</v>
      </c>
      <c r="AF135" s="42" t="n">
        <v>0.759</v>
      </c>
      <c r="AG135" s="43">
        <f>IFERROR(AVERAGE(AB135:AF135),"")</f>
        <v/>
      </c>
      <c r="AH135" s="42">
        <f>IFERROR(AG135-AA135,"")</f>
        <v/>
      </c>
      <c r="AI135" s="42">
        <f>IFERROR(AG135-O135,"")</f>
        <v/>
      </c>
    </row>
    <row r="136">
      <c r="A136" s="41" t="inlineStr">
        <is>
          <t>banknote</t>
        </is>
      </c>
      <c r="B136" s="42" t="inlineStr">
        <is>
          <t>boundary</t>
        </is>
      </c>
      <c r="C136" s="42" t="n">
        <v>0.5</v>
      </c>
      <c r="D136" s="42" t="n">
        <v>0.583</v>
      </c>
      <c r="E136" s="42" t="n">
        <v>0.41</v>
      </c>
      <c r="F136" s="42" t="n">
        <v>0.464</v>
      </c>
      <c r="G136" s="42" t="n">
        <v>0.413</v>
      </c>
      <c r="H136" s="42" t="n">
        <v>0.595</v>
      </c>
      <c r="I136" s="43">
        <f>IFERROR(AVERAGE(D136:H136),"")</f>
        <v/>
      </c>
      <c r="J136" s="42" t="n">
        <v>0.598</v>
      </c>
      <c r="K136" s="42" t="n">
        <v>0.442</v>
      </c>
      <c r="L136" s="42" t="n">
        <v>0.434</v>
      </c>
      <c r="M136" s="42" t="n">
        <v>0.367</v>
      </c>
      <c r="N136" s="42" t="n">
        <v>0.58</v>
      </c>
      <c r="O136" s="43">
        <f>IFERROR(AVERAGE(J136:N136),"")</f>
        <v/>
      </c>
      <c r="P136" s="42" t="n">
        <v>0.458</v>
      </c>
      <c r="Q136" s="42" t="n">
        <v>0.348</v>
      </c>
      <c r="R136" s="42" t="n">
        <v>0.401</v>
      </c>
      <c r="S136" s="42" t="n">
        <v>0.461</v>
      </c>
      <c r="T136" s="42" t="n">
        <v>0.5669999999999999</v>
      </c>
      <c r="U136" s="43">
        <f>IFERROR(AVERAGE(P136:T136),"")</f>
        <v/>
      </c>
      <c r="V136" s="42" t="n">
        <v>0.505</v>
      </c>
      <c r="W136" s="42" t="n">
        <v>0.434</v>
      </c>
      <c r="X136" s="42" t="n">
        <v>0.396</v>
      </c>
      <c r="Y136" s="42" t="n">
        <v>0.448</v>
      </c>
      <c r="Z136" s="42" t="n">
        <v>0.614</v>
      </c>
      <c r="AA136" s="43">
        <f>IFERROR(AVERAGE(V136:Z136),"")</f>
        <v/>
      </c>
      <c r="AB136" s="42" t="n">
        <v>0.505</v>
      </c>
      <c r="AC136" s="42" t="n">
        <v>0.434</v>
      </c>
      <c r="AD136" s="42" t="n">
        <v>0.396</v>
      </c>
      <c r="AE136" s="42" t="n">
        <v>0.448</v>
      </c>
      <c r="AF136" s="42" t="n">
        <v>0.614</v>
      </c>
      <c r="AG136" s="43">
        <f>IFERROR(AVERAGE(AB136:AF136),"")</f>
        <v/>
      </c>
      <c r="AH136" s="42">
        <f>IFERROR(AG136-AA136,"")</f>
        <v/>
      </c>
      <c r="AI136" s="42">
        <f>IFERROR(AG136-O136,"")</f>
        <v/>
      </c>
    </row>
    <row r="137">
      <c r="A137" s="41" t="inlineStr">
        <is>
          <t>banknote</t>
        </is>
      </c>
      <c r="B137" s="42" t="inlineStr">
        <is>
          <t>far</t>
        </is>
      </c>
      <c r="C137" s="42" t="n">
        <v>0.2</v>
      </c>
      <c r="D137" s="42" t="n">
        <v>0.851</v>
      </c>
      <c r="E137" s="42" t="n">
        <v>0.898</v>
      </c>
      <c r="F137" s="42" t="n">
        <v>0.931</v>
      </c>
      <c r="G137" s="42" t="n">
        <v>0.848</v>
      </c>
      <c r="H137" s="42" t="n">
        <v>0.89</v>
      </c>
      <c r="I137" s="43">
        <f>IFERROR(AVERAGE(D137:H137),"")</f>
        <v/>
      </c>
      <c r="J137" s="42" t="n">
        <v>0.918</v>
      </c>
      <c r="K137" s="42" t="n">
        <v>0.9429999999999999</v>
      </c>
      <c r="L137" s="42" t="n">
        <v>0.953</v>
      </c>
      <c r="M137" s="42" t="n">
        <v>0.928</v>
      </c>
      <c r="N137" s="42" t="n">
        <v>0.961</v>
      </c>
      <c r="O137" s="43">
        <f>IFERROR(AVERAGE(J137:N137),"")</f>
        <v/>
      </c>
      <c r="P137" s="42" t="n">
        <v>0.819</v>
      </c>
      <c r="Q137" s="42" t="n">
        <v>0.701</v>
      </c>
      <c r="R137" s="42" t="n">
        <v>0.773</v>
      </c>
      <c r="S137" s="42" t="n">
        <v>0.727</v>
      </c>
      <c r="T137" s="42" t="n">
        <v>0.748</v>
      </c>
      <c r="U137" s="43">
        <f>IFERROR(AVERAGE(P137:T137),"")</f>
        <v/>
      </c>
      <c r="V137" s="42" t="n">
        <v>0.9</v>
      </c>
      <c r="W137" s="42" t="n">
        <v>0.872</v>
      </c>
      <c r="X137" s="42" t="n">
        <v>0.91</v>
      </c>
      <c r="Y137" s="42" t="n">
        <v>0.929</v>
      </c>
      <c r="Z137" s="42" t="n">
        <v>0.747</v>
      </c>
      <c r="AA137" s="43">
        <f>IFERROR(AVERAGE(V137:Z137),"")</f>
        <v/>
      </c>
      <c r="AB137" s="42" t="n">
        <v>0.9</v>
      </c>
      <c r="AC137" s="42" t="n">
        <v>0.872</v>
      </c>
      <c r="AD137" s="42" t="n">
        <v>0.91</v>
      </c>
      <c r="AE137" s="42" t="n">
        <v>0.929</v>
      </c>
      <c r="AF137" s="42" t="n">
        <v>0.747</v>
      </c>
      <c r="AG137" s="43">
        <f>IFERROR(AVERAGE(AB137:AF137),"")</f>
        <v/>
      </c>
      <c r="AH137" s="42">
        <f>IFERROR(AG137-AA137,"")</f>
        <v/>
      </c>
      <c r="AI137" s="42">
        <f>IFERROR(AG137-O137,"")</f>
        <v/>
      </c>
    </row>
    <row r="138">
      <c r="A138" s="41" t="inlineStr">
        <is>
          <t>banknote</t>
        </is>
      </c>
      <c r="B138" s="42" t="inlineStr">
        <is>
          <t>far</t>
        </is>
      </c>
      <c r="C138" s="42" t="n">
        <v>0.3</v>
      </c>
      <c r="D138" s="42" t="n">
        <v>0.902</v>
      </c>
      <c r="E138" s="42" t="n">
        <v>0.856</v>
      </c>
      <c r="F138" s="42" t="n">
        <v>0.85</v>
      </c>
      <c r="G138" s="42" t="n">
        <v>0.925</v>
      </c>
      <c r="H138" s="42" t="n">
        <v>0.952</v>
      </c>
      <c r="I138" s="43">
        <f>IFERROR(AVERAGE(D138:H138),"")</f>
        <v/>
      </c>
      <c r="J138" s="42" t="n">
        <v>0.9370000000000001</v>
      </c>
      <c r="K138" s="42" t="n">
        <v>0.922</v>
      </c>
      <c r="L138" s="42" t="n">
        <v>0.9370000000000001</v>
      </c>
      <c r="M138" s="42" t="n">
        <v>0.968</v>
      </c>
      <c r="N138" s="42" t="n">
        <v>0.969</v>
      </c>
      <c r="O138" s="43">
        <f>IFERROR(AVERAGE(J138:N138),"")</f>
        <v/>
      </c>
      <c r="P138" s="42" t="n">
        <v>0.638</v>
      </c>
      <c r="Q138" s="42" t="n">
        <v>0.744</v>
      </c>
      <c r="R138" s="42" t="n">
        <v>0.625</v>
      </c>
      <c r="S138" s="42" t="n">
        <v>0.8110000000000001</v>
      </c>
      <c r="T138" s="42" t="n">
        <v>0.6850000000000001</v>
      </c>
      <c r="U138" s="43">
        <f>IFERROR(AVERAGE(P138:T138),"")</f>
        <v/>
      </c>
      <c r="V138" s="42" t="n">
        <v>0.896</v>
      </c>
      <c r="W138" s="42" t="n">
        <v>0.784</v>
      </c>
      <c r="X138" s="42" t="n">
        <v>0.857</v>
      </c>
      <c r="Y138" s="42" t="n">
        <v>0.787</v>
      </c>
      <c r="Z138" s="42" t="n">
        <v>0.87</v>
      </c>
      <c r="AA138" s="43">
        <f>IFERROR(AVERAGE(V138:Z138),"")</f>
        <v/>
      </c>
      <c r="AB138" s="42" t="n">
        <v>0.896</v>
      </c>
      <c r="AC138" s="42" t="n">
        <v>0.784</v>
      </c>
      <c r="AD138" s="42" t="n">
        <v>0.857</v>
      </c>
      <c r="AE138" s="42" t="n">
        <v>0.787</v>
      </c>
      <c r="AF138" s="42" t="n">
        <v>0.87</v>
      </c>
      <c r="AG138" s="43">
        <f>IFERROR(AVERAGE(AB138:AF138),"")</f>
        <v/>
      </c>
      <c r="AH138" s="42">
        <f>IFERROR(AG138-AA138,"")</f>
        <v/>
      </c>
      <c r="AI138" s="42">
        <f>IFERROR(AG138-O138,"")</f>
        <v/>
      </c>
    </row>
    <row r="139">
      <c r="A139" s="41" t="inlineStr">
        <is>
          <t>banknote</t>
        </is>
      </c>
      <c r="B139" s="42" t="inlineStr">
        <is>
          <t>far</t>
        </is>
      </c>
      <c r="C139" s="42" t="n">
        <v>0.4</v>
      </c>
      <c r="D139" s="42" t="n">
        <v>0.797</v>
      </c>
      <c r="E139" s="42" t="n">
        <v>0.738</v>
      </c>
      <c r="F139" s="42" t="n">
        <v>0.8179999999999999</v>
      </c>
      <c r="G139" s="42" t="n">
        <v>0.883</v>
      </c>
      <c r="H139" s="42" t="n">
        <v>0.823</v>
      </c>
      <c r="I139" s="43">
        <f>IFERROR(AVERAGE(D139:H139),"")</f>
        <v/>
      </c>
      <c r="J139" s="42" t="n">
        <v>0.876</v>
      </c>
      <c r="K139" s="42" t="n">
        <v>0.8110000000000001</v>
      </c>
      <c r="L139" s="42" t="n">
        <v>0.854</v>
      </c>
      <c r="M139" s="42" t="n">
        <v>0.946</v>
      </c>
      <c r="N139" s="42" t="n">
        <v>0.905</v>
      </c>
      <c r="O139" s="43">
        <f>IFERROR(AVERAGE(J139:N139),"")</f>
        <v/>
      </c>
      <c r="P139" s="42" t="n">
        <v>0.71</v>
      </c>
      <c r="Q139" s="42" t="n">
        <v>0.505</v>
      </c>
      <c r="R139" s="42" t="n">
        <v>0.613</v>
      </c>
      <c r="S139" s="42" t="n">
        <v>0.761</v>
      </c>
      <c r="T139" s="42" t="n">
        <v>0.623</v>
      </c>
      <c r="U139" s="43">
        <f>IFERROR(AVERAGE(P139:T139),"")</f>
        <v/>
      </c>
      <c r="V139" s="42" t="n">
        <v>0.749</v>
      </c>
      <c r="W139" s="42" t="n">
        <v>0.548</v>
      </c>
      <c r="X139" s="42" t="n">
        <v>0.6879999999999999</v>
      </c>
      <c r="Y139" s="42" t="n">
        <v>0.866</v>
      </c>
      <c r="Z139" s="42" t="n">
        <v>0.719</v>
      </c>
      <c r="AA139" s="43">
        <f>IFERROR(AVERAGE(V139:Z139),"")</f>
        <v/>
      </c>
      <c r="AB139" s="42" t="n">
        <v>0.749</v>
      </c>
      <c r="AC139" s="42" t="n">
        <v>0.548</v>
      </c>
      <c r="AD139" s="42" t="n">
        <v>0.6879999999999999</v>
      </c>
      <c r="AE139" s="42" t="n">
        <v>0.866</v>
      </c>
      <c r="AF139" s="42" t="n">
        <v>0.719</v>
      </c>
      <c r="AG139" s="43">
        <f>IFERROR(AVERAGE(AB139:AF139),"")</f>
        <v/>
      </c>
      <c r="AH139" s="42">
        <f>IFERROR(AG139-AA139,"")</f>
        <v/>
      </c>
      <c r="AI139" s="42">
        <f>IFERROR(AG139-O139,"")</f>
        <v/>
      </c>
    </row>
    <row r="140">
      <c r="A140" s="41" t="inlineStr">
        <is>
          <t>banknote</t>
        </is>
      </c>
      <c r="B140" s="42" t="inlineStr">
        <is>
          <t>far</t>
        </is>
      </c>
      <c r="C140" s="42" t="n">
        <v>0.5</v>
      </c>
      <c r="D140" s="42" t="n">
        <v>0.438</v>
      </c>
      <c r="E140" s="42" t="n">
        <v>0.42</v>
      </c>
      <c r="F140" s="42" t="n">
        <v>0.522</v>
      </c>
      <c r="G140" s="42" t="n">
        <v>0.526</v>
      </c>
      <c r="H140" s="42" t="n">
        <v>0.421</v>
      </c>
      <c r="I140" s="43">
        <f>IFERROR(AVERAGE(D140:H140),"")</f>
        <v/>
      </c>
      <c r="J140" s="42" t="n">
        <v>0.445</v>
      </c>
      <c r="K140" s="42" t="n">
        <v>0.434</v>
      </c>
      <c r="L140" s="42" t="n">
        <v>0.493</v>
      </c>
      <c r="M140" s="42" t="n">
        <v>0.534</v>
      </c>
      <c r="N140" s="42" t="n">
        <v>0.429</v>
      </c>
      <c r="O140" s="43">
        <f>IFERROR(AVERAGE(J140:N140),"")</f>
        <v/>
      </c>
      <c r="P140" s="42" t="n">
        <v>0.375</v>
      </c>
      <c r="Q140" s="42" t="n">
        <v>0.363</v>
      </c>
      <c r="R140" s="42" t="n">
        <v>0.575</v>
      </c>
      <c r="S140" s="42" t="n">
        <v>0.537</v>
      </c>
      <c r="T140" s="42" t="n">
        <v>0.43</v>
      </c>
      <c r="U140" s="43">
        <f>IFERROR(AVERAGE(P140:T140),"")</f>
        <v/>
      </c>
      <c r="V140" s="42" t="n">
        <v>0.44</v>
      </c>
      <c r="W140" s="42" t="n">
        <v>0.421</v>
      </c>
      <c r="X140" s="42" t="n">
        <v>0.507</v>
      </c>
      <c r="Y140" s="42" t="n">
        <v>0.487</v>
      </c>
      <c r="Z140" s="42" t="n">
        <v>0.475</v>
      </c>
      <c r="AA140" s="43">
        <f>IFERROR(AVERAGE(V140:Z140),"")</f>
        <v/>
      </c>
      <c r="AB140" s="42" t="n">
        <v>0.44</v>
      </c>
      <c r="AC140" s="42" t="n">
        <v>0.421</v>
      </c>
      <c r="AD140" s="42" t="n">
        <v>0.507</v>
      </c>
      <c r="AE140" s="42" t="n">
        <v>0.487</v>
      </c>
      <c r="AF140" s="42" t="n">
        <v>0.475</v>
      </c>
      <c r="AG140" s="43">
        <f>IFERROR(AVERAGE(AB140:AF140),"")</f>
        <v/>
      </c>
      <c r="AH140" s="42">
        <f>IFERROR(AG140-AA140,"")</f>
        <v/>
      </c>
      <c r="AI140" s="42">
        <f>IFERROR(AG140-O140,"")</f>
        <v/>
      </c>
    </row>
    <row r="141">
      <c r="A141" s="41" t="inlineStr">
        <is>
          <t>australian</t>
        </is>
      </c>
      <c r="B141" s="42" t="inlineStr">
        <is>
          <t>(clean)</t>
        </is>
      </c>
      <c r="C141" s="42" t="n">
        <v>0</v>
      </c>
      <c r="D141" s="42" t="n">
        <v>0.832</v>
      </c>
      <c r="E141" s="42" t="n">
        <v>0.8100000000000001</v>
      </c>
      <c r="F141" s="42" t="n">
        <v>0.819</v>
      </c>
      <c r="G141" s="42" t="n">
        <v>0.8139999999999999</v>
      </c>
      <c r="H141" s="42" t="n">
        <v>0.841</v>
      </c>
      <c r="I141" s="43">
        <f>IFERROR(AVERAGE(D141:H141),"")</f>
        <v/>
      </c>
      <c r="J141" s="42" t="n">
        <v>0.83</v>
      </c>
      <c r="K141" s="42" t="n">
        <v>0.825</v>
      </c>
      <c r="L141" s="42" t="n">
        <v>0.822</v>
      </c>
      <c r="M141" s="42" t="n">
        <v>0.833</v>
      </c>
      <c r="N141" s="42" t="n">
        <v>0.835</v>
      </c>
      <c r="O141" s="43">
        <f>IFERROR(AVERAGE(J141:N141),"")</f>
        <v/>
      </c>
      <c r="P141" s="42" t="n">
        <v>0.845</v>
      </c>
      <c r="Q141" s="42" t="n">
        <v>0.83</v>
      </c>
      <c r="R141" s="42" t="n">
        <v>0.846</v>
      </c>
      <c r="S141" s="42" t="n">
        <v>0.838</v>
      </c>
      <c r="T141" s="42" t="n">
        <v>0.833</v>
      </c>
      <c r="U141" s="43">
        <f>IFERROR(AVERAGE(P141:T141),"")</f>
        <v/>
      </c>
      <c r="V141" s="42" t="n">
        <v>0.8090000000000001</v>
      </c>
      <c r="W141" s="42" t="n">
        <v>0.794</v>
      </c>
      <c r="X141" s="42" t="n">
        <v>0.79</v>
      </c>
      <c r="Y141" s="42" t="n">
        <v>0.799</v>
      </c>
      <c r="Z141" s="42" t="n">
        <v>0.796</v>
      </c>
      <c r="AA141" s="43">
        <f>IFERROR(AVERAGE(V141:Z141),"")</f>
        <v/>
      </c>
      <c r="AB141" s="42" t="n">
        <v>0.8090000000000001</v>
      </c>
      <c r="AC141" s="42" t="n">
        <v>0.794</v>
      </c>
      <c r="AD141" s="42" t="n">
        <v>0.79</v>
      </c>
      <c r="AE141" s="42" t="n">
        <v>0.799</v>
      </c>
      <c r="AF141" s="42" t="n">
        <v>0.796</v>
      </c>
      <c r="AG141" s="43">
        <f>IFERROR(AVERAGE(AB141:AF141),"")</f>
        <v/>
      </c>
      <c r="AH141" s="42">
        <f>IFERROR(AG141-AA141,"")</f>
        <v/>
      </c>
      <c r="AI141" s="42">
        <f>IFERROR(AG141-O141,"")</f>
        <v/>
      </c>
    </row>
    <row r="142">
      <c r="A142" s="41" t="inlineStr">
        <is>
          <t>australian</t>
        </is>
      </c>
      <c r="B142" s="42" t="inlineStr">
        <is>
          <t>symmetric</t>
        </is>
      </c>
      <c r="C142" s="42" t="n">
        <v>0.2</v>
      </c>
      <c r="D142" s="42" t="n">
        <v>0.797</v>
      </c>
      <c r="E142" s="42" t="n">
        <v>0.786</v>
      </c>
      <c r="F142" s="42" t="n">
        <v>0.767</v>
      </c>
      <c r="G142" s="42" t="n">
        <v>0.786</v>
      </c>
      <c r="H142" s="42" t="n">
        <v>0.79</v>
      </c>
      <c r="I142" s="43">
        <f>IFERROR(AVERAGE(D142:H142),"")</f>
        <v/>
      </c>
      <c r="J142" s="42" t="n">
        <v>0.791</v>
      </c>
      <c r="K142" s="42" t="n">
        <v>0.751</v>
      </c>
      <c r="L142" s="42" t="n">
        <v>0.752</v>
      </c>
      <c r="M142" s="42" t="n">
        <v>0.793</v>
      </c>
      <c r="N142" s="42" t="n">
        <v>0.804</v>
      </c>
      <c r="O142" s="43">
        <f>IFERROR(AVERAGE(J142:N142),"")</f>
        <v/>
      </c>
      <c r="P142" s="42" t="n">
        <v>0.745</v>
      </c>
      <c r="Q142" s="42" t="n">
        <v>0.645</v>
      </c>
      <c r="R142" s="42" t="n">
        <v>0.768</v>
      </c>
      <c r="S142" s="42" t="n">
        <v>0.749</v>
      </c>
      <c r="T142" s="42" t="n">
        <v>0.7</v>
      </c>
      <c r="U142" s="43">
        <f>IFERROR(AVERAGE(P142:T142),"")</f>
        <v/>
      </c>
      <c r="V142" s="42" t="n">
        <v>0.722</v>
      </c>
      <c r="W142" s="42" t="n">
        <v>0.674</v>
      </c>
      <c r="X142" s="42" t="n">
        <v>0.642</v>
      </c>
      <c r="Y142" s="42" t="n">
        <v>0.6929999999999999</v>
      </c>
      <c r="Z142" s="42" t="n">
        <v>0.616</v>
      </c>
      <c r="AA142" s="43">
        <f>IFERROR(AVERAGE(V142:Z142),"")</f>
        <v/>
      </c>
      <c r="AB142" s="42" t="n">
        <v>0.722</v>
      </c>
      <c r="AC142" s="42" t="n">
        <v>0.674</v>
      </c>
      <c r="AD142" s="42" t="n">
        <v>0.642</v>
      </c>
      <c r="AE142" s="42" t="n">
        <v>0.6929999999999999</v>
      </c>
      <c r="AF142" s="42" t="n">
        <v>0.616</v>
      </c>
      <c r="AG142" s="43">
        <f>IFERROR(AVERAGE(AB142:AF142),"")</f>
        <v/>
      </c>
      <c r="AH142" s="42">
        <f>IFERROR(AG142-AA142,"")</f>
        <v/>
      </c>
      <c r="AI142" s="42">
        <f>IFERROR(AG142-O142,"")</f>
        <v/>
      </c>
    </row>
    <row r="143">
      <c r="A143" s="41" t="inlineStr">
        <is>
          <t>australian</t>
        </is>
      </c>
      <c r="B143" s="42" t="inlineStr">
        <is>
          <t>symmetric</t>
        </is>
      </c>
      <c r="C143" s="42" t="n">
        <v>0.3</v>
      </c>
      <c r="D143" s="42" t="n">
        <v>0.738</v>
      </c>
      <c r="E143" s="42" t="n">
        <v>0.775</v>
      </c>
      <c r="F143" s="42" t="n">
        <v>0.709</v>
      </c>
      <c r="G143" s="42" t="n">
        <v>0.694</v>
      </c>
      <c r="H143" s="42" t="n">
        <v>0.778</v>
      </c>
      <c r="I143" s="43">
        <f>IFERROR(AVERAGE(D143:H143),"")</f>
        <v/>
      </c>
      <c r="J143" s="42" t="n">
        <v>0.748</v>
      </c>
      <c r="K143" s="42" t="n">
        <v>0.751</v>
      </c>
      <c r="L143" s="42" t="n">
        <v>0.723</v>
      </c>
      <c r="M143" s="42" t="n">
        <v>0.703</v>
      </c>
      <c r="N143" s="42" t="n">
        <v>0.733</v>
      </c>
      <c r="O143" s="43">
        <f>IFERROR(AVERAGE(J143:N143),"")</f>
        <v/>
      </c>
      <c r="P143" s="42" t="n">
        <v>0.671</v>
      </c>
      <c r="Q143" s="42" t="n">
        <v>0.645</v>
      </c>
      <c r="R143" s="42" t="n">
        <v>0.677</v>
      </c>
      <c r="S143" s="42" t="n">
        <v>0.657</v>
      </c>
      <c r="T143" s="42" t="n">
        <v>0.717</v>
      </c>
      <c r="U143" s="43">
        <f>IFERROR(AVERAGE(P143:T143),"")</f>
        <v/>
      </c>
      <c r="V143" s="42" t="n">
        <v>0.661</v>
      </c>
      <c r="W143" s="42" t="n">
        <v>0.603</v>
      </c>
      <c r="X143" s="42" t="n">
        <v>0.6840000000000001</v>
      </c>
      <c r="Y143" s="42" t="n">
        <v>0.619</v>
      </c>
      <c r="Z143" s="42" t="n">
        <v>0.6899999999999999</v>
      </c>
      <c r="AA143" s="43">
        <f>IFERROR(AVERAGE(V143:Z143),"")</f>
        <v/>
      </c>
      <c r="AB143" s="42" t="n">
        <v>0.661</v>
      </c>
      <c r="AC143" s="42" t="n">
        <v>0.603</v>
      </c>
      <c r="AD143" s="42" t="n">
        <v>0.6840000000000001</v>
      </c>
      <c r="AE143" s="42" t="n">
        <v>0.619</v>
      </c>
      <c r="AF143" s="42" t="n">
        <v>0.6899999999999999</v>
      </c>
      <c r="AG143" s="43">
        <f>IFERROR(AVERAGE(AB143:AF143),"")</f>
        <v/>
      </c>
      <c r="AH143" s="42">
        <f>IFERROR(AG143-AA143,"")</f>
        <v/>
      </c>
      <c r="AI143" s="42">
        <f>IFERROR(AG143-O143,"")</f>
        <v/>
      </c>
    </row>
    <row r="144">
      <c r="A144" s="41" t="inlineStr">
        <is>
          <t>australian</t>
        </is>
      </c>
      <c r="B144" s="42" t="inlineStr">
        <is>
          <t>symmetric</t>
        </is>
      </c>
      <c r="C144" s="42" t="n">
        <v>0.4</v>
      </c>
      <c r="D144" s="42" t="n">
        <v>0.641</v>
      </c>
      <c r="E144" s="42" t="n">
        <v>0.658</v>
      </c>
      <c r="F144" s="42" t="n">
        <v>0.626</v>
      </c>
      <c r="G144" s="42" t="n">
        <v>0.648</v>
      </c>
      <c r="H144" s="42" t="n">
        <v>0.652</v>
      </c>
      <c r="I144" s="43">
        <f>IFERROR(AVERAGE(D144:H144),"")</f>
        <v/>
      </c>
      <c r="J144" s="42" t="n">
        <v>0.652</v>
      </c>
      <c r="K144" s="42" t="n">
        <v>0.672</v>
      </c>
      <c r="L144" s="42" t="n">
        <v>0.609</v>
      </c>
      <c r="M144" s="42" t="n">
        <v>0.622</v>
      </c>
      <c r="N144" s="42" t="n">
        <v>0.67</v>
      </c>
      <c r="O144" s="43">
        <f>IFERROR(AVERAGE(J144:N144),"")</f>
        <v/>
      </c>
      <c r="P144" s="42" t="n">
        <v>0.548</v>
      </c>
      <c r="Q144" s="42" t="n">
        <v>0.606</v>
      </c>
      <c r="R144" s="42" t="n">
        <v>0.599</v>
      </c>
      <c r="S144" s="42" t="n">
        <v>0.604</v>
      </c>
      <c r="T144" s="42" t="n">
        <v>0.612</v>
      </c>
      <c r="U144" s="43">
        <f>IFERROR(AVERAGE(P144:T144),"")</f>
        <v/>
      </c>
      <c r="V144" s="42" t="n">
        <v>0.578</v>
      </c>
      <c r="W144" s="42" t="n">
        <v>0.59</v>
      </c>
      <c r="X144" s="42" t="n">
        <v>0.594</v>
      </c>
      <c r="Y144" s="42" t="n">
        <v>0.551</v>
      </c>
      <c r="Z144" s="42" t="n">
        <v>0.616</v>
      </c>
      <c r="AA144" s="43">
        <f>IFERROR(AVERAGE(V144:Z144),"")</f>
        <v/>
      </c>
      <c r="AB144" s="42" t="n">
        <v>0.578</v>
      </c>
      <c r="AC144" s="42" t="n">
        <v>0.59</v>
      </c>
      <c r="AD144" s="42" t="n">
        <v>0.594</v>
      </c>
      <c r="AE144" s="42" t="n">
        <v>0.551</v>
      </c>
      <c r="AF144" s="42" t="n">
        <v>0.616</v>
      </c>
      <c r="AG144" s="43">
        <f>IFERROR(AVERAGE(AB144:AF144),"")</f>
        <v/>
      </c>
      <c r="AH144" s="42">
        <f>IFERROR(AG144-AA144,"")</f>
        <v/>
      </c>
      <c r="AI144" s="42">
        <f>IFERROR(AG144-O144,"")</f>
        <v/>
      </c>
    </row>
    <row r="145">
      <c r="A145" s="41" t="inlineStr">
        <is>
          <t>australian</t>
        </is>
      </c>
      <c r="B145" s="42" t="inlineStr">
        <is>
          <t>symmetric</t>
        </is>
      </c>
      <c r="C145" s="42" t="n">
        <v>0.5</v>
      </c>
      <c r="D145" s="42" t="n">
        <v>0.509</v>
      </c>
      <c r="E145" s="42" t="n">
        <v>0.486</v>
      </c>
      <c r="F145" s="42" t="n">
        <v>0.459</v>
      </c>
      <c r="G145" s="42" t="n">
        <v>0.519</v>
      </c>
      <c r="H145" s="42" t="n">
        <v>0.432</v>
      </c>
      <c r="I145" s="43">
        <f>IFERROR(AVERAGE(D145:H145),"")</f>
        <v/>
      </c>
      <c r="J145" s="42" t="n">
        <v>0.448</v>
      </c>
      <c r="K145" s="42" t="n">
        <v>0.478</v>
      </c>
      <c r="L145" s="42" t="n">
        <v>0.546</v>
      </c>
      <c r="M145" s="42" t="n">
        <v>0.52</v>
      </c>
      <c r="N145" s="42" t="n">
        <v>0.462</v>
      </c>
      <c r="O145" s="43">
        <f>IFERROR(AVERAGE(J145:N145),"")</f>
        <v/>
      </c>
      <c r="P145" s="42" t="n">
        <v>0.509</v>
      </c>
      <c r="Q145" s="42" t="n">
        <v>0.496</v>
      </c>
      <c r="R145" s="42" t="n">
        <v>0.467</v>
      </c>
      <c r="S145" s="42" t="n">
        <v>0.513</v>
      </c>
      <c r="T145" s="42" t="n">
        <v>0.457</v>
      </c>
      <c r="U145" s="43">
        <f>IFERROR(AVERAGE(P145:T145),"")</f>
        <v/>
      </c>
      <c r="V145" s="42" t="n">
        <v>0.528</v>
      </c>
      <c r="W145" s="42" t="n">
        <v>0.501</v>
      </c>
      <c r="X145" s="42" t="n">
        <v>0.522</v>
      </c>
      <c r="Y145" s="42" t="n">
        <v>0.526</v>
      </c>
      <c r="Z145" s="42" t="n">
        <v>0.478</v>
      </c>
      <c r="AA145" s="43">
        <f>IFERROR(AVERAGE(V145:Z145),"")</f>
        <v/>
      </c>
      <c r="AB145" s="42" t="n">
        <v>0.528</v>
      </c>
      <c r="AC145" s="42" t="n">
        <v>0.501</v>
      </c>
      <c r="AD145" s="42" t="n">
        <v>0.522</v>
      </c>
      <c r="AE145" s="42" t="n">
        <v>0.526</v>
      </c>
      <c r="AF145" s="42" t="n">
        <v>0.478</v>
      </c>
      <c r="AG145" s="43">
        <f>IFERROR(AVERAGE(AB145:AF145),"")</f>
        <v/>
      </c>
      <c r="AH145" s="42">
        <f>IFERROR(AG145-AA145,"")</f>
        <v/>
      </c>
      <c r="AI145" s="42">
        <f>IFERROR(AG145-O145,"")</f>
        <v/>
      </c>
    </row>
    <row r="146">
      <c r="A146" s="41" t="inlineStr">
        <is>
          <t>australian</t>
        </is>
      </c>
      <c r="B146" s="42" t="inlineStr">
        <is>
          <t>asymmetric</t>
        </is>
      </c>
      <c r="C146" s="42" t="n">
        <v>0.2</v>
      </c>
      <c r="D146" s="42" t="n">
        <v>0.778</v>
      </c>
      <c r="E146" s="42" t="n">
        <v>0.777</v>
      </c>
      <c r="F146" s="42" t="n">
        <v>0.778</v>
      </c>
      <c r="G146" s="42" t="n">
        <v>0.764</v>
      </c>
      <c r="H146" s="42" t="n">
        <v>0.774</v>
      </c>
      <c r="I146" s="43">
        <f>IFERROR(AVERAGE(D146:H146),"")</f>
        <v/>
      </c>
      <c r="J146" s="42" t="n">
        <v>0.754</v>
      </c>
      <c r="K146" s="42" t="n">
        <v>0.759</v>
      </c>
      <c r="L146" s="42" t="n">
        <v>0.758</v>
      </c>
      <c r="M146" s="42" t="n">
        <v>0.761</v>
      </c>
      <c r="N146" s="42" t="n">
        <v>0.752</v>
      </c>
      <c r="O146" s="43">
        <f>IFERROR(AVERAGE(J146:N146),"")</f>
        <v/>
      </c>
      <c r="P146" s="42" t="n">
        <v>0.757</v>
      </c>
      <c r="Q146" s="42" t="n">
        <v>0.704</v>
      </c>
      <c r="R146" s="42" t="n">
        <v>0.719</v>
      </c>
      <c r="S146" s="42" t="n">
        <v>0.658</v>
      </c>
      <c r="T146" s="42" t="n">
        <v>0.701</v>
      </c>
      <c r="U146" s="43">
        <f>IFERROR(AVERAGE(P146:T146),"")</f>
        <v/>
      </c>
      <c r="V146" s="42" t="n">
        <v>0.735</v>
      </c>
      <c r="W146" s="42" t="n">
        <v>0.667</v>
      </c>
      <c r="X146" s="42" t="n">
        <v>0.71</v>
      </c>
      <c r="Y146" s="42" t="n">
        <v>0.665</v>
      </c>
      <c r="Z146" s="42" t="n">
        <v>0.601</v>
      </c>
      <c r="AA146" s="43">
        <f>IFERROR(AVERAGE(V146:Z146),"")</f>
        <v/>
      </c>
      <c r="AB146" s="42" t="n">
        <v>0.735</v>
      </c>
      <c r="AC146" s="42" t="n">
        <v>0.667</v>
      </c>
      <c r="AD146" s="42" t="n">
        <v>0.71</v>
      </c>
      <c r="AE146" s="42" t="n">
        <v>0.665</v>
      </c>
      <c r="AF146" s="42" t="n">
        <v>0.601</v>
      </c>
      <c r="AG146" s="43">
        <f>IFERROR(AVERAGE(AB146:AF146),"")</f>
        <v/>
      </c>
      <c r="AH146" s="42">
        <f>IFERROR(AG146-AA146,"")</f>
        <v/>
      </c>
      <c r="AI146" s="42">
        <f>IFERROR(AG146-O146,"")</f>
        <v/>
      </c>
    </row>
    <row r="147">
      <c r="A147" s="41" t="inlineStr">
        <is>
          <t>australian</t>
        </is>
      </c>
      <c r="B147" s="42" t="inlineStr">
        <is>
          <t>asymmetric</t>
        </is>
      </c>
      <c r="C147" s="42" t="n">
        <v>0.3</v>
      </c>
      <c r="D147" s="42" t="n">
        <v>0.752</v>
      </c>
      <c r="E147" s="42" t="n">
        <v>0.757</v>
      </c>
      <c r="F147" s="42" t="n">
        <v>0.741</v>
      </c>
      <c r="G147" s="42" t="n">
        <v>0.712</v>
      </c>
      <c r="H147" s="42" t="n">
        <v>0.725</v>
      </c>
      <c r="I147" s="43">
        <f>IFERROR(AVERAGE(D147:H147),"")</f>
        <v/>
      </c>
      <c r="J147" s="42" t="n">
        <v>0.736</v>
      </c>
      <c r="K147" s="42" t="n">
        <v>0.732</v>
      </c>
      <c r="L147" s="42" t="n">
        <v>0.6879999999999999</v>
      </c>
      <c r="M147" s="42" t="n">
        <v>0.697</v>
      </c>
      <c r="N147" s="42" t="n">
        <v>0.7</v>
      </c>
      <c r="O147" s="43">
        <f>IFERROR(AVERAGE(J147:N147),"")</f>
        <v/>
      </c>
      <c r="P147" s="42" t="n">
        <v>0.614</v>
      </c>
      <c r="Q147" s="42" t="n">
        <v>0.678</v>
      </c>
      <c r="R147" s="42" t="n">
        <v>0.597</v>
      </c>
      <c r="S147" s="42" t="n">
        <v>0.619</v>
      </c>
      <c r="T147" s="42" t="n">
        <v>0.642</v>
      </c>
      <c r="U147" s="43">
        <f>IFERROR(AVERAGE(P147:T147),"")</f>
        <v/>
      </c>
      <c r="V147" s="42" t="n">
        <v>0.619</v>
      </c>
      <c r="W147" s="42" t="n">
        <v>0.62</v>
      </c>
      <c r="X147" s="42" t="n">
        <v>0.571</v>
      </c>
      <c r="Y147" s="42" t="n">
        <v>0.674</v>
      </c>
      <c r="Z147" s="42" t="n">
        <v>0.651</v>
      </c>
      <c r="AA147" s="43">
        <f>IFERROR(AVERAGE(V147:Z147),"")</f>
        <v/>
      </c>
      <c r="AB147" s="42" t="n">
        <v>0.619</v>
      </c>
      <c r="AC147" s="42" t="n">
        <v>0.62</v>
      </c>
      <c r="AD147" s="42" t="n">
        <v>0.571</v>
      </c>
      <c r="AE147" s="42" t="n">
        <v>0.674</v>
      </c>
      <c r="AF147" s="42" t="n">
        <v>0.651</v>
      </c>
      <c r="AG147" s="43">
        <f>IFERROR(AVERAGE(AB147:AF147),"")</f>
        <v/>
      </c>
      <c r="AH147" s="42">
        <f>IFERROR(AG147-AA147,"")</f>
        <v/>
      </c>
      <c r="AI147" s="42">
        <f>IFERROR(AG147-O147,"")</f>
        <v/>
      </c>
    </row>
    <row r="148">
      <c r="A148" s="41" t="inlineStr">
        <is>
          <t>australian</t>
        </is>
      </c>
      <c r="B148" s="42" t="inlineStr">
        <is>
          <t>asymmetric</t>
        </is>
      </c>
      <c r="C148" s="42" t="n">
        <v>0.4</v>
      </c>
      <c r="D148" s="42" t="n">
        <v>0.701</v>
      </c>
      <c r="E148" s="42" t="n">
        <v>0.696</v>
      </c>
      <c r="F148" s="42" t="n">
        <v>0.709</v>
      </c>
      <c r="G148" s="42" t="n">
        <v>0.678</v>
      </c>
      <c r="H148" s="42" t="n">
        <v>0.694</v>
      </c>
      <c r="I148" s="43">
        <f>IFERROR(AVERAGE(D148:H148),"")</f>
        <v/>
      </c>
      <c r="J148" s="42" t="n">
        <v>0.675</v>
      </c>
      <c r="K148" s="42" t="n">
        <v>0.654</v>
      </c>
      <c r="L148" s="42" t="n">
        <v>0.699</v>
      </c>
      <c r="M148" s="42" t="n">
        <v>0.667</v>
      </c>
      <c r="N148" s="42" t="n">
        <v>0.694</v>
      </c>
      <c r="O148" s="43">
        <f>IFERROR(AVERAGE(J148:N148),"")</f>
        <v/>
      </c>
      <c r="P148" s="42" t="n">
        <v>0.594</v>
      </c>
      <c r="Q148" s="42" t="n">
        <v>0.613</v>
      </c>
      <c r="R148" s="42" t="n">
        <v>0.539</v>
      </c>
      <c r="S148" s="42" t="n">
        <v>0.622</v>
      </c>
      <c r="T148" s="42" t="n">
        <v>0.652</v>
      </c>
      <c r="U148" s="43">
        <f>IFERROR(AVERAGE(P148:T148),"")</f>
        <v/>
      </c>
      <c r="V148" s="42" t="n">
        <v>0.581</v>
      </c>
      <c r="W148" s="42" t="n">
        <v>0.538</v>
      </c>
      <c r="X148" s="42" t="n">
        <v>0.53</v>
      </c>
      <c r="Y148" s="42" t="n">
        <v>0.635</v>
      </c>
      <c r="Z148" s="42" t="n">
        <v>0.617</v>
      </c>
      <c r="AA148" s="43">
        <f>IFERROR(AVERAGE(V148:Z148),"")</f>
        <v/>
      </c>
      <c r="AB148" s="42" t="n">
        <v>0.581</v>
      </c>
      <c r="AC148" s="42" t="n">
        <v>0.538</v>
      </c>
      <c r="AD148" s="42" t="n">
        <v>0.53</v>
      </c>
      <c r="AE148" s="42" t="n">
        <v>0.635</v>
      </c>
      <c r="AF148" s="42" t="n">
        <v>0.617</v>
      </c>
      <c r="AG148" s="43">
        <f>IFERROR(AVERAGE(AB148:AF148),"")</f>
        <v/>
      </c>
      <c r="AH148" s="42">
        <f>IFERROR(AG148-AA148,"")</f>
        <v/>
      </c>
      <c r="AI148" s="42">
        <f>IFERROR(AG148-O148,"")</f>
        <v/>
      </c>
    </row>
    <row r="149">
      <c r="A149" s="41" t="inlineStr">
        <is>
          <t>australian</t>
        </is>
      </c>
      <c r="B149" s="42" t="inlineStr">
        <is>
          <t>asymmetric</t>
        </is>
      </c>
      <c r="C149" s="42" t="n">
        <v>0.5</v>
      </c>
      <c r="D149" s="42" t="n">
        <v>0.6860000000000001</v>
      </c>
      <c r="E149" s="42" t="n">
        <v>0.652</v>
      </c>
      <c r="F149" s="42" t="n">
        <v>0.667</v>
      </c>
      <c r="G149" s="42" t="n">
        <v>0.661</v>
      </c>
      <c r="H149" s="42" t="n">
        <v>0.639</v>
      </c>
      <c r="I149" s="43">
        <f>IFERROR(AVERAGE(D149:H149),"")</f>
        <v/>
      </c>
      <c r="J149" s="42" t="n">
        <v>0.633</v>
      </c>
      <c r="K149" s="42" t="n">
        <v>0.623</v>
      </c>
      <c r="L149" s="42" t="n">
        <v>0.629</v>
      </c>
      <c r="M149" s="42" t="n">
        <v>0.623</v>
      </c>
      <c r="N149" s="42" t="n">
        <v>0.628</v>
      </c>
      <c r="O149" s="43">
        <f>IFERROR(AVERAGE(J149:N149),"")</f>
        <v/>
      </c>
      <c r="P149" s="42" t="n"/>
      <c r="Q149" s="42" t="n"/>
      <c r="R149" s="42" t="n"/>
      <c r="S149" s="42" t="n"/>
      <c r="T149" s="42" t="n"/>
      <c r="U149" s="43">
        <f>IFERROR(AVERAGE(P149:T149),"")</f>
        <v/>
      </c>
      <c r="V149" s="42" t="n"/>
      <c r="W149" s="42" t="n"/>
      <c r="X149" s="42" t="n"/>
      <c r="Y149" s="42" t="n"/>
      <c r="Z149" s="42" t="n"/>
      <c r="AA149" s="43">
        <f>IFERROR(AVERAGE(V149:Z149),"")</f>
        <v/>
      </c>
      <c r="AB149" s="42" t="n">
        <v>0.677</v>
      </c>
      <c r="AC149" s="42" t="n">
        <v>0.658</v>
      </c>
      <c r="AD149" s="42" t="n">
        <v>0.648</v>
      </c>
      <c r="AE149" s="42" t="n">
        <v>0.694</v>
      </c>
      <c r="AF149" s="42" t="n">
        <v>0.665</v>
      </c>
      <c r="AG149" s="43">
        <f>IFERROR(AVERAGE(AB149:AF149),"")</f>
        <v/>
      </c>
      <c r="AH149" s="42">
        <f>IFERROR(AG149-AA149,"")</f>
        <v/>
      </c>
      <c r="AI149" s="42">
        <f>IFERROR(AG149-O149,"")</f>
        <v/>
      </c>
    </row>
    <row r="150">
      <c r="A150" s="41" t="inlineStr">
        <is>
          <t>australian</t>
        </is>
      </c>
      <c r="B150" s="42" t="inlineStr">
        <is>
          <t>boundary</t>
        </is>
      </c>
      <c r="C150" s="42" t="n">
        <v>0.2</v>
      </c>
      <c r="D150" s="42" t="n">
        <v>0.794</v>
      </c>
      <c r="E150" s="42" t="n">
        <v>0.786</v>
      </c>
      <c r="F150" s="42" t="n">
        <v>0.786</v>
      </c>
      <c r="G150" s="42" t="n">
        <v>0.787</v>
      </c>
      <c r="H150" s="42" t="n">
        <v>0.786</v>
      </c>
      <c r="I150" s="43">
        <f>IFERROR(AVERAGE(D150:H150),"")</f>
        <v/>
      </c>
      <c r="J150" s="42" t="n">
        <v>0.788</v>
      </c>
      <c r="K150" s="42" t="n">
        <v>0.82</v>
      </c>
      <c r="L150" s="42" t="n">
        <v>0.82</v>
      </c>
      <c r="M150" s="42" t="n">
        <v>0.793</v>
      </c>
      <c r="N150" s="42" t="n">
        <v>0.801</v>
      </c>
      <c r="O150" s="43">
        <f>IFERROR(AVERAGE(J150:N150),"")</f>
        <v/>
      </c>
      <c r="P150" s="42" t="n">
        <v>0.703</v>
      </c>
      <c r="Q150" s="42" t="n">
        <v>0.772</v>
      </c>
      <c r="R150" s="42" t="n">
        <v>0.829</v>
      </c>
      <c r="S150" s="42" t="n">
        <v>0.822</v>
      </c>
      <c r="T150" s="42" t="n">
        <v>0.823</v>
      </c>
      <c r="U150" s="43">
        <f>IFERROR(AVERAGE(P150:T150),"")</f>
        <v/>
      </c>
      <c r="V150" s="42" t="n">
        <v>0.675</v>
      </c>
      <c r="W150" s="42" t="n">
        <v>0.749</v>
      </c>
      <c r="X150" s="42" t="n">
        <v>0.799</v>
      </c>
      <c r="Y150" s="42" t="n">
        <v>0.786</v>
      </c>
      <c r="Z150" s="42" t="n">
        <v>0.751</v>
      </c>
      <c r="AA150" s="43">
        <f>IFERROR(AVERAGE(V150:Z150),"")</f>
        <v/>
      </c>
      <c r="AB150" s="42" t="n">
        <v>0.675</v>
      </c>
      <c r="AC150" s="42" t="n">
        <v>0.749</v>
      </c>
      <c r="AD150" s="42" t="n">
        <v>0.799</v>
      </c>
      <c r="AE150" s="42" t="n">
        <v>0.786</v>
      </c>
      <c r="AF150" s="42" t="n">
        <v>0.751</v>
      </c>
      <c r="AG150" s="43">
        <f>IFERROR(AVERAGE(AB150:AF150),"")</f>
        <v/>
      </c>
      <c r="AH150" s="42">
        <f>IFERROR(AG150-AA150,"")</f>
        <v/>
      </c>
      <c r="AI150" s="42">
        <f>IFERROR(AG150-O150,"")</f>
        <v/>
      </c>
    </row>
    <row r="151">
      <c r="A151" s="41" t="inlineStr">
        <is>
          <t>australian</t>
        </is>
      </c>
      <c r="B151" s="42" t="inlineStr">
        <is>
          <t>boundary</t>
        </is>
      </c>
      <c r="C151" s="42" t="n">
        <v>0.3</v>
      </c>
      <c r="D151" s="42" t="n">
        <v>0.752</v>
      </c>
      <c r="E151" s="42" t="n">
        <v>0.735</v>
      </c>
      <c r="F151" s="42" t="n">
        <v>0.72</v>
      </c>
      <c r="G151" s="42" t="n">
        <v>0.716</v>
      </c>
      <c r="H151" s="42" t="n">
        <v>0.722</v>
      </c>
      <c r="I151" s="43">
        <f>IFERROR(AVERAGE(D151:H151),"")</f>
        <v/>
      </c>
      <c r="J151" s="42" t="n">
        <v>0.752</v>
      </c>
      <c r="K151" s="42" t="n">
        <v>0.751</v>
      </c>
      <c r="L151" s="42" t="n">
        <v>0.768</v>
      </c>
      <c r="M151" s="42" t="n">
        <v>0.771</v>
      </c>
      <c r="N151" s="42" t="n">
        <v>0.757</v>
      </c>
      <c r="O151" s="43">
        <f>IFERROR(AVERAGE(J151:N151),"")</f>
        <v/>
      </c>
      <c r="P151" s="42" t="n">
        <v>0.6870000000000001</v>
      </c>
      <c r="Q151" s="42" t="n">
        <v>0.706</v>
      </c>
      <c r="R151" s="42" t="n">
        <v>0.638</v>
      </c>
      <c r="S151" s="42" t="n">
        <v>0.6860000000000001</v>
      </c>
      <c r="T151" s="42" t="n">
        <v>0.6899999999999999</v>
      </c>
      <c r="U151" s="43">
        <f>IFERROR(AVERAGE(P151:T151),"")</f>
        <v/>
      </c>
      <c r="V151" s="42" t="n">
        <v>0.629</v>
      </c>
      <c r="W151" s="42" t="n">
        <v>0.658</v>
      </c>
      <c r="X151" s="42" t="n">
        <v>0.658</v>
      </c>
      <c r="Y151" s="42" t="n">
        <v>0.668</v>
      </c>
      <c r="Z151" s="42" t="n">
        <v>0.668</v>
      </c>
      <c r="AA151" s="43">
        <f>IFERROR(AVERAGE(V151:Z151),"")</f>
        <v/>
      </c>
      <c r="AB151" s="42" t="n">
        <v>0.629</v>
      </c>
      <c r="AC151" s="42" t="n">
        <v>0.658</v>
      </c>
      <c r="AD151" s="42" t="n">
        <v>0.658</v>
      </c>
      <c r="AE151" s="42" t="n">
        <v>0.668</v>
      </c>
      <c r="AF151" s="42" t="n">
        <v>0.668</v>
      </c>
      <c r="AG151" s="43">
        <f>IFERROR(AVERAGE(AB151:AF151),"")</f>
        <v/>
      </c>
      <c r="AH151" s="42">
        <f>IFERROR(AG151-AA151,"")</f>
        <v/>
      </c>
      <c r="AI151" s="42">
        <f>IFERROR(AG151-O151,"")</f>
        <v/>
      </c>
    </row>
    <row r="152">
      <c r="A152" s="41" t="inlineStr">
        <is>
          <t>australian</t>
        </is>
      </c>
      <c r="B152" s="42" t="inlineStr">
        <is>
          <t>boundary</t>
        </is>
      </c>
      <c r="C152" s="42" t="n">
        <v>0.4</v>
      </c>
      <c r="D152" s="42" t="n">
        <v>0.659</v>
      </c>
      <c r="E152" s="42" t="n">
        <v>0.674</v>
      </c>
      <c r="F152" s="42" t="n">
        <v>0.664</v>
      </c>
      <c r="G152" s="42" t="n">
        <v>0.657</v>
      </c>
      <c r="H152" s="42" t="n">
        <v>0.665</v>
      </c>
      <c r="I152" s="43">
        <f>IFERROR(AVERAGE(D152:H152),"")</f>
        <v/>
      </c>
      <c r="J152" s="42" t="n">
        <v>0.677</v>
      </c>
      <c r="K152" s="42" t="n">
        <v>0.709</v>
      </c>
      <c r="L152" s="42" t="n">
        <v>0.668</v>
      </c>
      <c r="M152" s="42" t="n">
        <v>0.67</v>
      </c>
      <c r="N152" s="42" t="n">
        <v>0.701</v>
      </c>
      <c r="O152" s="43">
        <f>IFERROR(AVERAGE(J152:N152),"")</f>
        <v/>
      </c>
      <c r="P152" s="42" t="n">
        <v>0.635</v>
      </c>
      <c r="Q152" s="42" t="n">
        <v>0.632</v>
      </c>
      <c r="R152" s="42" t="n">
        <v>0.636</v>
      </c>
      <c r="S152" s="42" t="n">
        <v>0.623</v>
      </c>
      <c r="T152" s="42" t="n">
        <v>0.61</v>
      </c>
      <c r="U152" s="43">
        <f>IFERROR(AVERAGE(P152:T152),"")</f>
        <v/>
      </c>
      <c r="V152" s="42" t="n">
        <v>0.616</v>
      </c>
      <c r="W152" s="42" t="n">
        <v>0.613</v>
      </c>
      <c r="X152" s="42" t="n">
        <v>0.625</v>
      </c>
      <c r="Y152" s="42" t="n">
        <v>0.58</v>
      </c>
      <c r="Z152" s="42" t="n">
        <v>0.574</v>
      </c>
      <c r="AA152" s="43">
        <f>IFERROR(AVERAGE(V152:Z152),"")</f>
        <v/>
      </c>
      <c r="AB152" s="42" t="n">
        <v>0.616</v>
      </c>
      <c r="AC152" s="42" t="n">
        <v>0.613</v>
      </c>
      <c r="AD152" s="42" t="n">
        <v>0.625</v>
      </c>
      <c r="AE152" s="42" t="n">
        <v>0.58</v>
      </c>
      <c r="AF152" s="42" t="n">
        <v>0.574</v>
      </c>
      <c r="AG152" s="43">
        <f>IFERROR(AVERAGE(AB152:AF152),"")</f>
        <v/>
      </c>
      <c r="AH152" s="42">
        <f>IFERROR(AG152-AA152,"")</f>
        <v/>
      </c>
      <c r="AI152" s="42">
        <f>IFERROR(AG152-O152,"")</f>
        <v/>
      </c>
    </row>
    <row r="153">
      <c r="A153" s="41" t="inlineStr">
        <is>
          <t>australian</t>
        </is>
      </c>
      <c r="B153" s="42" t="inlineStr">
        <is>
          <t>boundary</t>
        </is>
      </c>
      <c r="C153" s="42" t="n">
        <v>0.5</v>
      </c>
      <c r="D153" s="42" t="n">
        <v>0.497</v>
      </c>
      <c r="E153" s="42" t="n">
        <v>0.487</v>
      </c>
      <c r="F153" s="42" t="n">
        <v>0.493</v>
      </c>
      <c r="G153" s="42" t="n">
        <v>0.486</v>
      </c>
      <c r="H153" s="42" t="n">
        <v>0.504</v>
      </c>
      <c r="I153" s="43">
        <f>IFERROR(AVERAGE(D153:H153),"")</f>
        <v/>
      </c>
      <c r="J153" s="42" t="n">
        <v>0.526</v>
      </c>
      <c r="K153" s="42" t="n">
        <v>0.503</v>
      </c>
      <c r="L153" s="42" t="n">
        <v>0.47</v>
      </c>
      <c r="M153" s="42" t="n">
        <v>0.497</v>
      </c>
      <c r="N153" s="42" t="n">
        <v>0.532</v>
      </c>
      <c r="O153" s="43">
        <f>IFERROR(AVERAGE(J153:N153),"")</f>
        <v/>
      </c>
      <c r="P153" s="42" t="n">
        <v>0.49</v>
      </c>
      <c r="Q153" s="42" t="n">
        <v>0.484</v>
      </c>
      <c r="R153" s="42" t="n">
        <v>0.53</v>
      </c>
      <c r="S153" s="42" t="n">
        <v>0.47</v>
      </c>
      <c r="T153" s="42" t="n">
        <v>0.504</v>
      </c>
      <c r="U153" s="43">
        <f>IFERROR(AVERAGE(P153:T153),"")</f>
        <v/>
      </c>
      <c r="V153" s="42" t="n">
        <v>0.545</v>
      </c>
      <c r="W153" s="42" t="n">
        <v>0.494</v>
      </c>
      <c r="X153" s="42" t="n">
        <v>0.435</v>
      </c>
      <c r="Y153" s="42" t="n">
        <v>0.517</v>
      </c>
      <c r="Z153" s="42" t="n">
        <v>0.5649999999999999</v>
      </c>
      <c r="AA153" s="43">
        <f>IFERROR(AVERAGE(V153:Z153),"")</f>
        <v/>
      </c>
      <c r="AB153" s="42" t="n">
        <v>0.545</v>
      </c>
      <c r="AC153" s="42" t="n">
        <v>0.494</v>
      </c>
      <c r="AD153" s="42" t="n">
        <v>0.435</v>
      </c>
      <c r="AE153" s="42" t="n">
        <v>0.517</v>
      </c>
      <c r="AF153" s="42" t="n">
        <v>0.5649999999999999</v>
      </c>
      <c r="AG153" s="43">
        <f>IFERROR(AVERAGE(AB153:AF153),"")</f>
        <v/>
      </c>
      <c r="AH153" s="42">
        <f>IFERROR(AG153-AA153,"")</f>
        <v/>
      </c>
      <c r="AI153" s="42">
        <f>IFERROR(AG153-O153,"")</f>
        <v/>
      </c>
    </row>
    <row r="154">
      <c r="A154" s="41" t="inlineStr">
        <is>
          <t>australian</t>
        </is>
      </c>
      <c r="B154" s="42" t="inlineStr">
        <is>
          <t>far</t>
        </is>
      </c>
      <c r="C154" s="42" t="n">
        <v>0.2</v>
      </c>
      <c r="D154" s="42" t="n">
        <v>0.771</v>
      </c>
      <c r="E154" s="42" t="n">
        <v>0.758</v>
      </c>
      <c r="F154" s="42" t="n">
        <v>0.775</v>
      </c>
      <c r="G154" s="42" t="n">
        <v>0.736</v>
      </c>
      <c r="H154" s="42" t="n">
        <v>0.765</v>
      </c>
      <c r="I154" s="43">
        <f>IFERROR(AVERAGE(D154:H154),"")</f>
        <v/>
      </c>
      <c r="J154" s="42" t="n">
        <v>0.783</v>
      </c>
      <c r="K154" s="42" t="n">
        <v>0.757</v>
      </c>
      <c r="L154" s="42" t="n">
        <v>0.774</v>
      </c>
      <c r="M154" s="42" t="n">
        <v>0.78</v>
      </c>
      <c r="N154" s="42" t="n">
        <v>0.803</v>
      </c>
      <c r="O154" s="43">
        <f>IFERROR(AVERAGE(J154:N154),"")</f>
        <v/>
      </c>
      <c r="P154" s="42" t="n">
        <v>0.7</v>
      </c>
      <c r="Q154" s="42" t="n">
        <v>0.725</v>
      </c>
      <c r="R154" s="42" t="n">
        <v>0.699</v>
      </c>
      <c r="S154" s="42" t="n">
        <v>0.777</v>
      </c>
      <c r="T154" s="42" t="n">
        <v>0.751</v>
      </c>
      <c r="U154" s="43">
        <f>IFERROR(AVERAGE(P154:T154),"")</f>
        <v/>
      </c>
      <c r="V154" s="42" t="n">
        <v>0.699</v>
      </c>
      <c r="W154" s="42" t="n">
        <v>0.659</v>
      </c>
      <c r="X154" s="42" t="n">
        <v>0.714</v>
      </c>
      <c r="Y154" s="42" t="n">
        <v>0.662</v>
      </c>
      <c r="Z154" s="42" t="n">
        <v>0.675</v>
      </c>
      <c r="AA154" s="43">
        <f>IFERROR(AVERAGE(V154:Z154),"")</f>
        <v/>
      </c>
      <c r="AB154" s="42" t="n">
        <v>0.699</v>
      </c>
      <c r="AC154" s="42" t="n">
        <v>0.659</v>
      </c>
      <c r="AD154" s="42" t="n">
        <v>0.714</v>
      </c>
      <c r="AE154" s="42" t="n">
        <v>0.662</v>
      </c>
      <c r="AF154" s="42" t="n">
        <v>0.675</v>
      </c>
      <c r="AG154" s="43">
        <f>IFERROR(AVERAGE(AB154:AF154),"")</f>
        <v/>
      </c>
      <c r="AH154" s="42">
        <f>IFERROR(AG154-AA154,"")</f>
        <v/>
      </c>
      <c r="AI154" s="42">
        <f>IFERROR(AG154-O154,"")</f>
        <v/>
      </c>
    </row>
    <row r="155">
      <c r="A155" s="41" t="inlineStr">
        <is>
          <t>australian</t>
        </is>
      </c>
      <c r="B155" s="42" t="inlineStr">
        <is>
          <t>far</t>
        </is>
      </c>
      <c r="C155" s="42" t="n">
        <v>0.3</v>
      </c>
      <c r="D155" s="42" t="n">
        <v>0.719</v>
      </c>
      <c r="E155" s="42" t="n">
        <v>0.733</v>
      </c>
      <c r="F155" s="42" t="n">
        <v>0.6879999999999999</v>
      </c>
      <c r="G155" s="42" t="n">
        <v>0.6909999999999999</v>
      </c>
      <c r="H155" s="42" t="n">
        <v>0.723</v>
      </c>
      <c r="I155" s="43">
        <f>IFERROR(AVERAGE(D155:H155),"")</f>
        <v/>
      </c>
      <c r="J155" s="42" t="n">
        <v>0.703</v>
      </c>
      <c r="K155" s="42" t="n">
        <v>0.739</v>
      </c>
      <c r="L155" s="42" t="n">
        <v>0.716</v>
      </c>
      <c r="M155" s="42" t="n">
        <v>0.741</v>
      </c>
      <c r="N155" s="42" t="n">
        <v>0.723</v>
      </c>
      <c r="O155" s="43">
        <f>IFERROR(AVERAGE(J155:N155),"")</f>
        <v/>
      </c>
      <c r="P155" s="42" t="n">
        <v>0.672</v>
      </c>
      <c r="Q155" s="42" t="n">
        <v>0.6860000000000001</v>
      </c>
      <c r="R155" s="42" t="n">
        <v>0.654</v>
      </c>
      <c r="S155" s="42" t="n">
        <v>0.672</v>
      </c>
      <c r="T155" s="42" t="n">
        <v>0.701</v>
      </c>
      <c r="U155" s="43">
        <f>IFERROR(AVERAGE(P155:T155),"")</f>
        <v/>
      </c>
      <c r="V155" s="42" t="n">
        <v>0.629</v>
      </c>
      <c r="W155" s="42" t="n">
        <v>0.6929999999999999</v>
      </c>
      <c r="X155" s="42" t="n">
        <v>0.652</v>
      </c>
      <c r="Y155" s="42" t="n">
        <v>0.651</v>
      </c>
      <c r="Z155" s="42" t="n">
        <v>0.649</v>
      </c>
      <c r="AA155" s="43">
        <f>IFERROR(AVERAGE(V155:Z155),"")</f>
        <v/>
      </c>
      <c r="AB155" s="42" t="n">
        <v>0.629</v>
      </c>
      <c r="AC155" s="42" t="n">
        <v>0.6929999999999999</v>
      </c>
      <c r="AD155" s="42" t="n">
        <v>0.652</v>
      </c>
      <c r="AE155" s="42" t="n">
        <v>0.651</v>
      </c>
      <c r="AF155" s="42" t="n">
        <v>0.649</v>
      </c>
      <c r="AG155" s="43">
        <f>IFERROR(AVERAGE(AB155:AF155),"")</f>
        <v/>
      </c>
      <c r="AH155" s="42">
        <f>IFERROR(AG155-AA155,"")</f>
        <v/>
      </c>
      <c r="AI155" s="42">
        <f>IFERROR(AG155-O155,"")</f>
        <v/>
      </c>
    </row>
    <row r="156">
      <c r="A156" s="41" t="inlineStr">
        <is>
          <t>australian</t>
        </is>
      </c>
      <c r="B156" s="42" t="inlineStr">
        <is>
          <t>far</t>
        </is>
      </c>
      <c r="C156" s="42" t="n">
        <v>0.4</v>
      </c>
      <c r="D156" s="42" t="n">
        <v>0.614</v>
      </c>
      <c r="E156" s="42" t="n">
        <v>0.657</v>
      </c>
      <c r="F156" s="42" t="n">
        <v>0.635</v>
      </c>
      <c r="G156" s="42" t="n">
        <v>0.63</v>
      </c>
      <c r="H156" s="42" t="n">
        <v>0.661</v>
      </c>
      <c r="I156" s="43">
        <f>IFERROR(AVERAGE(D156:H156),"")</f>
        <v/>
      </c>
      <c r="J156" s="42" t="n">
        <v>0.6860000000000001</v>
      </c>
      <c r="K156" s="42" t="n">
        <v>0.635</v>
      </c>
      <c r="L156" s="42" t="n">
        <v>0.661</v>
      </c>
      <c r="M156" s="42" t="n">
        <v>0.664</v>
      </c>
      <c r="N156" s="42" t="n">
        <v>0.678</v>
      </c>
      <c r="O156" s="43">
        <f>IFERROR(AVERAGE(J156:N156),"")</f>
        <v/>
      </c>
      <c r="P156" s="42" t="n">
        <v>0.604</v>
      </c>
      <c r="Q156" s="42" t="n">
        <v>0.603</v>
      </c>
      <c r="R156" s="42" t="n">
        <v>0.661</v>
      </c>
      <c r="S156" s="42" t="n">
        <v>0.601</v>
      </c>
      <c r="T156" s="42" t="n">
        <v>0.578</v>
      </c>
      <c r="U156" s="43">
        <f>IFERROR(AVERAGE(P156:T156),"")</f>
        <v/>
      </c>
      <c r="V156" s="42" t="n">
        <v>0.599</v>
      </c>
      <c r="W156" s="42" t="n">
        <v>0.528</v>
      </c>
      <c r="X156" s="42" t="n">
        <v>0.61</v>
      </c>
      <c r="Y156" s="42" t="n">
        <v>0.658</v>
      </c>
      <c r="Z156" s="42" t="n">
        <v>0.554</v>
      </c>
      <c r="AA156" s="43">
        <f>IFERROR(AVERAGE(V156:Z156),"")</f>
        <v/>
      </c>
      <c r="AB156" s="42" t="n">
        <v>0.599</v>
      </c>
      <c r="AC156" s="42" t="n">
        <v>0.528</v>
      </c>
      <c r="AD156" s="42" t="n">
        <v>0.61</v>
      </c>
      <c r="AE156" s="42" t="n">
        <v>0.658</v>
      </c>
      <c r="AF156" s="42" t="n">
        <v>0.554</v>
      </c>
      <c r="AG156" s="43">
        <f>IFERROR(AVERAGE(AB156:AF156),"")</f>
        <v/>
      </c>
      <c r="AH156" s="42">
        <f>IFERROR(AG156-AA156,"")</f>
        <v/>
      </c>
      <c r="AI156" s="42">
        <f>IFERROR(AG156-O156,"")</f>
        <v/>
      </c>
    </row>
    <row r="157">
      <c r="A157" s="41" t="inlineStr">
        <is>
          <t>australian</t>
        </is>
      </c>
      <c r="B157" s="42" t="inlineStr">
        <is>
          <t>far</t>
        </is>
      </c>
      <c r="C157" s="42" t="n">
        <v>0.5</v>
      </c>
      <c r="D157" s="42" t="n">
        <v>0.417</v>
      </c>
      <c r="E157" s="42" t="n">
        <v>0.506</v>
      </c>
      <c r="F157" s="42" t="n">
        <v>0.533</v>
      </c>
      <c r="G157" s="42" t="n">
        <v>0.506</v>
      </c>
      <c r="H157" s="42" t="n">
        <v>0.446</v>
      </c>
      <c r="I157" s="43">
        <f>IFERROR(AVERAGE(D157:H157),"")</f>
        <v/>
      </c>
      <c r="J157" s="42" t="n">
        <v>0.458</v>
      </c>
      <c r="K157" s="42" t="n">
        <v>0.497</v>
      </c>
      <c r="L157" s="42" t="n">
        <v>0.513</v>
      </c>
      <c r="M157" s="42" t="n">
        <v>0.483</v>
      </c>
      <c r="N157" s="42" t="n">
        <v>0.474</v>
      </c>
      <c r="O157" s="43">
        <f>IFERROR(AVERAGE(J157:N157),"")</f>
        <v/>
      </c>
      <c r="P157" s="42" t="n">
        <v>0.439</v>
      </c>
      <c r="Q157" s="42" t="n">
        <v>0.523</v>
      </c>
      <c r="R157" s="42" t="n">
        <v>0.49</v>
      </c>
      <c r="S157" s="42" t="n">
        <v>0.5</v>
      </c>
      <c r="T157" s="42" t="n">
        <v>0.47</v>
      </c>
      <c r="U157" s="43">
        <f>IFERROR(AVERAGE(P157:T157),"")</f>
        <v/>
      </c>
      <c r="V157" s="42" t="n">
        <v>0.439</v>
      </c>
      <c r="W157" s="42" t="n">
        <v>0.522</v>
      </c>
      <c r="X157" s="42" t="n">
        <v>0.53</v>
      </c>
      <c r="Y157" s="42" t="n">
        <v>0.449</v>
      </c>
      <c r="Z157" s="42" t="n">
        <v>0.512</v>
      </c>
      <c r="AA157" s="43">
        <f>IFERROR(AVERAGE(V157:Z157),"")</f>
        <v/>
      </c>
      <c r="AB157" s="42" t="n">
        <v>0.439</v>
      </c>
      <c r="AC157" s="42" t="n">
        <v>0.522</v>
      </c>
      <c r="AD157" s="42" t="n">
        <v>0.53</v>
      </c>
      <c r="AE157" s="42" t="n">
        <v>0.449</v>
      </c>
      <c r="AF157" s="42" t="n">
        <v>0.512</v>
      </c>
      <c r="AG157" s="43">
        <f>IFERROR(AVERAGE(AB157:AF157),"")</f>
        <v/>
      </c>
      <c r="AH157" s="42">
        <f>IFERROR(AG157-AA157,"")</f>
        <v/>
      </c>
      <c r="AI157" s="42">
        <f>IFERROR(AG157-O157,"")</f>
        <v/>
      </c>
    </row>
    <row r="158">
      <c r="A158" s="41" t="inlineStr">
        <is>
          <t>german</t>
        </is>
      </c>
      <c r="B158" s="42" t="inlineStr">
        <is>
          <t>(clean)</t>
        </is>
      </c>
      <c r="C158" s="42" t="n">
        <v>0</v>
      </c>
      <c r="D158" s="42" t="n">
        <v>0.726</v>
      </c>
      <c r="E158" s="42" t="n">
        <v>0.733</v>
      </c>
      <c r="F158" s="42" t="n">
        <v>0.725</v>
      </c>
      <c r="G158" s="42" t="n">
        <v>0.721</v>
      </c>
      <c r="H158" s="42" t="n">
        <v>0.716</v>
      </c>
      <c r="I158" s="43">
        <f>IFERROR(AVERAGE(D158:H158),"")</f>
        <v/>
      </c>
      <c r="J158" s="42" t="n">
        <v>0.712</v>
      </c>
      <c r="K158" s="42" t="n">
        <v>0.726</v>
      </c>
      <c r="L158" s="42" t="n">
        <v>0.728</v>
      </c>
      <c r="M158" s="42" t="n">
        <v>0.716</v>
      </c>
      <c r="N158" s="42" t="n">
        <v>0.723</v>
      </c>
      <c r="O158" s="43">
        <f>IFERROR(AVERAGE(J158:N158),"")</f>
        <v/>
      </c>
      <c r="P158" s="42" t="n"/>
      <c r="Q158" s="42" t="n"/>
      <c r="R158" s="42" t="n"/>
      <c r="S158" s="42" t="n"/>
      <c r="T158" s="42" t="n"/>
      <c r="U158" s="43">
        <f>IFERROR(AVERAGE(P158:T158),"")</f>
        <v/>
      </c>
      <c r="V158" s="42" t="n"/>
      <c r="W158" s="42" t="n"/>
      <c r="X158" s="42" t="n"/>
      <c r="Y158" s="42" t="n"/>
      <c r="Z158" s="42" t="n"/>
      <c r="AA158" s="43">
        <f>IFERROR(AVERAGE(V158:Z158),"")</f>
        <v/>
      </c>
      <c r="AB158" s="42" t="n">
        <v>0.612</v>
      </c>
      <c r="AC158" s="42" t="n">
        <v>0.62</v>
      </c>
      <c r="AD158" s="42" t="n">
        <v>0.609</v>
      </c>
      <c r="AE158" s="42" t="n">
        <v>0.623</v>
      </c>
      <c r="AF158" s="42" t="n">
        <v>0.621</v>
      </c>
      <c r="AG158" s="43">
        <f>IFERROR(AVERAGE(AB158:AF158),"")</f>
        <v/>
      </c>
      <c r="AH158" s="42">
        <f>IFERROR(AG158-AA158,"")</f>
        <v/>
      </c>
      <c r="AI158" s="42">
        <f>IFERROR(AG158-O158,"")</f>
        <v/>
      </c>
    </row>
    <row r="159">
      <c r="A159" s="41" t="inlineStr">
        <is>
          <t>german</t>
        </is>
      </c>
      <c r="B159" s="42" t="inlineStr">
        <is>
          <t>symmetric</t>
        </is>
      </c>
      <c r="C159" s="42" t="n">
        <v>0.2</v>
      </c>
      <c r="D159" s="42" t="n">
        <v>0.696</v>
      </c>
      <c r="E159" s="42" t="n">
        <v>0.696</v>
      </c>
      <c r="F159" s="42" t="n">
        <v>0.694</v>
      </c>
      <c r="G159" s="42" t="n">
        <v>0.679</v>
      </c>
      <c r="H159" s="42" t="n">
        <v>0.673</v>
      </c>
      <c r="I159" s="43">
        <f>IFERROR(AVERAGE(D159:H159),"")</f>
        <v/>
      </c>
      <c r="J159" s="42" t="n">
        <v>0.675</v>
      </c>
      <c r="K159" s="42" t="n">
        <v>0.6889999999999999</v>
      </c>
      <c r="L159" s="42" t="n">
        <v>0.663</v>
      </c>
      <c r="M159" s="42" t="n">
        <v>0.6850000000000001</v>
      </c>
      <c r="N159" s="42" t="n">
        <v>0.655</v>
      </c>
      <c r="O159" s="43">
        <f>IFERROR(AVERAGE(J159:N159),"")</f>
        <v/>
      </c>
      <c r="P159" s="42" t="n">
        <v>0.67</v>
      </c>
      <c r="Q159" s="42" t="n">
        <v>0.633</v>
      </c>
      <c r="R159" s="42" t="n">
        <v>0.638</v>
      </c>
      <c r="S159" s="42" t="n">
        <v>0.633</v>
      </c>
      <c r="T159" s="42" t="n">
        <v>0.615</v>
      </c>
      <c r="U159" s="43">
        <f>IFERROR(AVERAGE(P159:T159),"")</f>
        <v/>
      </c>
      <c r="V159" s="42" t="n">
        <v>0.63</v>
      </c>
      <c r="W159" s="42" t="n">
        <v>0.605</v>
      </c>
      <c r="X159" s="42" t="n">
        <v>0.618</v>
      </c>
      <c r="Y159" s="42" t="n">
        <v>0.645</v>
      </c>
      <c r="Z159" s="42" t="n">
        <v>0.57</v>
      </c>
      <c r="AA159" s="43">
        <f>IFERROR(AVERAGE(V159:Z159),"")</f>
        <v/>
      </c>
      <c r="AB159" s="42" t="n">
        <v>0.63</v>
      </c>
      <c r="AC159" s="42" t="n">
        <v>0.605</v>
      </c>
      <c r="AD159" s="42" t="n">
        <v>0.618</v>
      </c>
      <c r="AE159" s="42" t="n">
        <v>0.645</v>
      </c>
      <c r="AF159" s="42" t="n">
        <v>0.57</v>
      </c>
      <c r="AG159" s="43">
        <f>IFERROR(AVERAGE(AB159:AF159),"")</f>
        <v/>
      </c>
      <c r="AH159" s="42">
        <f>IFERROR(AG159-AA159,"")</f>
        <v/>
      </c>
      <c r="AI159" s="42">
        <f>IFERROR(AG159-O159,"")</f>
        <v/>
      </c>
    </row>
    <row r="160">
      <c r="A160" s="41" t="inlineStr">
        <is>
          <t>german</t>
        </is>
      </c>
      <c r="B160" s="42" t="inlineStr">
        <is>
          <t>symmetric</t>
        </is>
      </c>
      <c r="C160" s="42" t="n">
        <v>0.3</v>
      </c>
      <c r="D160" s="42" t="n">
        <v>0.647</v>
      </c>
      <c r="E160" s="42" t="n">
        <v>0.651</v>
      </c>
      <c r="F160" s="42" t="n">
        <v>0.651</v>
      </c>
      <c r="G160" s="42" t="n">
        <v>0.611</v>
      </c>
      <c r="H160" s="42" t="n">
        <v>0.657</v>
      </c>
      <c r="I160" s="43">
        <f>IFERROR(AVERAGE(D160:H160),"")</f>
        <v/>
      </c>
      <c r="J160" s="42" t="n">
        <v>0.65</v>
      </c>
      <c r="K160" s="42" t="n">
        <v>0.654</v>
      </c>
      <c r="L160" s="42" t="n">
        <v>0.636</v>
      </c>
      <c r="M160" s="42" t="n">
        <v>0.608</v>
      </c>
      <c r="N160" s="42" t="n">
        <v>0.622</v>
      </c>
      <c r="O160" s="43">
        <f>IFERROR(AVERAGE(J160:N160),"")</f>
        <v/>
      </c>
      <c r="P160" s="42" t="n">
        <v>0.6</v>
      </c>
      <c r="Q160" s="42" t="n">
        <v>0.627</v>
      </c>
      <c r="R160" s="42" t="n">
        <v>0.59</v>
      </c>
      <c r="S160" s="42" t="n">
        <v>0.591</v>
      </c>
      <c r="T160" s="42" t="n">
        <v>0.585</v>
      </c>
      <c r="U160" s="43">
        <f>IFERROR(AVERAGE(P160:T160),"")</f>
        <v/>
      </c>
      <c r="V160" s="42" t="n">
        <v>0.5669999999999999</v>
      </c>
      <c r="W160" s="42" t="n">
        <v>0.615</v>
      </c>
      <c r="X160" s="42" t="n">
        <v>0.586</v>
      </c>
      <c r="Y160" s="42" t="n">
        <v>0.545</v>
      </c>
      <c r="Z160" s="42" t="n">
        <v>0.535</v>
      </c>
      <c r="AA160" s="43">
        <f>IFERROR(AVERAGE(V160:Z160),"")</f>
        <v/>
      </c>
      <c r="AB160" s="42" t="n">
        <v>0.5669999999999999</v>
      </c>
      <c r="AC160" s="42" t="n">
        <v>0.615</v>
      </c>
      <c r="AD160" s="42" t="n">
        <v>0.586</v>
      </c>
      <c r="AE160" s="42" t="n">
        <v>0.545</v>
      </c>
      <c r="AF160" s="42" t="n">
        <v>0.535</v>
      </c>
      <c r="AG160" s="43">
        <f>IFERROR(AVERAGE(AB160:AF160),"")</f>
        <v/>
      </c>
      <c r="AH160" s="42">
        <f>IFERROR(AG160-AA160,"")</f>
        <v/>
      </c>
      <c r="AI160" s="42">
        <f>IFERROR(AG160-O160,"")</f>
        <v/>
      </c>
    </row>
    <row r="161">
      <c r="A161" s="41" t="inlineStr">
        <is>
          <t>german</t>
        </is>
      </c>
      <c r="B161" s="42" t="inlineStr">
        <is>
          <t>symmetric</t>
        </is>
      </c>
      <c r="C161" s="42" t="n">
        <v>0.4</v>
      </c>
      <c r="D161" s="42" t="n">
        <v>0.594</v>
      </c>
      <c r="E161" s="42" t="n">
        <v>0.577</v>
      </c>
      <c r="F161" s="42" t="n">
        <v>0.618</v>
      </c>
      <c r="G161" s="42" t="n">
        <v>0.573</v>
      </c>
      <c r="H161" s="42" t="n">
        <v>0.556</v>
      </c>
      <c r="I161" s="43">
        <f>IFERROR(AVERAGE(D161:H161),"")</f>
        <v/>
      </c>
      <c r="J161" s="42" t="n">
        <v>0.583</v>
      </c>
      <c r="K161" s="42" t="n">
        <v>0.573</v>
      </c>
      <c r="L161" s="42" t="n">
        <v>0.583</v>
      </c>
      <c r="M161" s="42" t="n">
        <v>0.582</v>
      </c>
      <c r="N161" s="42" t="n">
        <v>0.523</v>
      </c>
      <c r="O161" s="43">
        <f>IFERROR(AVERAGE(J161:N161),"")</f>
        <v/>
      </c>
      <c r="P161" s="42" t="n">
        <v>0.578</v>
      </c>
      <c r="Q161" s="42" t="n">
        <v>0.542</v>
      </c>
      <c r="R161" s="42" t="n">
        <v>0.588</v>
      </c>
      <c r="S161" s="42" t="n">
        <v>0.548</v>
      </c>
      <c r="T161" s="42" t="n">
        <v>0.532</v>
      </c>
      <c r="U161" s="43">
        <f>IFERROR(AVERAGE(P161:T161),"")</f>
        <v/>
      </c>
      <c r="V161" s="42" t="n">
        <v>0.5659999999999999</v>
      </c>
      <c r="W161" s="42" t="n">
        <v>0.52</v>
      </c>
      <c r="X161" s="42" t="n">
        <v>0.5620000000000001</v>
      </c>
      <c r="Y161" s="42" t="n">
        <v>0.552</v>
      </c>
      <c r="Z161" s="42" t="n">
        <v>0.524</v>
      </c>
      <c r="AA161" s="43">
        <f>IFERROR(AVERAGE(V161:Z161),"")</f>
        <v/>
      </c>
      <c r="AB161" s="42" t="n">
        <v>0.5659999999999999</v>
      </c>
      <c r="AC161" s="42" t="n">
        <v>0.52</v>
      </c>
      <c r="AD161" s="42" t="n">
        <v>0.5620000000000001</v>
      </c>
      <c r="AE161" s="42" t="n">
        <v>0.552</v>
      </c>
      <c r="AF161" s="42" t="n">
        <v>0.524</v>
      </c>
      <c r="AG161" s="43">
        <f>IFERROR(AVERAGE(AB161:AF161),"")</f>
        <v/>
      </c>
      <c r="AH161" s="42">
        <f>IFERROR(AG161-AA161,"")</f>
        <v/>
      </c>
      <c r="AI161" s="42">
        <f>IFERROR(AG161-O161,"")</f>
        <v/>
      </c>
    </row>
    <row r="162">
      <c r="A162" s="41" t="inlineStr">
        <is>
          <t>german</t>
        </is>
      </c>
      <c r="B162" s="42" t="inlineStr">
        <is>
          <t>symmetric</t>
        </is>
      </c>
      <c r="C162" s="42" t="n">
        <v>0.5</v>
      </c>
      <c r="D162" s="42" t="n">
        <v>0.492</v>
      </c>
      <c r="E162" s="42" t="n">
        <v>0.5600000000000001</v>
      </c>
      <c r="F162" s="42" t="n">
        <v>0.51</v>
      </c>
      <c r="G162" s="42" t="n">
        <v>0.473</v>
      </c>
      <c r="H162" s="42" t="n">
        <v>0.496</v>
      </c>
      <c r="I162" s="43">
        <f>IFERROR(AVERAGE(D162:H162),"")</f>
        <v/>
      </c>
      <c r="J162" s="42" t="n">
        <v>0.485</v>
      </c>
      <c r="K162" s="42" t="n">
        <v>0.533</v>
      </c>
      <c r="L162" s="42" t="n">
        <v>0.506</v>
      </c>
      <c r="M162" s="42" t="n">
        <v>0.483</v>
      </c>
      <c r="N162" s="42" t="n">
        <v>0.476</v>
      </c>
      <c r="O162" s="43">
        <f>IFERROR(AVERAGE(J162:N162),"")</f>
        <v/>
      </c>
      <c r="P162" s="42" t="n">
        <v>0.494</v>
      </c>
      <c r="Q162" s="42" t="n">
        <v>0.548</v>
      </c>
      <c r="R162" s="42" t="n">
        <v>0.497</v>
      </c>
      <c r="S162" s="42" t="n">
        <v>0.491</v>
      </c>
      <c r="T162" s="42" t="n">
        <v>0.508</v>
      </c>
      <c r="U162" s="43">
        <f>IFERROR(AVERAGE(P162:T162),"")</f>
        <v/>
      </c>
      <c r="V162" s="42" t="n">
        <v>0.505</v>
      </c>
      <c r="W162" s="42" t="n">
        <v>0.535</v>
      </c>
      <c r="X162" s="42" t="n">
        <v>0.52</v>
      </c>
      <c r="Y162" s="42" t="n">
        <v>0.502</v>
      </c>
      <c r="Z162" s="42" t="n">
        <v>0.509</v>
      </c>
      <c r="AA162" s="43">
        <f>IFERROR(AVERAGE(V162:Z162),"")</f>
        <v/>
      </c>
      <c r="AB162" s="42" t="n">
        <v>0.505</v>
      </c>
      <c r="AC162" s="42" t="n">
        <v>0.535</v>
      </c>
      <c r="AD162" s="42" t="n">
        <v>0.52</v>
      </c>
      <c r="AE162" s="42" t="n">
        <v>0.502</v>
      </c>
      <c r="AF162" s="42" t="n">
        <v>0.509</v>
      </c>
      <c r="AG162" s="43">
        <f>IFERROR(AVERAGE(AB162:AF162),"")</f>
        <v/>
      </c>
      <c r="AH162" s="42">
        <f>IFERROR(AG162-AA162,"")</f>
        <v/>
      </c>
      <c r="AI162" s="42">
        <f>IFERROR(AG162-O162,"")</f>
        <v/>
      </c>
    </row>
    <row r="163">
      <c r="A163" s="41" t="inlineStr">
        <is>
          <t>german</t>
        </is>
      </c>
      <c r="B163" s="42" t="inlineStr">
        <is>
          <t>asymmetric</t>
        </is>
      </c>
      <c r="C163" s="42" t="n">
        <v>0.2</v>
      </c>
      <c r="D163" s="42" t="n">
        <v>0.709</v>
      </c>
      <c r="E163" s="42" t="n">
        <v>0.727</v>
      </c>
      <c r="F163" s="42" t="n">
        <v>0.735</v>
      </c>
      <c r="G163" s="42" t="n">
        <v>0.723</v>
      </c>
      <c r="H163" s="42" t="n">
        <v>0.712</v>
      </c>
      <c r="I163" s="43">
        <f>IFERROR(AVERAGE(D163:H163),"")</f>
        <v/>
      </c>
      <c r="J163" s="42" t="n">
        <v>0.722</v>
      </c>
      <c r="K163" s="42" t="n">
        <v>0.72</v>
      </c>
      <c r="L163" s="42" t="n">
        <v>0.73</v>
      </c>
      <c r="M163" s="42" t="n">
        <v>0.718</v>
      </c>
      <c r="N163" s="42" t="n">
        <v>0.718</v>
      </c>
      <c r="O163" s="43">
        <f>IFERROR(AVERAGE(J163:N163),"")</f>
        <v/>
      </c>
      <c r="P163" s="42" t="n"/>
      <c r="Q163" s="42" t="n"/>
      <c r="R163" s="42" t="n"/>
      <c r="S163" s="42" t="n"/>
      <c r="T163" s="42" t="n"/>
      <c r="U163" s="43">
        <f>IFERROR(AVERAGE(P163:T163),"")</f>
        <v/>
      </c>
      <c r="V163" s="42" t="n"/>
      <c r="W163" s="42" t="n"/>
      <c r="X163" s="42" t="n"/>
      <c r="Y163" s="42" t="n"/>
      <c r="Z163" s="42" t="n"/>
      <c r="AA163" s="43">
        <f>IFERROR(AVERAGE(V163:Z163),"")</f>
        <v/>
      </c>
      <c r="AB163" s="42" t="n">
        <v>0.593</v>
      </c>
      <c r="AC163" s="42" t="n">
        <v>0.616</v>
      </c>
      <c r="AD163" s="42" t="n">
        <v>0.669</v>
      </c>
      <c r="AE163" s="42" t="n">
        <v>0.669</v>
      </c>
      <c r="AF163" s="42" t="n">
        <v>0.571</v>
      </c>
      <c r="AG163" s="43">
        <f>IFERROR(AVERAGE(AB163:AF163),"")</f>
        <v/>
      </c>
      <c r="AH163" s="42">
        <f>IFERROR(AG163-AA163,"")</f>
        <v/>
      </c>
      <c r="AI163" s="42">
        <f>IFERROR(AG163-O163,"")</f>
        <v/>
      </c>
    </row>
    <row r="164">
      <c r="A164" s="41" t="inlineStr">
        <is>
          <t>german</t>
        </is>
      </c>
      <c r="B164" s="42" t="inlineStr">
        <is>
          <t>asymmetric</t>
        </is>
      </c>
      <c r="C164" s="42" t="n">
        <v>0.3</v>
      </c>
      <c r="D164" s="42" t="n">
        <v>0.716</v>
      </c>
      <c r="E164" s="42" t="n">
        <v>0.722</v>
      </c>
      <c r="F164" s="42" t="n">
        <v>0.721</v>
      </c>
      <c r="G164" s="42" t="n">
        <v>0.717</v>
      </c>
      <c r="H164" s="42" t="n">
        <v>0.708</v>
      </c>
      <c r="I164" s="43">
        <f>IFERROR(AVERAGE(D164:H164),"")</f>
        <v/>
      </c>
      <c r="J164" s="42" t="n">
        <v>0.735</v>
      </c>
      <c r="K164" s="42" t="n">
        <v>0.706</v>
      </c>
      <c r="L164" s="42" t="n">
        <v>0.717</v>
      </c>
      <c r="M164" s="42" t="n">
        <v>0.714</v>
      </c>
      <c r="N164" s="42" t="n">
        <v>0.727</v>
      </c>
      <c r="O164" s="43">
        <f>IFERROR(AVERAGE(J164:N164),"")</f>
        <v/>
      </c>
      <c r="P164" s="42" t="n"/>
      <c r="Q164" s="42" t="n"/>
      <c r="R164" s="42" t="n"/>
      <c r="S164" s="42" t="n"/>
      <c r="T164" s="42" t="n"/>
      <c r="U164" s="43">
        <f>IFERROR(AVERAGE(P164:T164),"")</f>
        <v/>
      </c>
      <c r="V164" s="42" t="n"/>
      <c r="W164" s="42" t="n"/>
      <c r="X164" s="42" t="n"/>
      <c r="Y164" s="42" t="n"/>
      <c r="Z164" s="42" t="n"/>
      <c r="AA164" s="43">
        <f>IFERROR(AVERAGE(V164:Z164),"")</f>
        <v/>
      </c>
      <c r="AB164" s="42" t="n">
        <v>0.644</v>
      </c>
      <c r="AC164" s="42" t="n">
        <v>0.5639999999999999</v>
      </c>
      <c r="AD164" s="42" t="n">
        <v>0.645</v>
      </c>
      <c r="AE164" s="42" t="n">
        <v>0.649</v>
      </c>
      <c r="AF164" s="42" t="n">
        <v>0.628</v>
      </c>
      <c r="AG164" s="43">
        <f>IFERROR(AVERAGE(AB164:AF164),"")</f>
        <v/>
      </c>
      <c r="AH164" s="42">
        <f>IFERROR(AG164-AA164,"")</f>
        <v/>
      </c>
      <c r="AI164" s="42">
        <f>IFERROR(AG164-O164,"")</f>
        <v/>
      </c>
    </row>
    <row r="165">
      <c r="A165" s="41" t="inlineStr">
        <is>
          <t>german</t>
        </is>
      </c>
      <c r="B165" s="42" t="inlineStr">
        <is>
          <t>asymmetric</t>
        </is>
      </c>
      <c r="C165" s="42" t="n">
        <v>0.4</v>
      </c>
      <c r="D165" s="42" t="n">
        <v>0.715</v>
      </c>
      <c r="E165" s="42" t="n">
        <v>0.71</v>
      </c>
      <c r="F165" s="42" t="n">
        <v>0.707</v>
      </c>
      <c r="G165" s="42" t="n">
        <v>0.705</v>
      </c>
      <c r="H165" s="42" t="n">
        <v>0.709</v>
      </c>
      <c r="I165" s="43">
        <f>IFERROR(AVERAGE(D165:H165),"")</f>
        <v/>
      </c>
      <c r="J165" s="42" t="n">
        <v>0.719</v>
      </c>
      <c r="K165" s="42" t="n">
        <v>0.722</v>
      </c>
      <c r="L165" s="42" t="n">
        <v>0.718</v>
      </c>
      <c r="M165" s="42" t="n">
        <v>0.696</v>
      </c>
      <c r="N165" s="42" t="n">
        <v>0.714</v>
      </c>
      <c r="O165" s="43">
        <f>IFERROR(AVERAGE(J165:N165),"")</f>
        <v/>
      </c>
      <c r="P165" s="42" t="n"/>
      <c r="Q165" s="42" t="n"/>
      <c r="R165" s="42" t="n"/>
      <c r="S165" s="42" t="n"/>
      <c r="T165" s="42" t="n"/>
      <c r="U165" s="43">
        <f>IFERROR(AVERAGE(P165:T165),"")</f>
        <v/>
      </c>
      <c r="V165" s="42" t="n"/>
      <c r="W165" s="42" t="n"/>
      <c r="X165" s="42" t="n"/>
      <c r="Y165" s="42" t="n"/>
      <c r="Z165" s="42" t="n"/>
      <c r="AA165" s="43">
        <f>IFERROR(AVERAGE(V165:Z165),"")</f>
        <v/>
      </c>
      <c r="AB165" s="42" t="n">
        <v>0.591</v>
      </c>
      <c r="AC165" s="42" t="n">
        <v>0.575</v>
      </c>
      <c r="AD165" s="42" t="n">
        <v>0.586</v>
      </c>
      <c r="AE165" s="42" t="n">
        <v>0.645</v>
      </c>
      <c r="AF165" s="42" t="n">
        <v>0.591</v>
      </c>
      <c r="AG165" s="43">
        <f>IFERROR(AVERAGE(AB165:AF165),"")</f>
        <v/>
      </c>
      <c r="AH165" s="42">
        <f>IFERROR(AG165-AA165,"")</f>
        <v/>
      </c>
      <c r="AI165" s="42">
        <f>IFERROR(AG165-O165,"")</f>
        <v/>
      </c>
    </row>
    <row r="166">
      <c r="A166" s="41" t="inlineStr">
        <is>
          <t>german</t>
        </is>
      </c>
      <c r="B166" s="42" t="inlineStr">
        <is>
          <t>asymmetric</t>
        </is>
      </c>
      <c r="C166" s="42" t="n">
        <v>0.5</v>
      </c>
      <c r="D166" s="42" t="n">
        <v>0.711</v>
      </c>
      <c r="E166" s="42" t="n">
        <v>0.721</v>
      </c>
      <c r="F166" s="42" t="n">
        <v>0.711</v>
      </c>
      <c r="G166" s="42" t="n">
        <v>0.706</v>
      </c>
      <c r="H166" s="42" t="n">
        <v>0.702</v>
      </c>
      <c r="I166" s="43">
        <f>IFERROR(AVERAGE(D166:H166),"")</f>
        <v/>
      </c>
      <c r="J166" s="42" t="n">
        <v>0.709</v>
      </c>
      <c r="K166" s="42" t="n">
        <v>0.712</v>
      </c>
      <c r="L166" s="42" t="n">
        <v>0.711</v>
      </c>
      <c r="M166" s="42" t="n">
        <v>0.718</v>
      </c>
      <c r="N166" s="42" t="n">
        <v>0.725</v>
      </c>
      <c r="O166" s="43">
        <f>IFERROR(AVERAGE(J166:N166),"")</f>
        <v/>
      </c>
      <c r="P166" s="42" t="n"/>
      <c r="Q166" s="42" t="n"/>
      <c r="R166" s="42" t="n"/>
      <c r="S166" s="42" t="n"/>
      <c r="T166" s="42" t="n"/>
      <c r="U166" s="43">
        <f>IFERROR(AVERAGE(P166:T166),"")</f>
        <v/>
      </c>
      <c r="V166" s="42" t="n"/>
      <c r="W166" s="42" t="n"/>
      <c r="X166" s="42" t="n"/>
      <c r="Y166" s="42" t="n"/>
      <c r="Z166" s="42" t="n"/>
      <c r="AA166" s="43">
        <f>IFERROR(AVERAGE(V166:Z166),"")</f>
        <v/>
      </c>
      <c r="AB166" s="42" t="n">
        <v>0.615</v>
      </c>
      <c r="AC166" s="42" t="n">
        <v>0.601</v>
      </c>
      <c r="AD166" s="42" t="n">
        <v>0.635</v>
      </c>
      <c r="AE166" s="42" t="n">
        <v>0.589</v>
      </c>
      <c r="AF166" s="42" t="n">
        <v>0.586</v>
      </c>
      <c r="AG166" s="43">
        <f>IFERROR(AVERAGE(AB166:AF166),"")</f>
        <v/>
      </c>
      <c r="AH166" s="42">
        <f>IFERROR(AG166-AA166,"")</f>
        <v/>
      </c>
      <c r="AI166" s="42">
        <f>IFERROR(AG166-O166,"")</f>
        <v/>
      </c>
    </row>
    <row r="167">
      <c r="A167" s="41" t="inlineStr">
        <is>
          <t>german</t>
        </is>
      </c>
      <c r="B167" s="42" t="inlineStr">
        <is>
          <t>boundary</t>
        </is>
      </c>
      <c r="C167" s="42" t="n">
        <v>0.2</v>
      </c>
      <c r="D167" s="42" t="n">
        <v>0.72</v>
      </c>
      <c r="E167" s="42" t="n">
        <v>0.72</v>
      </c>
      <c r="F167" s="42" t="n">
        <v>0.708</v>
      </c>
      <c r="G167" s="42" t="n">
        <v>0.71</v>
      </c>
      <c r="H167" s="42" t="n">
        <v>0.695</v>
      </c>
      <c r="I167" s="43">
        <f>IFERROR(AVERAGE(D167:H167),"")</f>
        <v/>
      </c>
      <c r="J167" s="42" t="n">
        <v>0.715</v>
      </c>
      <c r="K167" s="42" t="n">
        <v>0.722</v>
      </c>
      <c r="L167" s="42" t="n">
        <v>0.71</v>
      </c>
      <c r="M167" s="42" t="n">
        <v>0.7</v>
      </c>
      <c r="N167" s="42" t="n">
        <v>0.6860000000000001</v>
      </c>
      <c r="O167" s="43">
        <f>IFERROR(AVERAGE(J167:N167),"")</f>
        <v/>
      </c>
      <c r="P167" s="42" t="n">
        <v>0.645</v>
      </c>
      <c r="Q167" s="42" t="n">
        <v>0.645</v>
      </c>
      <c r="R167" s="42" t="n">
        <v>0.6830000000000001</v>
      </c>
      <c r="S167" s="42" t="n">
        <v>0.634</v>
      </c>
      <c r="T167" s="42" t="n">
        <v>0.675</v>
      </c>
      <c r="U167" s="43">
        <f>IFERROR(AVERAGE(P167:T167),"")</f>
        <v/>
      </c>
      <c r="V167" s="42" t="n">
        <v>0.55</v>
      </c>
      <c r="W167" s="42" t="n">
        <v>0.529</v>
      </c>
      <c r="X167" s="42" t="n">
        <v>0.635</v>
      </c>
      <c r="Y167" s="42" t="n">
        <v>0.598</v>
      </c>
      <c r="Z167" s="42" t="n">
        <v>0.547</v>
      </c>
      <c r="AA167" s="43">
        <f>IFERROR(AVERAGE(V167:Z167),"")</f>
        <v/>
      </c>
      <c r="AB167" s="42" t="n">
        <v>0.57</v>
      </c>
      <c r="AC167" s="42" t="n">
        <v>0.5669999999999999</v>
      </c>
      <c r="AD167" s="42" t="n">
        <v>0.589</v>
      </c>
      <c r="AE167" s="42" t="n">
        <v>0.581</v>
      </c>
      <c r="AF167" s="42" t="n">
        <v>0.546</v>
      </c>
      <c r="AG167" s="43">
        <f>IFERROR(AVERAGE(AB167:AF167),"")</f>
        <v/>
      </c>
      <c r="AH167" s="42">
        <f>IFERROR(AG167-AA167,"")</f>
        <v/>
      </c>
      <c r="AI167" s="42">
        <f>IFERROR(AG167-O167,"")</f>
        <v/>
      </c>
    </row>
    <row r="168">
      <c r="A168" s="41" t="inlineStr">
        <is>
          <t>german</t>
        </is>
      </c>
      <c r="B168" s="42" t="inlineStr">
        <is>
          <t>boundary</t>
        </is>
      </c>
      <c r="C168" s="42" t="n">
        <v>0.3</v>
      </c>
      <c r="D168" s="42" t="n">
        <v>0.698</v>
      </c>
      <c r="E168" s="42" t="n">
        <v>0.699</v>
      </c>
      <c r="F168" s="42" t="n">
        <v>0.698</v>
      </c>
      <c r="G168" s="42" t="n">
        <v>0.694</v>
      </c>
      <c r="H168" s="42" t="n">
        <v>0.7</v>
      </c>
      <c r="I168" s="43">
        <f>IFERROR(AVERAGE(D168:H168),"")</f>
        <v/>
      </c>
      <c r="J168" s="42" t="n">
        <v>0.6899999999999999</v>
      </c>
      <c r="K168" s="42" t="n">
        <v>0.6919999999999999</v>
      </c>
      <c r="L168" s="42" t="n">
        <v>0.698</v>
      </c>
      <c r="M168" s="42" t="n">
        <v>0.6889999999999999</v>
      </c>
      <c r="N168" s="42" t="n">
        <v>0.704</v>
      </c>
      <c r="O168" s="43">
        <f>IFERROR(AVERAGE(J168:N168),"")</f>
        <v/>
      </c>
      <c r="P168" s="42" t="n">
        <v>0.678</v>
      </c>
      <c r="Q168" s="42" t="n">
        <v>0.6</v>
      </c>
      <c r="R168" s="42" t="n">
        <v>0.613</v>
      </c>
      <c r="S168" s="42" t="n">
        <v>0.635</v>
      </c>
      <c r="T168" s="42" t="n">
        <v>0.619</v>
      </c>
      <c r="U168" s="43">
        <f>IFERROR(AVERAGE(P168:T168),"")</f>
        <v/>
      </c>
      <c r="V168" s="42" t="n">
        <v>0.615</v>
      </c>
      <c r="W168" s="42" t="n">
        <v>0.604</v>
      </c>
      <c r="X168" s="42" t="n">
        <v>0.574</v>
      </c>
      <c r="Y168" s="42" t="n">
        <v>0.583</v>
      </c>
      <c r="Z168" s="42" t="n">
        <v>0.5679999999999999</v>
      </c>
      <c r="AA168" s="43">
        <f>IFERROR(AVERAGE(V168:Z168),"")</f>
        <v/>
      </c>
      <c r="AB168" s="42" t="n">
        <v>0.615</v>
      </c>
      <c r="AC168" s="42" t="n">
        <v>0.604</v>
      </c>
      <c r="AD168" s="42" t="n">
        <v>0.574</v>
      </c>
      <c r="AE168" s="42" t="n">
        <v>0.583</v>
      </c>
      <c r="AF168" s="42" t="n">
        <v>0.5679999999999999</v>
      </c>
      <c r="AG168" s="43">
        <f>IFERROR(AVERAGE(AB168:AF168),"")</f>
        <v/>
      </c>
      <c r="AH168" s="42">
        <f>IFERROR(AG168-AA168,"")</f>
        <v/>
      </c>
      <c r="AI168" s="42">
        <f>IFERROR(AG168-O168,"")</f>
        <v/>
      </c>
    </row>
    <row r="169">
      <c r="A169" s="41" t="inlineStr">
        <is>
          <t>german</t>
        </is>
      </c>
      <c r="B169" s="42" t="inlineStr">
        <is>
          <t>boundary</t>
        </is>
      </c>
      <c r="C169" s="42" t="n">
        <v>0.4</v>
      </c>
      <c r="D169" s="42" t="n">
        <v>0.702</v>
      </c>
      <c r="E169" s="42" t="n">
        <v>0.679</v>
      </c>
      <c r="F169" s="42" t="n">
        <v>0.6899999999999999</v>
      </c>
      <c r="G169" s="42" t="n">
        <v>0.6830000000000001</v>
      </c>
      <c r="H169" s="42" t="n">
        <v>0.671</v>
      </c>
      <c r="I169" s="43">
        <f>IFERROR(AVERAGE(D169:H169),"")</f>
        <v/>
      </c>
      <c r="J169" s="42" t="n">
        <v>0.6929999999999999</v>
      </c>
      <c r="K169" s="42" t="n">
        <v>0.663</v>
      </c>
      <c r="L169" s="42" t="n">
        <v>0.6889999999999999</v>
      </c>
      <c r="M169" s="42" t="n">
        <v>0.666</v>
      </c>
      <c r="N169" s="42" t="n">
        <v>0.652</v>
      </c>
      <c r="O169" s="43">
        <f>IFERROR(AVERAGE(J169:N169),"")</f>
        <v/>
      </c>
      <c r="P169" s="42" t="n">
        <v>0.607</v>
      </c>
      <c r="Q169" s="42" t="n">
        <v>0.589</v>
      </c>
      <c r="R169" s="42" t="n">
        <v>0.616</v>
      </c>
      <c r="S169" s="42" t="n">
        <v>0.618</v>
      </c>
      <c r="T169" s="42" t="n">
        <v>0.606</v>
      </c>
      <c r="U169" s="43">
        <f>IFERROR(AVERAGE(P169:T169),"")</f>
        <v/>
      </c>
      <c r="V169" s="42" t="n">
        <v>0.554</v>
      </c>
      <c r="W169" s="42" t="n">
        <v>0.5600000000000001</v>
      </c>
      <c r="X169" s="42" t="n">
        <v>0.547</v>
      </c>
      <c r="Y169" s="42" t="n">
        <v>0.613</v>
      </c>
      <c r="Z169" s="42" t="n">
        <v>0.579</v>
      </c>
      <c r="AA169" s="43">
        <f>IFERROR(AVERAGE(V169:Z169),"")</f>
        <v/>
      </c>
      <c r="AB169" s="42" t="n">
        <v>0.554</v>
      </c>
      <c r="AC169" s="42" t="n">
        <v>0.5600000000000001</v>
      </c>
      <c r="AD169" s="42" t="n">
        <v>0.547</v>
      </c>
      <c r="AE169" s="42" t="n">
        <v>0.613</v>
      </c>
      <c r="AF169" s="42" t="n">
        <v>0.579</v>
      </c>
      <c r="AG169" s="43">
        <f>IFERROR(AVERAGE(AB169:AF169),"")</f>
        <v/>
      </c>
      <c r="AH169" s="42">
        <f>IFERROR(AG169-AA169,"")</f>
        <v/>
      </c>
      <c r="AI169" s="42">
        <f>IFERROR(AG169-O169,"")</f>
        <v/>
      </c>
    </row>
    <row r="170">
      <c r="A170" s="41" t="inlineStr">
        <is>
          <t>german</t>
        </is>
      </c>
      <c r="B170" s="42" t="inlineStr">
        <is>
          <t>boundary</t>
        </is>
      </c>
      <c r="C170" s="42" t="n">
        <v>0.5</v>
      </c>
      <c r="D170" s="42" t="n">
        <v>0.487</v>
      </c>
      <c r="E170" s="42" t="n">
        <v>0.507</v>
      </c>
      <c r="F170" s="42" t="n">
        <v>0.48</v>
      </c>
      <c r="G170" s="42" t="n">
        <v>0.514</v>
      </c>
      <c r="H170" s="42" t="n">
        <v>0.473</v>
      </c>
      <c r="I170" s="43">
        <f>IFERROR(AVERAGE(D170:H170),"")</f>
        <v/>
      </c>
      <c r="J170" s="42" t="n">
        <v>0.499</v>
      </c>
      <c r="K170" s="42" t="n">
        <v>0.508</v>
      </c>
      <c r="L170" s="42" t="n">
        <v>0.469</v>
      </c>
      <c r="M170" s="42" t="n">
        <v>0.512</v>
      </c>
      <c r="N170" s="42" t="n">
        <v>0.465</v>
      </c>
      <c r="O170" s="43">
        <f>IFERROR(AVERAGE(J170:N170),"")</f>
        <v/>
      </c>
      <c r="P170" s="42" t="n">
        <v>0.51</v>
      </c>
      <c r="Q170" s="42" t="n">
        <v>0.478</v>
      </c>
      <c r="R170" s="42" t="n">
        <v>0.477</v>
      </c>
      <c r="S170" s="42" t="n">
        <v>0.523</v>
      </c>
      <c r="T170" s="42" t="n">
        <v>0.48</v>
      </c>
      <c r="U170" s="43">
        <f>IFERROR(AVERAGE(P170:T170),"")</f>
        <v/>
      </c>
      <c r="V170" s="42" t="n">
        <v>0.516</v>
      </c>
      <c r="W170" s="42" t="n">
        <v>0.467</v>
      </c>
      <c r="X170" s="42" t="n">
        <v>0.466</v>
      </c>
      <c r="Y170" s="42" t="n">
        <v>0.516</v>
      </c>
      <c r="Z170" s="42" t="n">
        <v>0.48</v>
      </c>
      <c r="AA170" s="43">
        <f>IFERROR(AVERAGE(V170:Z170),"")</f>
        <v/>
      </c>
      <c r="AB170" s="42" t="n">
        <v>0.516</v>
      </c>
      <c r="AC170" s="42" t="n">
        <v>0.467</v>
      </c>
      <c r="AD170" s="42" t="n">
        <v>0.466</v>
      </c>
      <c r="AE170" s="42" t="n">
        <v>0.516</v>
      </c>
      <c r="AF170" s="42" t="n">
        <v>0.48</v>
      </c>
      <c r="AG170" s="43">
        <f>IFERROR(AVERAGE(AB170:AF170),"")</f>
        <v/>
      </c>
      <c r="AH170" s="42">
        <f>IFERROR(AG170-AA170,"")</f>
        <v/>
      </c>
      <c r="AI170" s="42">
        <f>IFERROR(AG170-O170,"")</f>
        <v/>
      </c>
    </row>
    <row r="171">
      <c r="A171" s="41" t="inlineStr">
        <is>
          <t>german</t>
        </is>
      </c>
      <c r="B171" s="42" t="inlineStr">
        <is>
          <t>far</t>
        </is>
      </c>
      <c r="C171" s="42" t="n">
        <v>0.2</v>
      </c>
      <c r="D171" s="42" t="n">
        <v>0.681</v>
      </c>
      <c r="E171" s="42" t="n">
        <v>0.701</v>
      </c>
      <c r="F171" s="42" t="n">
        <v>0.6850000000000001</v>
      </c>
      <c r="G171" s="42" t="n">
        <v>0.6889999999999999</v>
      </c>
      <c r="H171" s="42" t="n">
        <v>0.6879999999999999</v>
      </c>
      <c r="I171" s="43">
        <f>IFERROR(AVERAGE(D171:H171),"")</f>
        <v/>
      </c>
      <c r="J171" s="42" t="n">
        <v>0.66</v>
      </c>
      <c r="K171" s="42" t="n">
        <v>0.6909999999999999</v>
      </c>
      <c r="L171" s="42" t="n">
        <v>0.6870000000000001</v>
      </c>
      <c r="M171" s="42" t="n">
        <v>0.675</v>
      </c>
      <c r="N171" s="42" t="n">
        <v>0.663</v>
      </c>
      <c r="O171" s="43">
        <f>IFERROR(AVERAGE(J171:N171),"")</f>
        <v/>
      </c>
      <c r="P171" s="42" t="n">
        <v>0.632</v>
      </c>
      <c r="Q171" s="42" t="n">
        <v>0.6929999999999999</v>
      </c>
      <c r="R171" s="42" t="n">
        <v>0.68</v>
      </c>
      <c r="S171" s="42" t="n">
        <v>0.673</v>
      </c>
      <c r="T171" s="42" t="n">
        <v>0.652</v>
      </c>
      <c r="U171" s="43">
        <f>IFERROR(AVERAGE(P171:T171),"")</f>
        <v/>
      </c>
      <c r="V171" s="42" t="n">
        <v>0.625</v>
      </c>
      <c r="W171" s="42" t="n">
        <v>0.525</v>
      </c>
      <c r="X171" s="42" t="n">
        <v>0.67</v>
      </c>
      <c r="Y171" s="42" t="n">
        <v>0.485</v>
      </c>
      <c r="Z171" s="42" t="n">
        <v>0.542</v>
      </c>
      <c r="AA171" s="43">
        <f>IFERROR(AVERAGE(V171:Z171),"")</f>
        <v/>
      </c>
      <c r="AB171" s="42" t="n">
        <v>0.6</v>
      </c>
      <c r="AC171" s="42" t="n">
        <v>0.556</v>
      </c>
      <c r="AD171" s="42" t="n">
        <v>0.591</v>
      </c>
      <c r="AE171" s="42" t="n">
        <v>0.535</v>
      </c>
      <c r="AF171" s="42" t="n">
        <v>0.547</v>
      </c>
      <c r="AG171" s="43">
        <f>IFERROR(AVERAGE(AB171:AF171),"")</f>
        <v/>
      </c>
      <c r="AH171" s="42">
        <f>IFERROR(AG171-AA171,"")</f>
        <v/>
      </c>
      <c r="AI171" s="42">
        <f>IFERROR(AG171-O171,"")</f>
        <v/>
      </c>
    </row>
    <row r="172">
      <c r="A172" s="41" t="inlineStr">
        <is>
          <t>german</t>
        </is>
      </c>
      <c r="B172" s="42" t="inlineStr">
        <is>
          <t>far</t>
        </is>
      </c>
      <c r="C172" s="42" t="n">
        <v>0.3</v>
      </c>
      <c r="D172" s="42" t="n">
        <v>0.657</v>
      </c>
      <c r="E172" s="42" t="n">
        <v>0.666</v>
      </c>
      <c r="F172" s="42" t="n">
        <v>0.653</v>
      </c>
      <c r="G172" s="42" t="n">
        <v>0.638</v>
      </c>
      <c r="H172" s="42" t="n">
        <v>0.6830000000000001</v>
      </c>
      <c r="I172" s="43">
        <f>IFERROR(AVERAGE(D172:H172),"")</f>
        <v/>
      </c>
      <c r="J172" s="42" t="n">
        <v>0.636</v>
      </c>
      <c r="K172" s="42" t="n">
        <v>0.664</v>
      </c>
      <c r="L172" s="42" t="n">
        <v>0.643</v>
      </c>
      <c r="M172" s="42" t="n">
        <v>0.628</v>
      </c>
      <c r="N172" s="42" t="n">
        <v>0.659</v>
      </c>
      <c r="O172" s="43">
        <f>IFERROR(AVERAGE(J172:N172),"")</f>
        <v/>
      </c>
      <c r="P172" s="42" t="n">
        <v>0.616</v>
      </c>
      <c r="Q172" s="42" t="n">
        <v>0.607</v>
      </c>
      <c r="R172" s="42" t="n">
        <v>0.574</v>
      </c>
      <c r="S172" s="42" t="n">
        <v>0.604</v>
      </c>
      <c r="T172" s="42" t="n">
        <v>0.655</v>
      </c>
      <c r="U172" s="43">
        <f>IFERROR(AVERAGE(P172:T172),"")</f>
        <v/>
      </c>
      <c r="V172" s="42" t="n">
        <v>0.594</v>
      </c>
      <c r="W172" s="42" t="n">
        <v>0.581</v>
      </c>
      <c r="X172" s="42" t="n">
        <v>0.541</v>
      </c>
      <c r="Y172" s="42" t="n">
        <v>0.589</v>
      </c>
      <c r="Z172" s="42" t="n">
        <v>0.6</v>
      </c>
      <c r="AA172" s="43">
        <f>IFERROR(AVERAGE(V172:Z172),"")</f>
        <v/>
      </c>
      <c r="AB172" s="42" t="n">
        <v>0.594</v>
      </c>
      <c r="AC172" s="42" t="n">
        <v>0.581</v>
      </c>
      <c r="AD172" s="42" t="n">
        <v>0.541</v>
      </c>
      <c r="AE172" s="42" t="n">
        <v>0.589</v>
      </c>
      <c r="AF172" s="42" t="n">
        <v>0.6</v>
      </c>
      <c r="AG172" s="43">
        <f>IFERROR(AVERAGE(AB172:AF172),"")</f>
        <v/>
      </c>
      <c r="AH172" s="42">
        <f>IFERROR(AG172-AA172,"")</f>
        <v/>
      </c>
      <c r="AI172" s="42">
        <f>IFERROR(AG172-O172,"")</f>
        <v/>
      </c>
    </row>
    <row r="173">
      <c r="A173" s="41" t="inlineStr">
        <is>
          <t>german</t>
        </is>
      </c>
      <c r="B173" s="42" t="inlineStr">
        <is>
          <t>far</t>
        </is>
      </c>
      <c r="C173" s="42" t="n">
        <v>0.4</v>
      </c>
      <c r="D173" s="42" t="n">
        <v>0.608</v>
      </c>
      <c r="E173" s="42" t="n">
        <v>0.5580000000000001</v>
      </c>
      <c r="F173" s="42" t="n">
        <v>0.5580000000000001</v>
      </c>
      <c r="G173" s="42" t="n">
        <v>0.5620000000000001</v>
      </c>
      <c r="H173" s="42" t="n">
        <v>0.613</v>
      </c>
      <c r="I173" s="43">
        <f>IFERROR(AVERAGE(D173:H173),"")</f>
        <v/>
      </c>
      <c r="J173" s="42" t="n">
        <v>0.625</v>
      </c>
      <c r="K173" s="42" t="n">
        <v>0.571</v>
      </c>
      <c r="L173" s="42" t="n">
        <v>0.5639999999999999</v>
      </c>
      <c r="M173" s="42" t="n">
        <v>0.574</v>
      </c>
      <c r="N173" s="42" t="n">
        <v>0.615</v>
      </c>
      <c r="O173" s="43">
        <f>IFERROR(AVERAGE(J173:N173),"")</f>
        <v/>
      </c>
      <c r="P173" s="42" t="n">
        <v>0.589</v>
      </c>
      <c r="Q173" s="42" t="n">
        <v>0.544</v>
      </c>
      <c r="R173" s="42" t="n">
        <v>0.546</v>
      </c>
      <c r="S173" s="42" t="n">
        <v>0.528</v>
      </c>
      <c r="T173" s="42" t="n">
        <v>0.5659999999999999</v>
      </c>
      <c r="U173" s="43">
        <f>IFERROR(AVERAGE(P173:T173),"")</f>
        <v/>
      </c>
      <c r="V173" s="42" t="n">
        <v>0.5610000000000001</v>
      </c>
      <c r="W173" s="42" t="n">
        <v>0.5570000000000001</v>
      </c>
      <c r="X173" s="42" t="n">
        <v>0.51</v>
      </c>
      <c r="Y173" s="42" t="n">
        <v>0.527</v>
      </c>
      <c r="Z173" s="42" t="n">
        <v>0.551</v>
      </c>
      <c r="AA173" s="43">
        <f>IFERROR(AVERAGE(V173:Z173),"")</f>
        <v/>
      </c>
      <c r="AB173" s="42" t="n">
        <v>0.5610000000000001</v>
      </c>
      <c r="AC173" s="42" t="n">
        <v>0.5570000000000001</v>
      </c>
      <c r="AD173" s="42" t="n">
        <v>0.51</v>
      </c>
      <c r="AE173" s="42" t="n">
        <v>0.527</v>
      </c>
      <c r="AF173" s="42" t="n">
        <v>0.551</v>
      </c>
      <c r="AG173" s="43">
        <f>IFERROR(AVERAGE(AB173:AF173),"")</f>
        <v/>
      </c>
      <c r="AH173" s="42">
        <f>IFERROR(AG173-AA173,"")</f>
        <v/>
      </c>
      <c r="AI173" s="42">
        <f>IFERROR(AG173-O173,"")</f>
        <v/>
      </c>
    </row>
    <row r="174">
      <c r="A174" s="41" t="inlineStr">
        <is>
          <t>german</t>
        </is>
      </c>
      <c r="B174" s="42" t="inlineStr">
        <is>
          <t>far</t>
        </is>
      </c>
      <c r="C174" s="42" t="n">
        <v>0.5</v>
      </c>
      <c r="D174" s="42" t="n">
        <v>0.458</v>
      </c>
      <c r="E174" s="42" t="n">
        <v>0.522</v>
      </c>
      <c r="F174" s="42" t="n">
        <v>0.494</v>
      </c>
      <c r="G174" s="42" t="n">
        <v>0.505</v>
      </c>
      <c r="H174" s="42" t="n">
        <v>0.511</v>
      </c>
      <c r="I174" s="43">
        <f>IFERROR(AVERAGE(D174:H174),"")</f>
        <v/>
      </c>
      <c r="J174" s="42" t="n">
        <v>0.48</v>
      </c>
      <c r="K174" s="42" t="n">
        <v>0.522</v>
      </c>
      <c r="L174" s="42" t="n">
        <v>0.478</v>
      </c>
      <c r="M174" s="42" t="n">
        <v>0.501</v>
      </c>
      <c r="N174" s="42" t="n">
        <v>0.504</v>
      </c>
      <c r="O174" s="43">
        <f>IFERROR(AVERAGE(J174:N174),"")</f>
        <v/>
      </c>
      <c r="P174" s="42" t="n">
        <v>0.452</v>
      </c>
      <c r="Q174" s="42" t="n">
        <v>0.524</v>
      </c>
      <c r="R174" s="42" t="n">
        <v>0.492</v>
      </c>
      <c r="S174" s="42" t="n">
        <v>0.49</v>
      </c>
      <c r="T174" s="42" t="n">
        <v>0.51</v>
      </c>
      <c r="U174" s="43">
        <f>IFERROR(AVERAGE(P174:T174),"")</f>
        <v/>
      </c>
      <c r="V174" s="42" t="n">
        <v>0.449</v>
      </c>
      <c r="W174" s="42" t="n">
        <v>0.516</v>
      </c>
      <c r="X174" s="42" t="n">
        <v>0.479</v>
      </c>
      <c r="Y174" s="42" t="n">
        <v>0.493</v>
      </c>
      <c r="Z174" s="42" t="n">
        <v>0.497</v>
      </c>
      <c r="AA174" s="43">
        <f>IFERROR(AVERAGE(V174:Z174),"")</f>
        <v/>
      </c>
      <c r="AB174" s="42" t="n">
        <v>0.449</v>
      </c>
      <c r="AC174" s="42" t="n">
        <v>0.516</v>
      </c>
      <c r="AD174" s="42" t="n">
        <v>0.479</v>
      </c>
      <c r="AE174" s="42" t="n">
        <v>0.493</v>
      </c>
      <c r="AF174" s="42" t="n">
        <v>0.497</v>
      </c>
      <c r="AG174" s="43">
        <f>IFERROR(AVERAGE(AB174:AF174),"")</f>
        <v/>
      </c>
      <c r="AH174" s="42">
        <f>IFERROR(AG174-AA174,"")</f>
        <v/>
      </c>
      <c r="AI174" s="42">
        <f>IFERROR(AG174-O174,"")</f>
        <v/>
      </c>
    </row>
    <row r="175"/>
    <row r="176" ht="17.25" customHeight="1" s="50">
      <c r="A176" s="38" t="inlineStr">
        <is>
          <t>Bảng trung bình qua 10 bộ (pur=0.7)</t>
        </is>
      </c>
    </row>
    <row r="177">
      <c r="A177" s="44" t="inlineStr">
        <is>
          <t>kind</t>
        </is>
      </c>
      <c r="B177" s="44" t="inlineStr">
        <is>
          <t>rate</t>
        </is>
      </c>
      <c r="C177" s="44" t="inlineStr">
        <is>
          <t>GB thường@1</t>
        </is>
      </c>
      <c r="D177" s="44" t="inlineStr">
        <is>
          <t>GB wave@1</t>
        </is>
      </c>
      <c r="E177" s="44" t="inlineStr">
        <is>
          <t>hard@0.7</t>
        </is>
      </c>
      <c r="F177" s="44" t="inlineStr">
        <is>
          <t>wave@0.7</t>
        </is>
      </c>
      <c r="G177" s="44" t="inlineStr">
        <is>
          <t>wave@0.7 resc</t>
        </is>
      </c>
      <c r="H177" s="44" t="inlineStr">
        <is>
          <t>Δ(resc−wave.7)</t>
        </is>
      </c>
    </row>
    <row r="178">
      <c r="A178" s="41" t="inlineStr">
        <is>
          <t>(clean)</t>
        </is>
      </c>
      <c r="B178" s="42" t="n">
        <v>0</v>
      </c>
      <c r="C178" s="42">
        <f>IFERROR(AVERAGEIFS($I$5:$I$174,$B$5:$B$174,$A178,$C$5:$C$174,$B178),"")</f>
        <v/>
      </c>
      <c r="D178" s="42">
        <f>IFERROR(AVERAGEIFS($O$5:$O$174,$B$5:$B$174,$A178,$C$5:$C$174,$B178),"")</f>
        <v/>
      </c>
      <c r="E178" s="42">
        <f>IFERROR(AVERAGEIFS($U$5:$U$174,$B$5:$B$174,$A178,$C$5:$C$174,$B178),"")</f>
        <v/>
      </c>
      <c r="F178" s="42">
        <f>IFERROR(AVERAGEIFS($AA$5:$AA$174,$B$5:$B$174,$A178,$C$5:$C$174,$B178),"")</f>
        <v/>
      </c>
      <c r="G178" s="42">
        <f>IFERROR(AVERAGEIFS($AG$5:$AG$174,$B$5:$B$174,$A178,$C$5:$C$174,$B178),"")</f>
        <v/>
      </c>
      <c r="H178" s="42">
        <f>IFERROR(G178-F178,"")</f>
        <v/>
      </c>
    </row>
    <row r="179">
      <c r="A179" s="41" t="inlineStr">
        <is>
          <t>symmetric</t>
        </is>
      </c>
      <c r="B179" s="42" t="n">
        <v>0.2</v>
      </c>
      <c r="C179" s="42">
        <f>IFERROR(AVERAGEIFS($I$5:$I$174,$B$5:$B$174,$A179,$C$5:$C$174,$B179),"")</f>
        <v/>
      </c>
      <c r="D179" s="42">
        <f>IFERROR(AVERAGEIFS($O$5:$O$174,$B$5:$B$174,$A179,$C$5:$C$174,$B179),"")</f>
        <v/>
      </c>
      <c r="E179" s="42">
        <f>IFERROR(AVERAGEIFS($U$5:$U$174,$B$5:$B$174,$A179,$C$5:$C$174,$B179),"")</f>
        <v/>
      </c>
      <c r="F179" s="42">
        <f>IFERROR(AVERAGEIFS($AA$5:$AA$174,$B$5:$B$174,$A179,$C$5:$C$174,$B179),"")</f>
        <v/>
      </c>
      <c r="G179" s="42">
        <f>IFERROR(AVERAGEIFS($AG$5:$AG$174,$B$5:$B$174,$A179,$C$5:$C$174,$B179),"")</f>
        <v/>
      </c>
      <c r="H179" s="42">
        <f>IFERROR(G179-F179,"")</f>
        <v/>
      </c>
    </row>
    <row r="180">
      <c r="A180" s="41" t="inlineStr">
        <is>
          <t>symmetric</t>
        </is>
      </c>
      <c r="B180" s="42" t="n">
        <v>0.3</v>
      </c>
      <c r="C180" s="42">
        <f>IFERROR(AVERAGEIFS($I$5:$I$174,$B$5:$B$174,$A180,$C$5:$C$174,$B180),"")</f>
        <v/>
      </c>
      <c r="D180" s="42">
        <f>IFERROR(AVERAGEIFS($O$5:$O$174,$B$5:$B$174,$A180,$C$5:$C$174,$B180),"")</f>
        <v/>
      </c>
      <c r="E180" s="42">
        <f>IFERROR(AVERAGEIFS($U$5:$U$174,$B$5:$B$174,$A180,$C$5:$C$174,$B180),"")</f>
        <v/>
      </c>
      <c r="F180" s="42">
        <f>IFERROR(AVERAGEIFS($AA$5:$AA$174,$B$5:$B$174,$A180,$C$5:$C$174,$B180),"")</f>
        <v/>
      </c>
      <c r="G180" s="42">
        <f>IFERROR(AVERAGEIFS($AG$5:$AG$174,$B$5:$B$174,$A180,$C$5:$C$174,$B180),"")</f>
        <v/>
      </c>
      <c r="H180" s="42">
        <f>IFERROR(G180-F180,"")</f>
        <v/>
      </c>
    </row>
    <row r="181">
      <c r="A181" s="41" t="inlineStr">
        <is>
          <t>symmetric</t>
        </is>
      </c>
      <c r="B181" s="42" t="n">
        <v>0.4</v>
      </c>
      <c r="C181" s="42">
        <f>IFERROR(AVERAGEIFS($I$5:$I$174,$B$5:$B$174,$A181,$C$5:$C$174,$B181),"")</f>
        <v/>
      </c>
      <c r="D181" s="42">
        <f>IFERROR(AVERAGEIFS($O$5:$O$174,$B$5:$B$174,$A181,$C$5:$C$174,$B181),"")</f>
        <v/>
      </c>
      <c r="E181" s="42">
        <f>IFERROR(AVERAGEIFS($U$5:$U$174,$B$5:$B$174,$A181,$C$5:$C$174,$B181),"")</f>
        <v/>
      </c>
      <c r="F181" s="42">
        <f>IFERROR(AVERAGEIFS($AA$5:$AA$174,$B$5:$B$174,$A181,$C$5:$C$174,$B181),"")</f>
        <v/>
      </c>
      <c r="G181" s="42">
        <f>IFERROR(AVERAGEIFS($AG$5:$AG$174,$B$5:$B$174,$A181,$C$5:$C$174,$B181),"")</f>
        <v/>
      </c>
      <c r="H181" s="42">
        <f>IFERROR(G181-F181,"")</f>
        <v/>
      </c>
    </row>
    <row r="182">
      <c r="A182" s="41" t="inlineStr">
        <is>
          <t>symmetric</t>
        </is>
      </c>
      <c r="B182" s="42" t="n">
        <v>0.5</v>
      </c>
      <c r="C182" s="42">
        <f>IFERROR(AVERAGEIFS($I$5:$I$174,$B$5:$B$174,$A182,$C$5:$C$174,$B182),"")</f>
        <v/>
      </c>
      <c r="D182" s="42">
        <f>IFERROR(AVERAGEIFS($O$5:$O$174,$B$5:$B$174,$A182,$C$5:$C$174,$B182),"")</f>
        <v/>
      </c>
      <c r="E182" s="42">
        <f>IFERROR(AVERAGEIFS($U$5:$U$174,$B$5:$B$174,$A182,$C$5:$C$174,$B182),"")</f>
        <v/>
      </c>
      <c r="F182" s="42">
        <f>IFERROR(AVERAGEIFS($AA$5:$AA$174,$B$5:$B$174,$A182,$C$5:$C$174,$B182),"")</f>
        <v/>
      </c>
      <c r="G182" s="42">
        <f>IFERROR(AVERAGEIFS($AG$5:$AG$174,$B$5:$B$174,$A182,$C$5:$C$174,$B182),"")</f>
        <v/>
      </c>
      <c r="H182" s="42">
        <f>IFERROR(G182-F182,"")</f>
        <v/>
      </c>
    </row>
    <row r="183">
      <c r="A183" s="41" t="inlineStr">
        <is>
          <t>asymmetric</t>
        </is>
      </c>
      <c r="B183" s="42" t="n">
        <v>0.2</v>
      </c>
      <c r="C183" s="42">
        <f>IFERROR(AVERAGEIFS($I$5:$I$174,$B$5:$B$174,$A183,$C$5:$C$174,$B183),"")</f>
        <v/>
      </c>
      <c r="D183" s="42">
        <f>IFERROR(AVERAGEIFS($O$5:$O$174,$B$5:$B$174,$A183,$C$5:$C$174,$B183),"")</f>
        <v/>
      </c>
      <c r="E183" s="42">
        <f>IFERROR(AVERAGEIFS($U$5:$U$174,$B$5:$B$174,$A183,$C$5:$C$174,$B183),"")</f>
        <v/>
      </c>
      <c r="F183" s="42">
        <f>IFERROR(AVERAGEIFS($AA$5:$AA$174,$B$5:$B$174,$A183,$C$5:$C$174,$B183),"")</f>
        <v/>
      </c>
      <c r="G183" s="42">
        <f>IFERROR(AVERAGEIFS($AG$5:$AG$174,$B$5:$B$174,$A183,$C$5:$C$174,$B183),"")</f>
        <v/>
      </c>
      <c r="H183" s="42">
        <f>IFERROR(G183-F183,"")</f>
        <v/>
      </c>
    </row>
    <row r="184">
      <c r="A184" s="41" t="inlineStr">
        <is>
          <t>asymmetric</t>
        </is>
      </c>
      <c r="B184" s="42" t="n">
        <v>0.3</v>
      </c>
      <c r="C184" s="42">
        <f>IFERROR(AVERAGEIFS($I$5:$I$174,$B$5:$B$174,$A184,$C$5:$C$174,$B184),"")</f>
        <v/>
      </c>
      <c r="D184" s="42">
        <f>IFERROR(AVERAGEIFS($O$5:$O$174,$B$5:$B$174,$A184,$C$5:$C$174,$B184),"")</f>
        <v/>
      </c>
      <c r="E184" s="42">
        <f>IFERROR(AVERAGEIFS($U$5:$U$174,$B$5:$B$174,$A184,$C$5:$C$174,$B184),"")</f>
        <v/>
      </c>
      <c r="F184" s="42">
        <f>IFERROR(AVERAGEIFS($AA$5:$AA$174,$B$5:$B$174,$A184,$C$5:$C$174,$B184),"")</f>
        <v/>
      </c>
      <c r="G184" s="42">
        <f>IFERROR(AVERAGEIFS($AG$5:$AG$174,$B$5:$B$174,$A184,$C$5:$C$174,$B184),"")</f>
        <v/>
      </c>
      <c r="H184" s="42">
        <f>IFERROR(G184-F184,"")</f>
        <v/>
      </c>
    </row>
    <row r="185">
      <c r="A185" s="41" t="inlineStr">
        <is>
          <t>asymmetric</t>
        </is>
      </c>
      <c r="B185" s="42" t="n">
        <v>0.4</v>
      </c>
      <c r="C185" s="42">
        <f>IFERROR(AVERAGEIFS($I$5:$I$174,$B$5:$B$174,$A185,$C$5:$C$174,$B185),"")</f>
        <v/>
      </c>
      <c r="D185" s="42">
        <f>IFERROR(AVERAGEIFS($O$5:$O$174,$B$5:$B$174,$A185,$C$5:$C$174,$B185),"")</f>
        <v/>
      </c>
      <c r="E185" s="42">
        <f>IFERROR(AVERAGEIFS($U$5:$U$174,$B$5:$B$174,$A185,$C$5:$C$174,$B185),"")</f>
        <v/>
      </c>
      <c r="F185" s="42">
        <f>IFERROR(AVERAGEIFS($AA$5:$AA$174,$B$5:$B$174,$A185,$C$5:$C$174,$B185),"")</f>
        <v/>
      </c>
      <c r="G185" s="42">
        <f>IFERROR(AVERAGEIFS($AG$5:$AG$174,$B$5:$B$174,$A185,$C$5:$C$174,$B185),"")</f>
        <v/>
      </c>
      <c r="H185" s="42">
        <f>IFERROR(G185-F185,"")</f>
        <v/>
      </c>
    </row>
    <row r="186">
      <c r="A186" s="41" t="inlineStr">
        <is>
          <t>asymmetric</t>
        </is>
      </c>
      <c r="B186" s="42" t="n">
        <v>0.5</v>
      </c>
      <c r="C186" s="42">
        <f>IFERROR(AVERAGEIFS($I$5:$I$174,$B$5:$B$174,$A186,$C$5:$C$174,$B186),"")</f>
        <v/>
      </c>
      <c r="D186" s="42">
        <f>IFERROR(AVERAGEIFS($O$5:$O$174,$B$5:$B$174,$A186,$C$5:$C$174,$B186),"")</f>
        <v/>
      </c>
      <c r="E186" s="42">
        <f>IFERROR(AVERAGEIFS($U$5:$U$174,$B$5:$B$174,$A186,$C$5:$C$174,$B186),"")</f>
        <v/>
      </c>
      <c r="F186" s="42">
        <f>IFERROR(AVERAGEIFS($AA$5:$AA$174,$B$5:$B$174,$A186,$C$5:$C$174,$B186),"")</f>
        <v/>
      </c>
      <c r="G186" s="42">
        <f>IFERROR(AVERAGEIFS($AG$5:$AG$174,$B$5:$B$174,$A186,$C$5:$C$174,$B186),"")</f>
        <v/>
      </c>
      <c r="H186" s="42">
        <f>IFERROR(G186-F186,"")</f>
        <v/>
      </c>
    </row>
    <row r="187">
      <c r="A187" s="41" t="inlineStr">
        <is>
          <t>boundary</t>
        </is>
      </c>
      <c r="B187" s="42" t="n">
        <v>0.2</v>
      </c>
      <c r="C187" s="42">
        <f>IFERROR(AVERAGEIFS($I$5:$I$174,$B$5:$B$174,$A187,$C$5:$C$174,$B187),"")</f>
        <v/>
      </c>
      <c r="D187" s="42">
        <f>IFERROR(AVERAGEIFS($O$5:$O$174,$B$5:$B$174,$A187,$C$5:$C$174,$B187),"")</f>
        <v/>
      </c>
      <c r="E187" s="42">
        <f>IFERROR(AVERAGEIFS($U$5:$U$174,$B$5:$B$174,$A187,$C$5:$C$174,$B187),"")</f>
        <v/>
      </c>
      <c r="F187" s="42">
        <f>IFERROR(AVERAGEIFS($AA$5:$AA$174,$B$5:$B$174,$A187,$C$5:$C$174,$B187),"")</f>
        <v/>
      </c>
      <c r="G187" s="42">
        <f>IFERROR(AVERAGEIFS($AG$5:$AG$174,$B$5:$B$174,$A187,$C$5:$C$174,$B187),"")</f>
        <v/>
      </c>
      <c r="H187" s="42">
        <f>IFERROR(G187-F187,"")</f>
        <v/>
      </c>
    </row>
    <row r="188">
      <c r="A188" s="41" t="inlineStr">
        <is>
          <t>boundary</t>
        </is>
      </c>
      <c r="B188" s="42" t="n">
        <v>0.3</v>
      </c>
      <c r="C188" s="42">
        <f>IFERROR(AVERAGEIFS($I$5:$I$174,$B$5:$B$174,$A188,$C$5:$C$174,$B188),"")</f>
        <v/>
      </c>
      <c r="D188" s="42">
        <f>IFERROR(AVERAGEIFS($O$5:$O$174,$B$5:$B$174,$A188,$C$5:$C$174,$B188),"")</f>
        <v/>
      </c>
      <c r="E188" s="42">
        <f>IFERROR(AVERAGEIFS($U$5:$U$174,$B$5:$B$174,$A188,$C$5:$C$174,$B188),"")</f>
        <v/>
      </c>
      <c r="F188" s="42">
        <f>IFERROR(AVERAGEIFS($AA$5:$AA$174,$B$5:$B$174,$A188,$C$5:$C$174,$B188),"")</f>
        <v/>
      </c>
      <c r="G188" s="42">
        <f>IFERROR(AVERAGEIFS($AG$5:$AG$174,$B$5:$B$174,$A188,$C$5:$C$174,$B188),"")</f>
        <v/>
      </c>
      <c r="H188" s="42">
        <f>IFERROR(G188-F188,"")</f>
        <v/>
      </c>
    </row>
    <row r="189">
      <c r="A189" s="41" t="inlineStr">
        <is>
          <t>boundary</t>
        </is>
      </c>
      <c r="B189" s="42" t="n">
        <v>0.4</v>
      </c>
      <c r="C189" s="42">
        <f>IFERROR(AVERAGEIFS($I$5:$I$174,$B$5:$B$174,$A189,$C$5:$C$174,$B189),"")</f>
        <v/>
      </c>
      <c r="D189" s="42">
        <f>IFERROR(AVERAGEIFS($O$5:$O$174,$B$5:$B$174,$A189,$C$5:$C$174,$B189),"")</f>
        <v/>
      </c>
      <c r="E189" s="42">
        <f>IFERROR(AVERAGEIFS($U$5:$U$174,$B$5:$B$174,$A189,$C$5:$C$174,$B189),"")</f>
        <v/>
      </c>
      <c r="F189" s="42">
        <f>IFERROR(AVERAGEIFS($AA$5:$AA$174,$B$5:$B$174,$A189,$C$5:$C$174,$B189),"")</f>
        <v/>
      </c>
      <c r="G189" s="42">
        <f>IFERROR(AVERAGEIFS($AG$5:$AG$174,$B$5:$B$174,$A189,$C$5:$C$174,$B189),"")</f>
        <v/>
      </c>
      <c r="H189" s="42">
        <f>IFERROR(G189-F189,"")</f>
        <v/>
      </c>
    </row>
    <row r="190">
      <c r="A190" s="41" t="inlineStr">
        <is>
          <t>boundary</t>
        </is>
      </c>
      <c r="B190" s="42" t="n">
        <v>0.5</v>
      </c>
      <c r="C190" s="42">
        <f>IFERROR(AVERAGEIFS($I$5:$I$174,$B$5:$B$174,$A190,$C$5:$C$174,$B190),"")</f>
        <v/>
      </c>
      <c r="D190" s="42">
        <f>IFERROR(AVERAGEIFS($O$5:$O$174,$B$5:$B$174,$A190,$C$5:$C$174,$B190),"")</f>
        <v/>
      </c>
      <c r="E190" s="42">
        <f>IFERROR(AVERAGEIFS($U$5:$U$174,$B$5:$B$174,$A190,$C$5:$C$174,$B190),"")</f>
        <v/>
      </c>
      <c r="F190" s="42">
        <f>IFERROR(AVERAGEIFS($AA$5:$AA$174,$B$5:$B$174,$A190,$C$5:$C$174,$B190),"")</f>
        <v/>
      </c>
      <c r="G190" s="42">
        <f>IFERROR(AVERAGEIFS($AG$5:$AG$174,$B$5:$B$174,$A190,$C$5:$C$174,$B190),"")</f>
        <v/>
      </c>
      <c r="H190" s="42">
        <f>IFERROR(G190-F190,"")</f>
        <v/>
      </c>
    </row>
    <row r="191">
      <c r="A191" s="41" t="inlineStr">
        <is>
          <t>far</t>
        </is>
      </c>
      <c r="B191" s="42" t="n">
        <v>0.2</v>
      </c>
      <c r="C191" s="42">
        <f>IFERROR(AVERAGEIFS($I$5:$I$174,$B$5:$B$174,$A191,$C$5:$C$174,$B191),"")</f>
        <v/>
      </c>
      <c r="D191" s="42">
        <f>IFERROR(AVERAGEIFS($O$5:$O$174,$B$5:$B$174,$A191,$C$5:$C$174,$B191),"")</f>
        <v/>
      </c>
      <c r="E191" s="42">
        <f>IFERROR(AVERAGEIFS($U$5:$U$174,$B$5:$B$174,$A191,$C$5:$C$174,$B191),"")</f>
        <v/>
      </c>
      <c r="F191" s="42">
        <f>IFERROR(AVERAGEIFS($AA$5:$AA$174,$B$5:$B$174,$A191,$C$5:$C$174,$B191),"")</f>
        <v/>
      </c>
      <c r="G191" s="42">
        <f>IFERROR(AVERAGEIFS($AG$5:$AG$174,$B$5:$B$174,$A191,$C$5:$C$174,$B191),"")</f>
        <v/>
      </c>
      <c r="H191" s="42">
        <f>IFERROR(G191-F191,"")</f>
        <v/>
      </c>
    </row>
    <row r="192">
      <c r="A192" s="41" t="inlineStr">
        <is>
          <t>far</t>
        </is>
      </c>
      <c r="B192" s="42" t="n">
        <v>0.3</v>
      </c>
      <c r="C192" s="42">
        <f>IFERROR(AVERAGEIFS($I$5:$I$174,$B$5:$B$174,$A192,$C$5:$C$174,$B192),"")</f>
        <v/>
      </c>
      <c r="D192" s="42">
        <f>IFERROR(AVERAGEIFS($O$5:$O$174,$B$5:$B$174,$A192,$C$5:$C$174,$B192),"")</f>
        <v/>
      </c>
      <c r="E192" s="42">
        <f>IFERROR(AVERAGEIFS($U$5:$U$174,$B$5:$B$174,$A192,$C$5:$C$174,$B192),"")</f>
        <v/>
      </c>
      <c r="F192" s="42">
        <f>IFERROR(AVERAGEIFS($AA$5:$AA$174,$B$5:$B$174,$A192,$C$5:$C$174,$B192),"")</f>
        <v/>
      </c>
      <c r="G192" s="42">
        <f>IFERROR(AVERAGEIFS($AG$5:$AG$174,$B$5:$B$174,$A192,$C$5:$C$174,$B192),"")</f>
        <v/>
      </c>
      <c r="H192" s="42">
        <f>IFERROR(G192-F192,"")</f>
        <v/>
      </c>
    </row>
    <row r="193">
      <c r="A193" s="41" t="inlineStr">
        <is>
          <t>far</t>
        </is>
      </c>
      <c r="B193" s="42" t="n">
        <v>0.4</v>
      </c>
      <c r="C193" s="42">
        <f>IFERROR(AVERAGEIFS($I$5:$I$174,$B$5:$B$174,$A193,$C$5:$C$174,$B193),"")</f>
        <v/>
      </c>
      <c r="D193" s="42">
        <f>IFERROR(AVERAGEIFS($O$5:$O$174,$B$5:$B$174,$A193,$C$5:$C$174,$B193),"")</f>
        <v/>
      </c>
      <c r="E193" s="42">
        <f>IFERROR(AVERAGEIFS($U$5:$U$174,$B$5:$B$174,$A193,$C$5:$C$174,$B193),"")</f>
        <v/>
      </c>
      <c r="F193" s="42">
        <f>IFERROR(AVERAGEIFS($AA$5:$AA$174,$B$5:$B$174,$A193,$C$5:$C$174,$B193),"")</f>
        <v/>
      </c>
      <c r="G193" s="42">
        <f>IFERROR(AVERAGEIFS($AG$5:$AG$174,$B$5:$B$174,$A193,$C$5:$C$174,$B193),"")</f>
        <v/>
      </c>
      <c r="H193" s="42">
        <f>IFERROR(G193-F193,"")</f>
        <v/>
      </c>
    </row>
    <row r="194">
      <c r="A194" s="41" t="inlineStr">
        <is>
          <t>far</t>
        </is>
      </c>
      <c r="B194" s="42" t="n">
        <v>0.5</v>
      </c>
      <c r="C194" s="42">
        <f>IFERROR(AVERAGEIFS($I$5:$I$174,$B$5:$B$174,$A194,$C$5:$C$174,$B194),"")</f>
        <v/>
      </c>
      <c r="D194" s="42">
        <f>IFERROR(AVERAGEIFS($O$5:$O$174,$B$5:$B$174,$A194,$C$5:$C$174,$B194),"")</f>
        <v/>
      </c>
      <c r="E194" s="42">
        <f>IFERROR(AVERAGEIFS($U$5:$U$174,$B$5:$B$174,$A194,$C$5:$C$174,$B194),"")</f>
        <v/>
      </c>
      <c r="F194" s="42">
        <f>IFERROR(AVERAGEIFS($AA$5:$AA$174,$B$5:$B$174,$A194,$C$5:$C$174,$B194),"")</f>
        <v/>
      </c>
      <c r="G194" s="42">
        <f>IFERROR(AVERAGEIFS($AG$5:$AG$174,$B$5:$B$174,$A194,$C$5:$C$174,$B194),"")</f>
        <v/>
      </c>
      <c r="H194" s="42">
        <f>IFERROR(G194-F194,"")</f>
        <v/>
      </c>
    </row>
    <row r="195">
      <c r="A195" s="45" t="inlineStr">
        <is>
          <t>Trung bình tất cả</t>
        </is>
      </c>
      <c r="B195" s="46" t="n"/>
      <c r="C195" s="43">
        <f>AVERAGE(C178:C194)</f>
        <v/>
      </c>
      <c r="D195" s="43">
        <f>AVERAGE(D178:D194)</f>
        <v/>
      </c>
      <c r="E195" s="43">
        <f>AVERAGE(E178:E194)</f>
        <v/>
      </c>
      <c r="F195" s="43">
        <f>AVERAGE(F178:F194)</f>
        <v/>
      </c>
      <c r="G195" s="43">
        <f>AVERAGE(G178:G194)</f>
        <v/>
      </c>
      <c r="H195" s="43">
        <f>AVERAGE(H178:H194)</f>
        <v/>
      </c>
    </row>
    <row r="196"/>
    <row r="197">
      <c r="A197" s="39" t="inlineStr">
        <is>
          <t>Ô trống = suy biến (một lớp mất hết bóng). rescue-only lấp các ô này; ở pur=0.7 asymmetric suy biến rất nặng nên rescue cứu nhiều.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197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50" min="1" max="1"/>
    <col width="11" customWidth="1" style="50" min="2" max="2"/>
    <col width="8.85546875" customWidth="1" style="50" min="3" max="35"/>
  </cols>
  <sheetData>
    <row r="1" ht="17.25" customHeight="1" s="50">
      <c r="A1" s="38" t="inlineStr">
        <is>
          <t>Full 170×5 seed, độ thuần pur=0.6 (linear). Lưới hard vs wave × pur=1 vs pur=0.6 + rescue.</t>
        </is>
      </c>
    </row>
    <row r="2">
      <c r="A2" s="39" t="inlineStr">
        <is>
          <t>pur=1 baseline: GB thường (hinge), GB wave. pur=0.6: hard (hinge), wave (đè đa số), wave rescue (hai-tâm chỉ khi một lớp sắp mất bóng, floor=1).</t>
        </is>
      </c>
    </row>
    <row r="3">
      <c r="A3" s="39" t="inlineStr">
        <is>
          <t>Mỗi ô = acc TB 5-fold của 1 seed. TB = TB 5 seed. Wave λ=1 kappa=0; hard d=.1 eps=.05. steps=250.</t>
        </is>
      </c>
    </row>
    <row r="4">
      <c r="A4" s="40" t="inlineStr">
        <is>
          <t>dataset</t>
        </is>
      </c>
      <c r="B4" s="40" t="inlineStr">
        <is>
          <t>kind</t>
        </is>
      </c>
      <c r="C4" s="40" t="inlineStr">
        <is>
          <t>rate</t>
        </is>
      </c>
      <c r="D4" s="40" t="inlineStr">
        <is>
          <t>GB thường@1 s0</t>
        </is>
      </c>
      <c r="E4" s="40" t="inlineStr">
        <is>
          <t>GB thường@1 s1</t>
        </is>
      </c>
      <c r="F4" s="40" t="inlineStr">
        <is>
          <t>GB thường@1 s2</t>
        </is>
      </c>
      <c r="G4" s="40" t="inlineStr">
        <is>
          <t>GB thường@1 s3</t>
        </is>
      </c>
      <c r="H4" s="40" t="inlineStr">
        <is>
          <t>GB thường@1 s4</t>
        </is>
      </c>
      <c r="I4" s="40" t="inlineStr">
        <is>
          <t>GB thường@1 TB</t>
        </is>
      </c>
      <c r="J4" s="40" t="inlineStr">
        <is>
          <t>GB wave@1 s0</t>
        </is>
      </c>
      <c r="K4" s="40" t="inlineStr">
        <is>
          <t>GB wave@1 s1</t>
        </is>
      </c>
      <c r="L4" s="40" t="inlineStr">
        <is>
          <t>GB wave@1 s2</t>
        </is>
      </c>
      <c r="M4" s="40" t="inlineStr">
        <is>
          <t>GB wave@1 s3</t>
        </is>
      </c>
      <c r="N4" s="40" t="inlineStr">
        <is>
          <t>GB wave@1 s4</t>
        </is>
      </c>
      <c r="O4" s="40" t="inlineStr">
        <is>
          <t>GB wave@1 TB</t>
        </is>
      </c>
      <c r="P4" s="40" t="inlineStr">
        <is>
          <t>hard@0.6 s0</t>
        </is>
      </c>
      <c r="Q4" s="40" t="inlineStr">
        <is>
          <t>hard@0.6 s1</t>
        </is>
      </c>
      <c r="R4" s="40" t="inlineStr">
        <is>
          <t>hard@0.6 s2</t>
        </is>
      </c>
      <c r="S4" s="40" t="inlineStr">
        <is>
          <t>hard@0.6 s3</t>
        </is>
      </c>
      <c r="T4" s="40" t="inlineStr">
        <is>
          <t>hard@0.6 s4</t>
        </is>
      </c>
      <c r="U4" s="40" t="inlineStr">
        <is>
          <t>hard@0.6 TB</t>
        </is>
      </c>
      <c r="V4" s="40" t="inlineStr">
        <is>
          <t>wave@0.6 s0</t>
        </is>
      </c>
      <c r="W4" s="40" t="inlineStr">
        <is>
          <t>wave@0.6 s1</t>
        </is>
      </c>
      <c r="X4" s="40" t="inlineStr">
        <is>
          <t>wave@0.6 s2</t>
        </is>
      </c>
      <c r="Y4" s="40" t="inlineStr">
        <is>
          <t>wave@0.6 s3</t>
        </is>
      </c>
      <c r="Z4" s="40" t="inlineStr">
        <is>
          <t>wave@0.6 s4</t>
        </is>
      </c>
      <c r="AA4" s="40" t="inlineStr">
        <is>
          <t>wave@0.6 TB</t>
        </is>
      </c>
      <c r="AB4" s="40" t="inlineStr">
        <is>
          <t>wave@0.6 resc s0</t>
        </is>
      </c>
      <c r="AC4" s="40" t="inlineStr">
        <is>
          <t>wave@0.6 resc s1</t>
        </is>
      </c>
      <c r="AD4" s="40" t="inlineStr">
        <is>
          <t>wave@0.6 resc s2</t>
        </is>
      </c>
      <c r="AE4" s="40" t="inlineStr">
        <is>
          <t>wave@0.6 resc s3</t>
        </is>
      </c>
      <c r="AF4" s="40" t="inlineStr">
        <is>
          <t>wave@0.6 resc s4</t>
        </is>
      </c>
      <c r="AG4" s="40" t="inlineStr">
        <is>
          <t>wave@0.6 resc TB</t>
        </is>
      </c>
      <c r="AH4" s="40" t="inlineStr">
        <is>
          <t>Δ(resc−wave.6)</t>
        </is>
      </c>
      <c r="AI4" s="40" t="inlineStr">
        <is>
          <t>Δ(resc−GBwave)</t>
        </is>
      </c>
    </row>
    <row r="5">
      <c r="A5" s="41" t="inlineStr">
        <is>
          <t>balance_scale</t>
        </is>
      </c>
      <c r="B5" s="42" t="inlineStr">
        <is>
          <t>(clean)</t>
        </is>
      </c>
      <c r="C5" s="42" t="n">
        <v>0</v>
      </c>
      <c r="D5" s="42" t="n">
        <v>0.948</v>
      </c>
      <c r="E5" s="42" t="n">
        <v>0.944</v>
      </c>
      <c r="F5" s="42" t="n">
        <v>0.9389999999999999</v>
      </c>
      <c r="G5" s="42" t="n">
        <v>0.944</v>
      </c>
      <c r="H5" s="42" t="n">
        <v>0.925</v>
      </c>
      <c r="I5" s="43">
        <f>IFERROR(AVERAGE(D5:H5),"")</f>
        <v/>
      </c>
      <c r="J5" s="42" t="n">
        <v>0.95</v>
      </c>
      <c r="K5" s="42" t="n">
        <v>0.95</v>
      </c>
      <c r="L5" s="42" t="n">
        <v>0.946</v>
      </c>
      <c r="M5" s="42" t="n">
        <v>0.951</v>
      </c>
      <c r="N5" s="42" t="n">
        <v>0.944</v>
      </c>
      <c r="O5" s="43">
        <f>IFERROR(AVERAGE(J5:N5),"")</f>
        <v/>
      </c>
      <c r="P5" s="42" t="n">
        <v>0.734</v>
      </c>
      <c r="Q5" s="42" t="n">
        <v>0.743</v>
      </c>
      <c r="R5" s="42" t="n">
        <v>0.707</v>
      </c>
      <c r="S5" s="42" t="n">
        <v>0.745</v>
      </c>
      <c r="T5" s="42" t="n">
        <v>0.773</v>
      </c>
      <c r="U5" s="43">
        <f>IFERROR(AVERAGE(P5:T5),"")</f>
        <v/>
      </c>
      <c r="V5" s="42" t="n">
        <v>0.719</v>
      </c>
      <c r="W5" s="42" t="n">
        <v>0.913</v>
      </c>
      <c r="X5" s="42" t="n">
        <v>0.696</v>
      </c>
      <c r="Y5" s="42" t="n">
        <v>0.95</v>
      </c>
      <c r="Z5" s="42" t="n">
        <v>0.9429999999999999</v>
      </c>
      <c r="AA5" s="43">
        <f>IFERROR(AVERAGE(V5:Z5),"")</f>
        <v/>
      </c>
      <c r="AB5" s="42" t="n">
        <v>0.719</v>
      </c>
      <c r="AC5" s="42" t="n">
        <v>0.913</v>
      </c>
      <c r="AD5" s="42" t="n">
        <v>0.696</v>
      </c>
      <c r="AE5" s="42" t="n">
        <v>0.95</v>
      </c>
      <c r="AF5" s="42" t="n">
        <v>0.9429999999999999</v>
      </c>
      <c r="AG5" s="43">
        <f>IFERROR(AVERAGE(AB5:AF5),"")</f>
        <v/>
      </c>
      <c r="AH5" s="42">
        <f>IFERROR(AG5-AA5,"")</f>
        <v/>
      </c>
      <c r="AI5" s="42">
        <f>IFERROR(AG5-O5,"")</f>
        <v/>
      </c>
    </row>
    <row r="6">
      <c r="A6" s="41" t="inlineStr">
        <is>
          <t>balance_scale</t>
        </is>
      </c>
      <c r="B6" s="42" t="inlineStr">
        <is>
          <t>symmetric</t>
        </is>
      </c>
      <c r="C6" s="42" t="n">
        <v>0.2</v>
      </c>
      <c r="D6" s="42" t="n">
        <v>0.9360000000000001</v>
      </c>
      <c r="E6" s="42" t="n">
        <v>0.9320000000000001</v>
      </c>
      <c r="F6" s="42" t="n">
        <v>0.92</v>
      </c>
      <c r="G6" s="42" t="n">
        <v>0.929</v>
      </c>
      <c r="H6" s="42" t="n">
        <v>0.9340000000000001</v>
      </c>
      <c r="I6" s="43">
        <f>IFERROR(AVERAGE(D6:H6),"")</f>
        <v/>
      </c>
      <c r="J6" s="42" t="n">
        <v>0.9409999999999999</v>
      </c>
      <c r="K6" s="42" t="n">
        <v>0.95</v>
      </c>
      <c r="L6" s="42" t="n">
        <v>0.925</v>
      </c>
      <c r="M6" s="42" t="n">
        <v>0.924</v>
      </c>
      <c r="N6" s="42" t="n">
        <v>0.929</v>
      </c>
      <c r="O6" s="43">
        <f>IFERROR(AVERAGE(J6:N6),"")</f>
        <v/>
      </c>
      <c r="P6" s="42" t="n">
        <v>0.755</v>
      </c>
      <c r="Q6" s="42" t="n">
        <v>0.75</v>
      </c>
      <c r="R6" s="42" t="n">
        <v>0.774</v>
      </c>
      <c r="S6" s="42" t="n">
        <v>0.745</v>
      </c>
      <c r="T6" s="42" t="n">
        <v>0.821</v>
      </c>
      <c r="U6" s="43">
        <f>IFERROR(AVERAGE(P6:T6),"")</f>
        <v/>
      </c>
      <c r="V6" s="42" t="n">
        <v>0.792</v>
      </c>
      <c r="W6" s="42" t="n">
        <v>0.911</v>
      </c>
      <c r="X6" s="42" t="n">
        <v>0.79</v>
      </c>
      <c r="Y6" s="42" t="n">
        <v>0.95</v>
      </c>
      <c r="Z6" s="42" t="n">
        <v>0.9360000000000001</v>
      </c>
      <c r="AA6" s="43">
        <f>IFERROR(AVERAGE(V6:Z6),"")</f>
        <v/>
      </c>
      <c r="AB6" s="42" t="n">
        <v>0.792</v>
      </c>
      <c r="AC6" s="42" t="n">
        <v>0.911</v>
      </c>
      <c r="AD6" s="42" t="n">
        <v>0.79</v>
      </c>
      <c r="AE6" s="42" t="n">
        <v>0.95</v>
      </c>
      <c r="AF6" s="42" t="n">
        <v>0.9360000000000001</v>
      </c>
      <c r="AG6" s="43">
        <f>IFERROR(AVERAGE(AB6:AF6),"")</f>
        <v/>
      </c>
      <c r="AH6" s="42">
        <f>IFERROR(AG6-AA6,"")</f>
        <v/>
      </c>
      <c r="AI6" s="42">
        <f>IFERROR(AG6-O6,"")</f>
        <v/>
      </c>
    </row>
    <row r="7">
      <c r="A7" s="41" t="inlineStr">
        <is>
          <t>balance_scale</t>
        </is>
      </c>
      <c r="B7" s="42" t="inlineStr">
        <is>
          <t>symmetric</t>
        </is>
      </c>
      <c r="C7" s="42" t="n">
        <v>0.3</v>
      </c>
      <c r="D7" s="42" t="n">
        <v>0.859</v>
      </c>
      <c r="E7" s="42" t="n">
        <v>0.9320000000000001</v>
      </c>
      <c r="F7" s="42" t="n">
        <v>0.868</v>
      </c>
      <c r="G7" s="42" t="n">
        <v>0.92</v>
      </c>
      <c r="H7" s="42" t="n">
        <v>0.906</v>
      </c>
      <c r="I7" s="43">
        <f>IFERROR(AVERAGE(D7:H7),"")</f>
        <v/>
      </c>
      <c r="J7" s="42" t="n">
        <v>0.88</v>
      </c>
      <c r="K7" s="42" t="n">
        <v>0.925</v>
      </c>
      <c r="L7" s="42" t="n">
        <v>0.911</v>
      </c>
      <c r="M7" s="42" t="n">
        <v>0.91</v>
      </c>
      <c r="N7" s="42" t="n">
        <v>0.91</v>
      </c>
      <c r="O7" s="43">
        <f>IFERROR(AVERAGE(J7:N7),"")</f>
        <v/>
      </c>
      <c r="P7" s="42" t="n">
        <v>0.755</v>
      </c>
      <c r="Q7" s="42" t="n">
        <v>0.891</v>
      </c>
      <c r="R7" s="42" t="n">
        <v>0.737</v>
      </c>
      <c r="S7" s="42" t="n">
        <v>0.769</v>
      </c>
      <c r="T7" s="42" t="n">
        <v>0.866</v>
      </c>
      <c r="U7" s="43">
        <f>IFERROR(AVERAGE(P7:T7),"")</f>
        <v/>
      </c>
      <c r="V7" s="42" t="n">
        <v>0.825</v>
      </c>
      <c r="W7" s="42" t="n">
        <v>0.863</v>
      </c>
      <c r="X7" s="42" t="n">
        <v>0.822</v>
      </c>
      <c r="Y7" s="42" t="n">
        <v>0.83</v>
      </c>
      <c r="Z7" s="42" t="n">
        <v>0.929</v>
      </c>
      <c r="AA7" s="43">
        <f>IFERROR(AVERAGE(V7:Z7),"")</f>
        <v/>
      </c>
      <c r="AB7" s="42" t="n">
        <v>0.825</v>
      </c>
      <c r="AC7" s="42" t="n">
        <v>0.863</v>
      </c>
      <c r="AD7" s="42" t="n">
        <v>0.822</v>
      </c>
      <c r="AE7" s="42" t="n">
        <v>0.83</v>
      </c>
      <c r="AF7" s="42" t="n">
        <v>0.929</v>
      </c>
      <c r="AG7" s="43">
        <f>IFERROR(AVERAGE(AB7:AF7),"")</f>
        <v/>
      </c>
      <c r="AH7" s="42">
        <f>IFERROR(AG7-AA7,"")</f>
        <v/>
      </c>
      <c r="AI7" s="42">
        <f>IFERROR(AG7-O7,"")</f>
        <v/>
      </c>
    </row>
    <row r="8">
      <c r="A8" s="41" t="inlineStr">
        <is>
          <t>balance_scale</t>
        </is>
      </c>
      <c r="B8" s="42" t="inlineStr">
        <is>
          <t>symmetric</t>
        </is>
      </c>
      <c r="C8" s="42" t="n">
        <v>0.4</v>
      </c>
      <c r="D8" s="42" t="n">
        <v>0.672</v>
      </c>
      <c r="E8" s="42" t="n">
        <v>0.786</v>
      </c>
      <c r="F8" s="42" t="n">
        <v>0.8179999999999999</v>
      </c>
      <c r="G8" s="42" t="n">
        <v>0.8159999999999999</v>
      </c>
      <c r="H8" s="42" t="n">
        <v>0.828</v>
      </c>
      <c r="I8" s="43">
        <f>IFERROR(AVERAGE(D8:H8),"")</f>
        <v/>
      </c>
      <c r="J8" s="42" t="n">
        <v>0.698</v>
      </c>
      <c r="K8" s="42" t="n">
        <v>0.832</v>
      </c>
      <c r="L8" s="42" t="n">
        <v>0.8159999999999999</v>
      </c>
      <c r="M8" s="42" t="n">
        <v>0.794</v>
      </c>
      <c r="N8" s="42" t="n">
        <v>0.849</v>
      </c>
      <c r="O8" s="43">
        <f>IFERROR(AVERAGE(J8:N8),"")</f>
        <v/>
      </c>
      <c r="P8" s="42" t="n">
        <v>0.653</v>
      </c>
      <c r="Q8" s="42" t="n">
        <v>0.748</v>
      </c>
      <c r="R8" s="42" t="n">
        <v>0.754</v>
      </c>
      <c r="S8" s="42" t="n">
        <v>0.8179999999999999</v>
      </c>
      <c r="T8" s="42" t="n">
        <v>0.753</v>
      </c>
      <c r="U8" s="43">
        <f>IFERROR(AVERAGE(P8:T8),"")</f>
        <v/>
      </c>
      <c r="V8" s="42" t="n">
        <v>0.632</v>
      </c>
      <c r="W8" s="42" t="n">
        <v>0.778</v>
      </c>
      <c r="X8" s="42" t="n">
        <v>0.783</v>
      </c>
      <c r="Y8" s="42" t="n">
        <v>0.847</v>
      </c>
      <c r="Z8" s="42" t="n">
        <v>0.774</v>
      </c>
      <c r="AA8" s="43">
        <f>IFERROR(AVERAGE(V8:Z8),"")</f>
        <v/>
      </c>
      <c r="AB8" s="42" t="n">
        <v>0.632</v>
      </c>
      <c r="AC8" s="42" t="n">
        <v>0.778</v>
      </c>
      <c r="AD8" s="42" t="n">
        <v>0.783</v>
      </c>
      <c r="AE8" s="42" t="n">
        <v>0.847</v>
      </c>
      <c r="AF8" s="42" t="n">
        <v>0.774</v>
      </c>
      <c r="AG8" s="43">
        <f>IFERROR(AVERAGE(AB8:AF8),"")</f>
        <v/>
      </c>
      <c r="AH8" s="42">
        <f>IFERROR(AG8-AA8,"")</f>
        <v/>
      </c>
      <c r="AI8" s="42">
        <f>IFERROR(AG8-O8,"")</f>
        <v/>
      </c>
    </row>
    <row r="9">
      <c r="A9" s="41" t="inlineStr">
        <is>
          <t>balance_scale</t>
        </is>
      </c>
      <c r="B9" s="42" t="inlineStr">
        <is>
          <t>symmetric</t>
        </is>
      </c>
      <c r="C9" s="42" t="n">
        <v>0.5</v>
      </c>
      <c r="D9" s="42" t="n">
        <v>0.477</v>
      </c>
      <c r="E9" s="42" t="n">
        <v>0.335</v>
      </c>
      <c r="F9" s="42" t="n">
        <v>0.377</v>
      </c>
      <c r="G9" s="42" t="n">
        <v>0.472</v>
      </c>
      <c r="H9" s="42" t="n">
        <v>0.462</v>
      </c>
      <c r="I9" s="43">
        <f>IFERROR(AVERAGE(D9:H9),"")</f>
        <v/>
      </c>
      <c r="J9" s="42" t="n">
        <v>0.538</v>
      </c>
      <c r="K9" s="42" t="n">
        <v>0.491</v>
      </c>
      <c r="L9" s="42" t="n">
        <v>0.531</v>
      </c>
      <c r="M9" s="42" t="n">
        <v>0.61</v>
      </c>
      <c r="N9" s="42" t="n">
        <v>0.502</v>
      </c>
      <c r="O9" s="43">
        <f>IFERROR(AVERAGE(J9:N9),"")</f>
        <v/>
      </c>
      <c r="P9" s="42" t="n">
        <v>0.541</v>
      </c>
      <c r="Q9" s="42" t="n">
        <v>0.431</v>
      </c>
      <c r="R9" s="42" t="n">
        <v>0.544</v>
      </c>
      <c r="S9" s="42" t="n">
        <v>0.507</v>
      </c>
      <c r="T9" s="42" t="n">
        <v>0.506</v>
      </c>
      <c r="U9" s="43">
        <f>IFERROR(AVERAGE(P9:T9),"")</f>
        <v/>
      </c>
      <c r="V9" s="42" t="n">
        <v>0.453</v>
      </c>
      <c r="W9" s="42" t="n">
        <v>0.478</v>
      </c>
      <c r="X9" s="42" t="n">
        <v>0.543</v>
      </c>
      <c r="Y9" s="42" t="n">
        <v>0.578</v>
      </c>
      <c r="Z9" s="42" t="n">
        <v>0.537</v>
      </c>
      <c r="AA9" s="43">
        <f>IFERROR(AVERAGE(V9:Z9),"")</f>
        <v/>
      </c>
      <c r="AB9" s="42" t="n">
        <v>0.453</v>
      </c>
      <c r="AC9" s="42" t="n">
        <v>0.478</v>
      </c>
      <c r="AD9" s="42" t="n">
        <v>0.543</v>
      </c>
      <c r="AE9" s="42" t="n">
        <v>0.578</v>
      </c>
      <c r="AF9" s="42" t="n">
        <v>0.537</v>
      </c>
      <c r="AG9" s="43">
        <f>IFERROR(AVERAGE(AB9:AF9),"")</f>
        <v/>
      </c>
      <c r="AH9" s="42">
        <f>IFERROR(AG9-AA9,"")</f>
        <v/>
      </c>
      <c r="AI9" s="42">
        <f>IFERROR(AG9-O9,"")</f>
        <v/>
      </c>
    </row>
    <row r="10">
      <c r="A10" s="41" t="inlineStr">
        <is>
          <t>balance_scale</t>
        </is>
      </c>
      <c r="B10" s="42" t="inlineStr">
        <is>
          <t>asymmetric</t>
        </is>
      </c>
      <c r="C10" s="42" t="n">
        <v>0.2</v>
      </c>
      <c r="D10" s="42" t="n">
        <v>0.894</v>
      </c>
      <c r="E10" s="42" t="n">
        <v>0.832</v>
      </c>
      <c r="F10" s="42" t="n">
        <v>0.84</v>
      </c>
      <c r="G10" s="42" t="n">
        <v>0.847</v>
      </c>
      <c r="H10" s="42" t="n">
        <v>0.866</v>
      </c>
      <c r="I10" s="43">
        <f>IFERROR(AVERAGE(D10:H10),"")</f>
        <v/>
      </c>
      <c r="J10" s="42" t="n">
        <v>0.846</v>
      </c>
      <c r="K10" s="42" t="n">
        <v>0.854</v>
      </c>
      <c r="L10" s="42" t="n">
        <v>0.861</v>
      </c>
      <c r="M10" s="42" t="n">
        <v>0.835</v>
      </c>
      <c r="N10" s="42" t="n">
        <v>0.878</v>
      </c>
      <c r="O10" s="43">
        <f>IFERROR(AVERAGE(J10:N10),"")</f>
        <v/>
      </c>
      <c r="P10" s="42" t="n">
        <v>0.783</v>
      </c>
      <c r="Q10" s="42" t="n">
        <v>0.735</v>
      </c>
      <c r="R10" s="42" t="n">
        <v>0.839</v>
      </c>
      <c r="S10" s="42" t="n">
        <v>0.891</v>
      </c>
      <c r="T10" s="42" t="n">
        <v>0.8</v>
      </c>
      <c r="U10" s="43">
        <f>IFERROR(AVERAGE(P10:T10),"")</f>
        <v/>
      </c>
      <c r="V10" s="42" t="n">
        <v>0.9</v>
      </c>
      <c r="W10" s="42" t="n">
        <v>0.9389999999999999</v>
      </c>
      <c r="X10" s="42" t="n">
        <v>0.8090000000000001</v>
      </c>
      <c r="Y10" s="42" t="n">
        <v>0.909</v>
      </c>
      <c r="Z10" s="42" t="n">
        <v>0.957</v>
      </c>
      <c r="AA10" s="43">
        <f>IFERROR(AVERAGE(V10:Z10),"")</f>
        <v/>
      </c>
      <c r="AB10" s="42" t="n">
        <v>0.853</v>
      </c>
      <c r="AC10" s="42" t="n">
        <v>0.851</v>
      </c>
      <c r="AD10" s="42" t="n">
        <v>0.84</v>
      </c>
      <c r="AE10" s="42" t="n">
        <v>0.877</v>
      </c>
      <c r="AF10" s="42" t="n">
        <v>0.856</v>
      </c>
      <c r="AG10" s="43">
        <f>IFERROR(AVERAGE(AB10:AF10),"")</f>
        <v/>
      </c>
      <c r="AH10" s="42">
        <f>IFERROR(AG10-AA10,"")</f>
        <v/>
      </c>
      <c r="AI10" s="42">
        <f>IFERROR(AG10-O10,"")</f>
        <v/>
      </c>
    </row>
    <row r="11">
      <c r="A11" s="41" t="inlineStr">
        <is>
          <t>balance_scale</t>
        </is>
      </c>
      <c r="B11" s="42" t="inlineStr">
        <is>
          <t>asymmetric</t>
        </is>
      </c>
      <c r="C11" s="42" t="n">
        <v>0.3</v>
      </c>
      <c r="D11" s="42" t="n">
        <v>0.795</v>
      </c>
      <c r="E11" s="42" t="n">
        <v>0.8110000000000001</v>
      </c>
      <c r="F11" s="42" t="n">
        <v>0.772</v>
      </c>
      <c r="G11" s="42" t="n">
        <v>0.804</v>
      </c>
      <c r="H11" s="42" t="n">
        <v>0.799</v>
      </c>
      <c r="I11" s="43">
        <f>IFERROR(AVERAGE(D11:H11),"")</f>
        <v/>
      </c>
      <c r="J11" s="42" t="n">
        <v>0.771</v>
      </c>
      <c r="K11" s="42" t="n">
        <v>0.797</v>
      </c>
      <c r="L11" s="42" t="n">
        <v>0.786</v>
      </c>
      <c r="M11" s="42" t="n">
        <v>0.781</v>
      </c>
      <c r="N11" s="42" t="n">
        <v>0.804</v>
      </c>
      <c r="O11" s="43">
        <f>IFERROR(AVERAGE(J11:N11),"")</f>
        <v/>
      </c>
      <c r="P11" s="42" t="n"/>
      <c r="Q11" s="42" t="n"/>
      <c r="R11" s="42" t="n"/>
      <c r="S11" s="42" t="n"/>
      <c r="T11" s="42" t="n"/>
      <c r="U11" s="43">
        <f>IFERROR(AVERAGE(P11:T11),"")</f>
        <v/>
      </c>
      <c r="V11" s="42" t="n"/>
      <c r="W11" s="42" t="n"/>
      <c r="X11" s="42" t="n"/>
      <c r="Y11" s="42" t="n"/>
      <c r="Z11" s="42" t="n"/>
      <c r="AA11" s="43">
        <f>IFERROR(AVERAGE(V11:Z11),"")</f>
        <v/>
      </c>
      <c r="AB11" s="42" t="n">
        <v>0.837</v>
      </c>
      <c r="AC11" s="42" t="n">
        <v>0.835</v>
      </c>
      <c r="AD11" s="42" t="n">
        <v>0.854</v>
      </c>
      <c r="AE11" s="42" t="n">
        <v>0.851</v>
      </c>
      <c r="AF11" s="42" t="n">
        <v>0.8129999999999999</v>
      </c>
      <c r="AG11" s="43">
        <f>IFERROR(AVERAGE(AB11:AF11),"")</f>
        <v/>
      </c>
      <c r="AH11" s="42">
        <f>IFERROR(AG11-AA11,"")</f>
        <v/>
      </c>
      <c r="AI11" s="42">
        <f>IFERROR(AG11-O11,"")</f>
        <v/>
      </c>
    </row>
    <row r="12">
      <c r="A12" s="41" t="inlineStr">
        <is>
          <t>balance_scale</t>
        </is>
      </c>
      <c r="B12" s="42" t="inlineStr">
        <is>
          <t>asymmetric</t>
        </is>
      </c>
      <c r="C12" s="42" t="n">
        <v>0.4</v>
      </c>
      <c r="D12" s="42" t="n">
        <v>0.74</v>
      </c>
      <c r="E12" s="42" t="n">
        <v>0.733</v>
      </c>
      <c r="F12" s="42" t="n">
        <v>0.726</v>
      </c>
      <c r="G12" s="42" t="n">
        <v>0.734</v>
      </c>
      <c r="H12" s="42" t="n">
        <v>0.748</v>
      </c>
      <c r="I12" s="43">
        <f>IFERROR(AVERAGE(D12:H12),"")</f>
        <v/>
      </c>
      <c r="J12" s="42" t="n">
        <v>0.712</v>
      </c>
      <c r="K12" s="42" t="n">
        <v>0.705</v>
      </c>
      <c r="L12" s="42" t="n">
        <v>0.734</v>
      </c>
      <c r="M12" s="42" t="n">
        <v>0.72</v>
      </c>
      <c r="N12" s="42" t="n">
        <v>0.736</v>
      </c>
      <c r="O12" s="43">
        <f>IFERROR(AVERAGE(J12:N12),"")</f>
        <v/>
      </c>
      <c r="P12" s="42" t="n"/>
      <c r="Q12" s="42" t="n"/>
      <c r="R12" s="42" t="n"/>
      <c r="S12" s="42" t="n"/>
      <c r="T12" s="42" t="n"/>
      <c r="U12" s="43">
        <f>IFERROR(AVERAGE(P12:T12),"")</f>
        <v/>
      </c>
      <c r="V12" s="42" t="n"/>
      <c r="W12" s="42" t="n"/>
      <c r="X12" s="42" t="n"/>
      <c r="Y12" s="42" t="n"/>
      <c r="Z12" s="42" t="n"/>
      <c r="AA12" s="43">
        <f>IFERROR(AVERAGE(V12:Z12),"")</f>
        <v/>
      </c>
      <c r="AB12" s="42" t="n">
        <v>0.834</v>
      </c>
      <c r="AC12" s="42" t="n">
        <v>0.842</v>
      </c>
      <c r="AD12" s="42" t="n">
        <v>0.845</v>
      </c>
      <c r="AE12" s="42" t="n">
        <v>0.844</v>
      </c>
      <c r="AF12" s="42" t="n">
        <v>0.8</v>
      </c>
      <c r="AG12" s="43">
        <f>IFERROR(AVERAGE(AB12:AF12),"")</f>
        <v/>
      </c>
      <c r="AH12" s="42">
        <f>IFERROR(AG12-AA12,"")</f>
        <v/>
      </c>
      <c r="AI12" s="42">
        <f>IFERROR(AG12-O12,"")</f>
        <v/>
      </c>
    </row>
    <row r="13">
      <c r="A13" s="41" t="inlineStr">
        <is>
          <t>balance_scale</t>
        </is>
      </c>
      <c r="B13" s="42" t="inlineStr">
        <is>
          <t>asymmetric</t>
        </is>
      </c>
      <c r="C13" s="42" t="n">
        <v>0.5</v>
      </c>
      <c r="D13" s="42" t="n">
        <v>0.6889999999999999</v>
      </c>
      <c r="E13" s="42" t="n">
        <v>0.674</v>
      </c>
      <c r="F13" s="42" t="n">
        <v>0.67</v>
      </c>
      <c r="G13" s="42" t="n">
        <v>0.653</v>
      </c>
      <c r="H13" s="42" t="n">
        <v>0.67</v>
      </c>
      <c r="I13" s="43">
        <f>IFERROR(AVERAGE(D13:H13),"")</f>
        <v/>
      </c>
      <c r="J13" s="42" t="n">
        <v>0.653</v>
      </c>
      <c r="K13" s="42" t="n">
        <v>0.651</v>
      </c>
      <c r="L13" s="42" t="n">
        <v>0.667</v>
      </c>
      <c r="M13" s="42" t="n">
        <v>0.656</v>
      </c>
      <c r="N13" s="42" t="n">
        <v>0.663</v>
      </c>
      <c r="O13" s="43">
        <f>IFERROR(AVERAGE(J13:N13),"")</f>
        <v/>
      </c>
      <c r="P13" s="42" t="n"/>
      <c r="Q13" s="42" t="n"/>
      <c r="R13" s="42" t="n"/>
      <c r="S13" s="42" t="n"/>
      <c r="T13" s="42" t="n"/>
      <c r="U13" s="43">
        <f>IFERROR(AVERAGE(P13:T13),"")</f>
        <v/>
      </c>
      <c r="V13" s="42" t="n"/>
      <c r="W13" s="42" t="n"/>
      <c r="X13" s="42" t="n"/>
      <c r="Y13" s="42" t="n"/>
      <c r="Z13" s="42" t="n"/>
      <c r="AA13" s="43">
        <f>IFERROR(AVERAGE(V13:Z13),"")</f>
        <v/>
      </c>
      <c r="AB13" s="42" t="n">
        <v>0.835</v>
      </c>
      <c r="AC13" s="42" t="n">
        <v>0.821</v>
      </c>
      <c r="AD13" s="42" t="n">
        <v>0.854</v>
      </c>
      <c r="AE13" s="42" t="n">
        <v>0.84</v>
      </c>
      <c r="AF13" s="42" t="n">
        <v>0.8110000000000001</v>
      </c>
      <c r="AG13" s="43">
        <f>IFERROR(AVERAGE(AB13:AF13),"")</f>
        <v/>
      </c>
      <c r="AH13" s="42">
        <f>IFERROR(AG13-AA13,"")</f>
        <v/>
      </c>
      <c r="AI13" s="42">
        <f>IFERROR(AG13-O13,"")</f>
        <v/>
      </c>
    </row>
    <row r="14">
      <c r="A14" s="41" t="inlineStr">
        <is>
          <t>balance_scale</t>
        </is>
      </c>
      <c r="B14" s="42" t="inlineStr">
        <is>
          <t>boundary</t>
        </is>
      </c>
      <c r="C14" s="42" t="n">
        <v>0.2</v>
      </c>
      <c r="D14" s="42" t="n">
        <v>0.9320000000000001</v>
      </c>
      <c r="E14" s="42" t="n">
        <v>0.9340000000000001</v>
      </c>
      <c r="F14" s="42" t="n">
        <v>0.9389999999999999</v>
      </c>
      <c r="G14" s="42" t="n">
        <v>0.9340000000000001</v>
      </c>
      <c r="H14" s="42" t="n">
        <v>0.9360000000000001</v>
      </c>
      <c r="I14" s="43">
        <f>IFERROR(AVERAGE(D14:H14),"")</f>
        <v/>
      </c>
      <c r="J14" s="42" t="n">
        <v>0.931</v>
      </c>
      <c r="K14" s="42" t="n">
        <v>0.9360000000000001</v>
      </c>
      <c r="L14" s="42" t="n">
        <v>0.9429999999999999</v>
      </c>
      <c r="M14" s="42" t="n">
        <v>0.9409999999999999</v>
      </c>
      <c r="N14" s="42" t="n">
        <v>0.9360000000000001</v>
      </c>
      <c r="O14" s="43">
        <f>IFERROR(AVERAGE(J14:N14),"")</f>
        <v/>
      </c>
      <c r="P14" s="42" t="n">
        <v>0.774</v>
      </c>
      <c r="Q14" s="42" t="n">
        <v>0.727</v>
      </c>
      <c r="R14" s="42" t="n">
        <v>0.724</v>
      </c>
      <c r="S14" s="42" t="n">
        <v>0.745</v>
      </c>
      <c r="T14" s="42" t="n">
        <v>0.773</v>
      </c>
      <c r="U14" s="43">
        <f>IFERROR(AVERAGE(P14:T14),"")</f>
        <v/>
      </c>
      <c r="V14" s="42" t="n">
        <v>0.778</v>
      </c>
      <c r="W14" s="42" t="n">
        <v>0.837</v>
      </c>
      <c r="X14" s="42" t="n">
        <v>0.709</v>
      </c>
      <c r="Y14" s="42" t="n">
        <v>0.95</v>
      </c>
      <c r="Z14" s="42" t="n">
        <v>0.9429999999999999</v>
      </c>
      <c r="AA14" s="43">
        <f>IFERROR(AVERAGE(V14:Z14),"")</f>
        <v/>
      </c>
      <c r="AB14" s="42" t="n">
        <v>0.778</v>
      </c>
      <c r="AC14" s="42" t="n">
        <v>0.837</v>
      </c>
      <c r="AD14" s="42" t="n">
        <v>0.709</v>
      </c>
      <c r="AE14" s="42" t="n">
        <v>0.95</v>
      </c>
      <c r="AF14" s="42" t="n">
        <v>0.9429999999999999</v>
      </c>
      <c r="AG14" s="43">
        <f>IFERROR(AVERAGE(AB14:AF14),"")</f>
        <v/>
      </c>
      <c r="AH14" s="42">
        <f>IFERROR(AG14-AA14,"")</f>
        <v/>
      </c>
      <c r="AI14" s="42">
        <f>IFERROR(AG14-O14,"")</f>
        <v/>
      </c>
    </row>
    <row r="15">
      <c r="A15" s="41" t="inlineStr">
        <is>
          <t>balance_scale</t>
        </is>
      </c>
      <c r="B15" s="42" t="inlineStr">
        <is>
          <t>boundary</t>
        </is>
      </c>
      <c r="C15" s="42" t="n">
        <v>0.3</v>
      </c>
      <c r="D15" s="42" t="n">
        <v>0.9429999999999999</v>
      </c>
      <c r="E15" s="42" t="n">
        <v>0.929</v>
      </c>
      <c r="F15" s="42" t="n">
        <v>0.927</v>
      </c>
      <c r="G15" s="42" t="n">
        <v>0.9409999999999999</v>
      </c>
      <c r="H15" s="42" t="n">
        <v>0.946</v>
      </c>
      <c r="I15" s="43">
        <f>IFERROR(AVERAGE(D15:H15),"")</f>
        <v/>
      </c>
      <c r="J15" s="42" t="n">
        <v>0.9409999999999999</v>
      </c>
      <c r="K15" s="42" t="n">
        <v>0.9429999999999999</v>
      </c>
      <c r="L15" s="42" t="n">
        <v>0.9370000000000001</v>
      </c>
      <c r="M15" s="42" t="n">
        <v>0.9379999999999999</v>
      </c>
      <c r="N15" s="42" t="n">
        <v>0.9409999999999999</v>
      </c>
      <c r="O15" s="43">
        <f>IFERROR(AVERAGE(J15:N15),"")</f>
        <v/>
      </c>
      <c r="P15" s="42" t="n">
        <v>0.734</v>
      </c>
      <c r="Q15" s="42" t="n">
        <v>0.78</v>
      </c>
      <c r="R15" s="42" t="n">
        <v>0.724</v>
      </c>
      <c r="S15" s="42" t="n">
        <v>0.745</v>
      </c>
      <c r="T15" s="42" t="n">
        <v>0.773</v>
      </c>
      <c r="U15" s="43">
        <f>IFERROR(AVERAGE(P15:T15),"")</f>
        <v/>
      </c>
      <c r="V15" s="42" t="n">
        <v>0.719</v>
      </c>
      <c r="W15" s="42" t="n">
        <v>0.9409999999999999</v>
      </c>
      <c r="X15" s="42" t="n">
        <v>0.709</v>
      </c>
      <c r="Y15" s="42" t="n">
        <v>0.95</v>
      </c>
      <c r="Z15" s="42" t="n">
        <v>0.9429999999999999</v>
      </c>
      <c r="AA15" s="43">
        <f>IFERROR(AVERAGE(V15:Z15),"")</f>
        <v/>
      </c>
      <c r="AB15" s="42" t="n">
        <v>0.719</v>
      </c>
      <c r="AC15" s="42" t="n">
        <v>0.9409999999999999</v>
      </c>
      <c r="AD15" s="42" t="n">
        <v>0.709</v>
      </c>
      <c r="AE15" s="42" t="n">
        <v>0.95</v>
      </c>
      <c r="AF15" s="42" t="n">
        <v>0.9429999999999999</v>
      </c>
      <c r="AG15" s="43">
        <f>IFERROR(AVERAGE(AB15:AF15),"")</f>
        <v/>
      </c>
      <c r="AH15" s="42">
        <f>IFERROR(AG15-AA15,"")</f>
        <v/>
      </c>
      <c r="AI15" s="42">
        <f>IFERROR(AG15-O15,"")</f>
        <v/>
      </c>
    </row>
    <row r="16">
      <c r="A16" s="41" t="inlineStr">
        <is>
          <t>balance_scale</t>
        </is>
      </c>
      <c r="B16" s="42" t="inlineStr">
        <is>
          <t>boundary</t>
        </is>
      </c>
      <c r="C16" s="42" t="n">
        <v>0.4</v>
      </c>
      <c r="D16" s="42" t="n">
        <v>0.903</v>
      </c>
      <c r="E16" s="42" t="n">
        <v>0.9320000000000001</v>
      </c>
      <c r="F16" s="42" t="n">
        <v>0.906</v>
      </c>
      <c r="G16" s="42" t="n">
        <v>0.847</v>
      </c>
      <c r="H16" s="42" t="n">
        <v>0.925</v>
      </c>
      <c r="I16" s="43">
        <f>IFERROR(AVERAGE(D16:H16),"")</f>
        <v/>
      </c>
      <c r="J16" s="42" t="n">
        <v>0.9320000000000001</v>
      </c>
      <c r="K16" s="42" t="n">
        <v>0.918</v>
      </c>
      <c r="L16" s="42" t="n">
        <v>0.92</v>
      </c>
      <c r="M16" s="42" t="n">
        <v>0.911</v>
      </c>
      <c r="N16" s="42" t="n">
        <v>0.944</v>
      </c>
      <c r="O16" s="43">
        <f>IFERROR(AVERAGE(J16:N16),"")</f>
        <v/>
      </c>
      <c r="P16" s="42" t="n">
        <v>0.674</v>
      </c>
      <c r="Q16" s="42" t="n">
        <v>0.748</v>
      </c>
      <c r="R16" s="42" t="n">
        <v>0.661</v>
      </c>
      <c r="S16" s="42" t="n">
        <v>0.771</v>
      </c>
      <c r="T16" s="42" t="n">
        <v>0.795</v>
      </c>
      <c r="U16" s="43">
        <f>IFERROR(AVERAGE(P16:T16),"")</f>
        <v/>
      </c>
      <c r="V16" s="42" t="n">
        <v>0.712</v>
      </c>
      <c r="W16" s="42" t="n">
        <v>0.752</v>
      </c>
      <c r="X16" s="42" t="n">
        <v>0.769</v>
      </c>
      <c r="Y16" s="42" t="n">
        <v>0.832</v>
      </c>
      <c r="Z16" s="42" t="n">
        <v>0.889</v>
      </c>
      <c r="AA16" s="43">
        <f>IFERROR(AVERAGE(V16:Z16),"")</f>
        <v/>
      </c>
      <c r="AB16" s="42" t="n">
        <v>0.712</v>
      </c>
      <c r="AC16" s="42" t="n">
        <v>0.752</v>
      </c>
      <c r="AD16" s="42" t="n">
        <v>0.769</v>
      </c>
      <c r="AE16" s="42" t="n">
        <v>0.832</v>
      </c>
      <c r="AF16" s="42" t="n">
        <v>0.889</v>
      </c>
      <c r="AG16" s="43">
        <f>IFERROR(AVERAGE(AB16:AF16),"")</f>
        <v/>
      </c>
      <c r="AH16" s="42">
        <f>IFERROR(AG16-AA16,"")</f>
        <v/>
      </c>
      <c r="AI16" s="42">
        <f>IFERROR(AG16-O16,"")</f>
        <v/>
      </c>
    </row>
    <row r="17">
      <c r="A17" s="41" t="inlineStr">
        <is>
          <t>balance_scale</t>
        </is>
      </c>
      <c r="B17" s="42" t="inlineStr">
        <is>
          <t>boundary</t>
        </is>
      </c>
      <c r="C17" s="42" t="n">
        <v>0.5</v>
      </c>
      <c r="D17" s="42" t="n">
        <v>0.411</v>
      </c>
      <c r="E17" s="42" t="n">
        <v>0.444</v>
      </c>
      <c r="F17" s="42" t="n">
        <v>0.533</v>
      </c>
      <c r="G17" s="42" t="n">
        <v>0.524</v>
      </c>
      <c r="H17" s="42" t="n">
        <v>0.634</v>
      </c>
      <c r="I17" s="43">
        <f>IFERROR(AVERAGE(D17:H17),"")</f>
        <v/>
      </c>
      <c r="J17" s="42" t="n">
        <v>0.399</v>
      </c>
      <c r="K17" s="42" t="n">
        <v>0.465</v>
      </c>
      <c r="L17" s="42" t="n">
        <v>0.613</v>
      </c>
      <c r="M17" s="42" t="n">
        <v>0.509</v>
      </c>
      <c r="N17" s="42" t="n">
        <v>0.6909999999999999</v>
      </c>
      <c r="O17" s="43">
        <f>IFERROR(AVERAGE(J17:N17),"")</f>
        <v/>
      </c>
      <c r="P17" s="42" t="n">
        <v>0.455</v>
      </c>
      <c r="Q17" s="42" t="n">
        <v>0.484</v>
      </c>
      <c r="R17" s="42" t="n">
        <v>0.646</v>
      </c>
      <c r="S17" s="42" t="n">
        <v>0.488</v>
      </c>
      <c r="T17" s="42" t="n">
        <v>0.606</v>
      </c>
      <c r="U17" s="43">
        <f>IFERROR(AVERAGE(P17:T17),"")</f>
        <v/>
      </c>
      <c r="V17" s="42" t="n">
        <v>0.429</v>
      </c>
      <c r="W17" s="42" t="n">
        <v>0.453</v>
      </c>
      <c r="X17" s="42" t="n">
        <v>0.583</v>
      </c>
      <c r="Y17" s="42" t="n">
        <v>0.514</v>
      </c>
      <c r="Z17" s="42" t="n">
        <v>0.585</v>
      </c>
      <c r="AA17" s="43">
        <f>IFERROR(AVERAGE(V17:Z17),"")</f>
        <v/>
      </c>
      <c r="AB17" s="42" t="n">
        <v>0.429</v>
      </c>
      <c r="AC17" s="42" t="n">
        <v>0.453</v>
      </c>
      <c r="AD17" s="42" t="n">
        <v>0.583</v>
      </c>
      <c r="AE17" s="42" t="n">
        <v>0.514</v>
      </c>
      <c r="AF17" s="42" t="n">
        <v>0.585</v>
      </c>
      <c r="AG17" s="43">
        <f>IFERROR(AVERAGE(AB17:AF17),"")</f>
        <v/>
      </c>
      <c r="AH17" s="42">
        <f>IFERROR(AG17-AA17,"")</f>
        <v/>
      </c>
      <c r="AI17" s="42">
        <f>IFERROR(AG17-O17,"")</f>
        <v/>
      </c>
    </row>
    <row r="18">
      <c r="A18" s="41" t="inlineStr">
        <is>
          <t>balance_scale</t>
        </is>
      </c>
      <c r="B18" s="42" t="inlineStr">
        <is>
          <t>far</t>
        </is>
      </c>
      <c r="C18" s="42" t="n">
        <v>0.2</v>
      </c>
      <c r="D18" s="42" t="n">
        <v>0.924</v>
      </c>
      <c r="E18" s="42" t="n">
        <v>0.9389999999999999</v>
      </c>
      <c r="F18" s="42" t="n">
        <v>0.9340000000000001</v>
      </c>
      <c r="G18" s="42" t="n">
        <v>0.925</v>
      </c>
      <c r="H18" s="42" t="n">
        <v>0.95</v>
      </c>
      <c r="I18" s="43">
        <f>IFERROR(AVERAGE(D18:H18),"")</f>
        <v/>
      </c>
      <c r="J18" s="42" t="n">
        <v>0.9360000000000001</v>
      </c>
      <c r="K18" s="42" t="n">
        <v>0.9389999999999999</v>
      </c>
      <c r="L18" s="42" t="n">
        <v>0.944</v>
      </c>
      <c r="M18" s="42" t="n">
        <v>0.946</v>
      </c>
      <c r="N18" s="42" t="n">
        <v>0.951</v>
      </c>
      <c r="O18" s="43">
        <f>IFERROR(AVERAGE(J18:N18),"")</f>
        <v/>
      </c>
      <c r="P18" s="42" t="n">
        <v>0.743</v>
      </c>
      <c r="Q18" s="42" t="n">
        <v>0.743</v>
      </c>
      <c r="R18" s="42" t="n">
        <v>0.729</v>
      </c>
      <c r="S18" s="42" t="n">
        <v>0.745</v>
      </c>
      <c r="T18" s="42" t="n">
        <v>0.773</v>
      </c>
      <c r="U18" s="43">
        <f>IFERROR(AVERAGE(P18:T18),"")</f>
        <v/>
      </c>
      <c r="V18" s="42" t="n">
        <v>0.778</v>
      </c>
      <c r="W18" s="42" t="n">
        <v>0.913</v>
      </c>
      <c r="X18" s="42" t="n">
        <v>0.745</v>
      </c>
      <c r="Y18" s="42" t="n">
        <v>0.95</v>
      </c>
      <c r="Z18" s="42" t="n">
        <v>0.9429999999999999</v>
      </c>
      <c r="AA18" s="43">
        <f>IFERROR(AVERAGE(V18:Z18),"")</f>
        <v/>
      </c>
      <c r="AB18" s="42" t="n">
        <v>0.778</v>
      </c>
      <c r="AC18" s="42" t="n">
        <v>0.913</v>
      </c>
      <c r="AD18" s="42" t="n">
        <v>0.745</v>
      </c>
      <c r="AE18" s="42" t="n">
        <v>0.95</v>
      </c>
      <c r="AF18" s="42" t="n">
        <v>0.9429999999999999</v>
      </c>
      <c r="AG18" s="43">
        <f>IFERROR(AVERAGE(AB18:AF18),"")</f>
        <v/>
      </c>
      <c r="AH18" s="42">
        <f>IFERROR(AG18-AA18,"")</f>
        <v/>
      </c>
      <c r="AI18" s="42">
        <f>IFERROR(AG18-O18,"")</f>
        <v/>
      </c>
    </row>
    <row r="19">
      <c r="A19" s="41" t="inlineStr">
        <is>
          <t>balance_scale</t>
        </is>
      </c>
      <c r="B19" s="42" t="inlineStr">
        <is>
          <t>far</t>
        </is>
      </c>
      <c r="C19" s="42" t="n">
        <v>0.3</v>
      </c>
      <c r="D19" s="42" t="n">
        <v>0.889</v>
      </c>
      <c r="E19" s="42" t="n">
        <v>0.903</v>
      </c>
      <c r="F19" s="42" t="n">
        <v>0.917</v>
      </c>
      <c r="G19" s="42" t="n">
        <v>0.889</v>
      </c>
      <c r="H19" s="42" t="n">
        <v>0.913</v>
      </c>
      <c r="I19" s="43">
        <f>IFERROR(AVERAGE(D19:H19),"")</f>
        <v/>
      </c>
      <c r="J19" s="42" t="n">
        <v>0.908</v>
      </c>
      <c r="K19" s="42" t="n">
        <v>0.891</v>
      </c>
      <c r="L19" s="42" t="n">
        <v>0.925</v>
      </c>
      <c r="M19" s="42" t="n">
        <v>0.946</v>
      </c>
      <c r="N19" s="42" t="n">
        <v>0.927</v>
      </c>
      <c r="O19" s="43">
        <f>IFERROR(AVERAGE(J19:N19),"")</f>
        <v/>
      </c>
      <c r="P19" s="42" t="n">
        <v>0.771</v>
      </c>
      <c r="Q19" s="42" t="n">
        <v>0.753</v>
      </c>
      <c r="R19" s="42" t="n">
        <v>0.745</v>
      </c>
      <c r="S19" s="42" t="n">
        <v>0.745</v>
      </c>
      <c r="T19" s="42" t="n">
        <v>0.773</v>
      </c>
      <c r="U19" s="43">
        <f>IFERROR(AVERAGE(P19:T19),"")</f>
        <v/>
      </c>
      <c r="V19" s="42" t="n">
        <v>0.894</v>
      </c>
      <c r="W19" s="42" t="n">
        <v>0.91</v>
      </c>
      <c r="X19" s="42" t="n">
        <v>0.778</v>
      </c>
      <c r="Y19" s="42" t="n">
        <v>0.95</v>
      </c>
      <c r="Z19" s="42" t="n">
        <v>0.9429999999999999</v>
      </c>
      <c r="AA19" s="43">
        <f>IFERROR(AVERAGE(V19:Z19),"")</f>
        <v/>
      </c>
      <c r="AB19" s="42" t="n">
        <v>0.894</v>
      </c>
      <c r="AC19" s="42" t="n">
        <v>0.91</v>
      </c>
      <c r="AD19" s="42" t="n">
        <v>0.778</v>
      </c>
      <c r="AE19" s="42" t="n">
        <v>0.95</v>
      </c>
      <c r="AF19" s="42" t="n">
        <v>0.9429999999999999</v>
      </c>
      <c r="AG19" s="43">
        <f>IFERROR(AVERAGE(AB19:AF19),"")</f>
        <v/>
      </c>
      <c r="AH19" s="42">
        <f>IFERROR(AG19-AA19,"")</f>
        <v/>
      </c>
      <c r="AI19" s="42">
        <f>IFERROR(AG19-O19,"")</f>
        <v/>
      </c>
    </row>
    <row r="20">
      <c r="A20" s="41" t="inlineStr">
        <is>
          <t>balance_scale</t>
        </is>
      </c>
      <c r="B20" s="42" t="inlineStr">
        <is>
          <t>far</t>
        </is>
      </c>
      <c r="C20" s="42" t="n">
        <v>0.4</v>
      </c>
      <c r="D20" s="42" t="n">
        <v>0.781</v>
      </c>
      <c r="E20" s="42" t="n">
        <v>0.8120000000000001</v>
      </c>
      <c r="F20" s="42" t="n">
        <v>0.773</v>
      </c>
      <c r="G20" s="42" t="n">
        <v>0.786</v>
      </c>
      <c r="H20" s="42" t="n">
        <v>0.766</v>
      </c>
      <c r="I20" s="43">
        <f>IFERROR(AVERAGE(D20:H20),"")</f>
        <v/>
      </c>
      <c r="J20" s="42" t="n">
        <v>0.84</v>
      </c>
      <c r="K20" s="42" t="n">
        <v>0.892</v>
      </c>
      <c r="L20" s="42" t="n">
        <v>0.854</v>
      </c>
      <c r="M20" s="42" t="n">
        <v>0.878</v>
      </c>
      <c r="N20" s="42" t="n">
        <v>0.806</v>
      </c>
      <c r="O20" s="43">
        <f>IFERROR(AVERAGE(J20:N20),"")</f>
        <v/>
      </c>
      <c r="P20" s="42" t="n">
        <v>0.8110000000000001</v>
      </c>
      <c r="Q20" s="42" t="n">
        <v>0.656</v>
      </c>
      <c r="R20" s="42" t="n">
        <v>0.8159999999999999</v>
      </c>
      <c r="S20" s="42" t="n">
        <v>0.792</v>
      </c>
      <c r="T20" s="42" t="n">
        <v>0.759</v>
      </c>
      <c r="U20" s="43">
        <f>IFERROR(AVERAGE(P20:T20),"")</f>
        <v/>
      </c>
      <c r="V20" s="42" t="n">
        <v>0.781</v>
      </c>
      <c r="W20" s="42" t="n">
        <v>0.766</v>
      </c>
      <c r="X20" s="42" t="n">
        <v>0.854</v>
      </c>
      <c r="Y20" s="42" t="n">
        <v>0.79</v>
      </c>
      <c r="Z20" s="42" t="n">
        <v>0.858</v>
      </c>
      <c r="AA20" s="43">
        <f>IFERROR(AVERAGE(V20:Z20),"")</f>
        <v/>
      </c>
      <c r="AB20" s="42" t="n">
        <v>0.781</v>
      </c>
      <c r="AC20" s="42" t="n">
        <v>0.766</v>
      </c>
      <c r="AD20" s="42" t="n">
        <v>0.854</v>
      </c>
      <c r="AE20" s="42" t="n">
        <v>0.79</v>
      </c>
      <c r="AF20" s="42" t="n">
        <v>0.858</v>
      </c>
      <c r="AG20" s="43">
        <f>IFERROR(AVERAGE(AB20:AF20),"")</f>
        <v/>
      </c>
      <c r="AH20" s="42">
        <f>IFERROR(AG20-AA20,"")</f>
        <v/>
      </c>
      <c r="AI20" s="42">
        <f>IFERROR(AG20-O20,"")</f>
        <v/>
      </c>
    </row>
    <row r="21">
      <c r="A21" s="41" t="inlineStr">
        <is>
          <t>balance_scale</t>
        </is>
      </c>
      <c r="B21" s="42" t="inlineStr">
        <is>
          <t>far</t>
        </is>
      </c>
      <c r="C21" s="42" t="n">
        <v>0.5</v>
      </c>
      <c r="D21" s="42" t="n">
        <v>0.346</v>
      </c>
      <c r="E21" s="42" t="n">
        <v>0.509</v>
      </c>
      <c r="F21" s="42" t="n">
        <v>0.412</v>
      </c>
      <c r="G21" s="42" t="n">
        <v>0.551</v>
      </c>
      <c r="H21" s="42" t="n">
        <v>0.5649999999999999</v>
      </c>
      <c r="I21" s="43">
        <f>IFERROR(AVERAGE(D21:H21),"")</f>
        <v/>
      </c>
      <c r="J21" s="42" t="n">
        <v>0.51</v>
      </c>
      <c r="K21" s="42" t="n">
        <v>0.569</v>
      </c>
      <c r="L21" s="42" t="n">
        <v>0.439</v>
      </c>
      <c r="M21" s="42" t="n">
        <v>0.537</v>
      </c>
      <c r="N21" s="42" t="n">
        <v>0.521</v>
      </c>
      <c r="O21" s="43">
        <f>IFERROR(AVERAGE(J21:N21),"")</f>
        <v/>
      </c>
      <c r="P21" s="42" t="n">
        <v>0.443</v>
      </c>
      <c r="Q21" s="42" t="n">
        <v>0.623</v>
      </c>
      <c r="R21" s="42" t="n">
        <v>0.5580000000000001</v>
      </c>
      <c r="S21" s="42" t="n">
        <v>0.47</v>
      </c>
      <c r="T21" s="42" t="n">
        <v>0.492</v>
      </c>
      <c r="U21" s="43">
        <f>IFERROR(AVERAGE(P21:T21),"")</f>
        <v/>
      </c>
      <c r="V21" s="42" t="n">
        <v>0.388</v>
      </c>
      <c r="W21" s="42" t="n">
        <v>0.58</v>
      </c>
      <c r="X21" s="42" t="n">
        <v>0.425</v>
      </c>
      <c r="Y21" s="42" t="n">
        <v>0.502</v>
      </c>
      <c r="Z21" s="42" t="n">
        <v>0.574</v>
      </c>
      <c r="AA21" s="43">
        <f>IFERROR(AVERAGE(V21:Z21),"")</f>
        <v/>
      </c>
      <c r="AB21" s="42" t="n">
        <v>0.388</v>
      </c>
      <c r="AC21" s="42" t="n">
        <v>0.58</v>
      </c>
      <c r="AD21" s="42" t="n">
        <v>0.425</v>
      </c>
      <c r="AE21" s="42" t="n">
        <v>0.502</v>
      </c>
      <c r="AF21" s="42" t="n">
        <v>0.574</v>
      </c>
      <c r="AG21" s="43">
        <f>IFERROR(AVERAGE(AB21:AF21),"")</f>
        <v/>
      </c>
      <c r="AH21" s="42">
        <f>IFERROR(AG21-AA21,"")</f>
        <v/>
      </c>
      <c r="AI21" s="42">
        <f>IFERROR(AG21-O21,"")</f>
        <v/>
      </c>
    </row>
    <row r="22">
      <c r="A22" s="41" t="inlineStr">
        <is>
          <t>breast_cancer</t>
        </is>
      </c>
      <c r="B22" s="42" t="inlineStr">
        <is>
          <t>(clean)</t>
        </is>
      </c>
      <c r="C22" s="42" t="n">
        <v>0</v>
      </c>
      <c r="D22" s="42" t="n">
        <v>0.951</v>
      </c>
      <c r="E22" s="42" t="n">
        <v>0.953</v>
      </c>
      <c r="F22" s="42" t="n">
        <v>0.9370000000000001</v>
      </c>
      <c r="G22" s="42" t="n">
        <v>0.949</v>
      </c>
      <c r="H22" s="42" t="n">
        <v>0.958</v>
      </c>
      <c r="I22" s="43">
        <f>IFERROR(AVERAGE(D22:H22),"")</f>
        <v/>
      </c>
      <c r="J22" s="42" t="n">
        <v>0.963</v>
      </c>
      <c r="K22" s="42" t="n">
        <v>0.961</v>
      </c>
      <c r="L22" s="42" t="n">
        <v>0.958</v>
      </c>
      <c r="M22" s="42" t="n">
        <v>0.954</v>
      </c>
      <c r="N22" s="42" t="n">
        <v>0.956</v>
      </c>
      <c r="O22" s="43">
        <f>IFERROR(AVERAGE(J22:N22),"")</f>
        <v/>
      </c>
      <c r="P22" s="42" t="n"/>
      <c r="Q22" s="42" t="n"/>
      <c r="R22" s="42" t="n"/>
      <c r="S22" s="42" t="n"/>
      <c r="T22" s="42" t="n"/>
      <c r="U22" s="43">
        <f>IFERROR(AVERAGE(P22:T22),"")</f>
        <v/>
      </c>
      <c r="V22" s="42" t="n"/>
      <c r="W22" s="42" t="n"/>
      <c r="X22" s="42" t="n"/>
      <c r="Y22" s="42" t="n"/>
      <c r="Z22" s="42" t="n"/>
      <c r="AA22" s="43">
        <f>IFERROR(AVERAGE(V22:Z22),"")</f>
        <v/>
      </c>
      <c r="AB22" s="42" t="n">
        <v>0.905</v>
      </c>
      <c r="AC22" s="42" t="n">
        <v>0.905</v>
      </c>
      <c r="AD22" s="42" t="n">
        <v>0.9</v>
      </c>
      <c r="AE22" s="42" t="n">
        <v>0.91</v>
      </c>
      <c r="AF22" s="42" t="n">
        <v>0.91</v>
      </c>
      <c r="AG22" s="43">
        <f>IFERROR(AVERAGE(AB22:AF22),"")</f>
        <v/>
      </c>
      <c r="AH22" s="42">
        <f>IFERROR(AG22-AA22,"")</f>
        <v/>
      </c>
      <c r="AI22" s="42">
        <f>IFERROR(AG22-O22,"")</f>
        <v/>
      </c>
    </row>
    <row r="23">
      <c r="A23" s="41" t="inlineStr">
        <is>
          <t>breast_cancer</t>
        </is>
      </c>
      <c r="B23" s="42" t="inlineStr">
        <is>
          <t>symmetric</t>
        </is>
      </c>
      <c r="C23" s="42" t="n">
        <v>0.2</v>
      </c>
      <c r="D23" s="42" t="n">
        <v>0.83</v>
      </c>
      <c r="E23" s="42" t="n">
        <v>0.844</v>
      </c>
      <c r="F23" s="42" t="n">
        <v>0.847</v>
      </c>
      <c r="G23" s="42" t="n">
        <v>0.849</v>
      </c>
      <c r="H23" s="42" t="n">
        <v>0.858</v>
      </c>
      <c r="I23" s="43">
        <f>IFERROR(AVERAGE(D23:H23),"")</f>
        <v/>
      </c>
      <c r="J23" s="42" t="n">
        <v>0.898</v>
      </c>
      <c r="K23" s="42" t="n">
        <v>0.921</v>
      </c>
      <c r="L23" s="42" t="n">
        <v>0.905</v>
      </c>
      <c r="M23" s="42" t="n">
        <v>0.912</v>
      </c>
      <c r="N23" s="42" t="n">
        <v>0.91</v>
      </c>
      <c r="O23" s="43">
        <f>IFERROR(AVERAGE(J23:N23),"")</f>
        <v/>
      </c>
      <c r="P23" s="42" t="n">
        <v>0.949</v>
      </c>
      <c r="Q23" s="42" t="n">
        <v>0.949</v>
      </c>
      <c r="R23" s="42" t="n">
        <v>0.9419999999999999</v>
      </c>
      <c r="S23" s="42" t="n">
        <v>0.9419999999999999</v>
      </c>
      <c r="T23" s="42" t="n">
        <v>0.953</v>
      </c>
      <c r="U23" s="43">
        <f>IFERROR(AVERAGE(P23:T23),"")</f>
        <v/>
      </c>
      <c r="V23" s="42" t="n">
        <v>0.945</v>
      </c>
      <c r="W23" s="42" t="n">
        <v>0.947</v>
      </c>
      <c r="X23" s="42" t="n">
        <v>0.945</v>
      </c>
      <c r="Y23" s="42" t="n">
        <v>0.946</v>
      </c>
      <c r="Z23" s="42" t="n">
        <v>0.947</v>
      </c>
      <c r="AA23" s="43">
        <f>IFERROR(AVERAGE(V23:Z23),"")</f>
        <v/>
      </c>
      <c r="AB23" s="42" t="n">
        <v>0.947</v>
      </c>
      <c r="AC23" s="42" t="n">
        <v>0.946</v>
      </c>
      <c r="AD23" s="42" t="n">
        <v>0.945</v>
      </c>
      <c r="AE23" s="42" t="n">
        <v>0.946</v>
      </c>
      <c r="AF23" s="42" t="n">
        <v>0.947</v>
      </c>
      <c r="AG23" s="43">
        <f>IFERROR(AVERAGE(AB23:AF23),"")</f>
        <v/>
      </c>
      <c r="AH23" s="42">
        <f>IFERROR(AG23-AA23,"")</f>
        <v/>
      </c>
      <c r="AI23" s="42">
        <f>IFERROR(AG23-O23,"")</f>
        <v/>
      </c>
    </row>
    <row r="24">
      <c r="A24" s="41" t="inlineStr">
        <is>
          <t>breast_cancer</t>
        </is>
      </c>
      <c r="B24" s="42" t="inlineStr">
        <is>
          <t>symmetric</t>
        </is>
      </c>
      <c r="C24" s="42" t="n">
        <v>0.3</v>
      </c>
      <c r="D24" s="42" t="n">
        <v>0.758</v>
      </c>
      <c r="E24" s="42" t="n">
        <v>0.8149999999999999</v>
      </c>
      <c r="F24" s="42" t="n">
        <v>0.729</v>
      </c>
      <c r="G24" s="42" t="n">
        <v>0.773</v>
      </c>
      <c r="H24" s="42" t="n">
        <v>0.794</v>
      </c>
      <c r="I24" s="43">
        <f>IFERROR(AVERAGE(D24:H24),"")</f>
        <v/>
      </c>
      <c r="J24" s="42" t="n">
        <v>0.889</v>
      </c>
      <c r="K24" s="42" t="n">
        <v>0.851</v>
      </c>
      <c r="L24" s="42" t="n">
        <v>0.861</v>
      </c>
      <c r="M24" s="42" t="n">
        <v>0.838</v>
      </c>
      <c r="N24" s="42" t="n">
        <v>0.884</v>
      </c>
      <c r="O24" s="43">
        <f>IFERROR(AVERAGE(J24:N24),"")</f>
        <v/>
      </c>
      <c r="P24" s="42" t="n">
        <v>0.889</v>
      </c>
      <c r="Q24" s="42" t="n">
        <v>0.946</v>
      </c>
      <c r="R24" s="42" t="n">
        <v>0.9419999999999999</v>
      </c>
      <c r="S24" s="42" t="n">
        <v>0.9419999999999999</v>
      </c>
      <c r="T24" s="42" t="n">
        <v>0.953</v>
      </c>
      <c r="U24" s="43">
        <f>IFERROR(AVERAGE(P24:T24),"")</f>
        <v/>
      </c>
      <c r="V24" s="42" t="n">
        <v>0.895</v>
      </c>
      <c r="W24" s="42" t="n">
        <v>0.9399999999999999</v>
      </c>
      <c r="X24" s="42" t="n">
        <v>0.945</v>
      </c>
      <c r="Y24" s="42" t="n">
        <v>0.946</v>
      </c>
      <c r="Z24" s="42" t="n">
        <v>0.947</v>
      </c>
      <c r="AA24" s="43">
        <f>IFERROR(AVERAGE(V24:Z24),"")</f>
        <v/>
      </c>
      <c r="AB24" s="42" t="n">
        <v>0.895</v>
      </c>
      <c r="AC24" s="42" t="n">
        <v>0.9399999999999999</v>
      </c>
      <c r="AD24" s="42" t="n">
        <v>0.945</v>
      </c>
      <c r="AE24" s="42" t="n">
        <v>0.946</v>
      </c>
      <c r="AF24" s="42" t="n">
        <v>0.947</v>
      </c>
      <c r="AG24" s="43">
        <f>IFERROR(AVERAGE(AB24:AF24),"")</f>
        <v/>
      </c>
      <c r="AH24" s="42">
        <f>IFERROR(AG24-AA24,"")</f>
        <v/>
      </c>
      <c r="AI24" s="42">
        <f>IFERROR(AG24-O24,"")</f>
        <v/>
      </c>
    </row>
    <row r="25">
      <c r="A25" s="41" t="inlineStr">
        <is>
          <t>breast_cancer</t>
        </is>
      </c>
      <c r="B25" s="42" t="inlineStr">
        <is>
          <t>symmetric</t>
        </is>
      </c>
      <c r="C25" s="42" t="n">
        <v>0.4</v>
      </c>
      <c r="D25" s="42" t="n">
        <v>0.649</v>
      </c>
      <c r="E25" s="42" t="n">
        <v>0.645</v>
      </c>
      <c r="F25" s="42" t="n">
        <v>0.655</v>
      </c>
      <c r="G25" s="42" t="n">
        <v>0.6889999999999999</v>
      </c>
      <c r="H25" s="42" t="n">
        <v>0.604</v>
      </c>
      <c r="I25" s="43">
        <f>IFERROR(AVERAGE(D25:H25),"")</f>
        <v/>
      </c>
      <c r="J25" s="42" t="n">
        <v>0.761</v>
      </c>
      <c r="K25" s="42" t="n">
        <v>0.733</v>
      </c>
      <c r="L25" s="42" t="n">
        <v>0.8100000000000001</v>
      </c>
      <c r="M25" s="42" t="n">
        <v>0.779</v>
      </c>
      <c r="N25" s="42" t="n">
        <v>0.766</v>
      </c>
      <c r="O25" s="43">
        <f>IFERROR(AVERAGE(J25:N25),"")</f>
        <v/>
      </c>
      <c r="P25" s="42" t="n">
        <v>0.698</v>
      </c>
      <c r="Q25" s="42" t="n">
        <v>0.742</v>
      </c>
      <c r="R25" s="42" t="n">
        <v>0.733</v>
      </c>
      <c r="S25" s="42" t="n">
        <v>0.6889999999999999</v>
      </c>
      <c r="T25" s="42" t="n">
        <v>0.699</v>
      </c>
      <c r="U25" s="43">
        <f>IFERROR(AVERAGE(P25:T25),"")</f>
        <v/>
      </c>
      <c r="V25" s="42" t="n">
        <v>0.774</v>
      </c>
      <c r="W25" s="42" t="n">
        <v>0.754</v>
      </c>
      <c r="X25" s="42" t="n">
        <v>0.786</v>
      </c>
      <c r="Y25" s="42" t="n">
        <v>0.712</v>
      </c>
      <c r="Z25" s="42" t="n">
        <v>0.742</v>
      </c>
      <c r="AA25" s="43">
        <f>IFERROR(AVERAGE(V25:Z25),"")</f>
        <v/>
      </c>
      <c r="AB25" s="42" t="n">
        <v>0.774</v>
      </c>
      <c r="AC25" s="42" t="n">
        <v>0.754</v>
      </c>
      <c r="AD25" s="42" t="n">
        <v>0.786</v>
      </c>
      <c r="AE25" s="42" t="n">
        <v>0.712</v>
      </c>
      <c r="AF25" s="42" t="n">
        <v>0.742</v>
      </c>
      <c r="AG25" s="43">
        <f>IFERROR(AVERAGE(AB25:AF25),"")</f>
        <v/>
      </c>
      <c r="AH25" s="42">
        <f>IFERROR(AG25-AA25,"")</f>
        <v/>
      </c>
      <c r="AI25" s="42">
        <f>IFERROR(AG25-O25,"")</f>
        <v/>
      </c>
    </row>
    <row r="26">
      <c r="A26" s="41" t="inlineStr">
        <is>
          <t>breast_cancer</t>
        </is>
      </c>
      <c r="B26" s="42" t="inlineStr">
        <is>
          <t>symmetric</t>
        </is>
      </c>
      <c r="C26" s="42" t="n">
        <v>0.5</v>
      </c>
      <c r="D26" s="42" t="n">
        <v>0.527</v>
      </c>
      <c r="E26" s="42" t="n">
        <v>0.541</v>
      </c>
      <c r="F26" s="42" t="n">
        <v>0.497</v>
      </c>
      <c r="G26" s="42" t="n">
        <v>0.475</v>
      </c>
      <c r="H26" s="42" t="n">
        <v>0.487</v>
      </c>
      <c r="I26" s="43">
        <f>IFERROR(AVERAGE(D26:H26),"")</f>
        <v/>
      </c>
      <c r="J26" s="42" t="n">
        <v>0.547</v>
      </c>
      <c r="K26" s="42" t="n">
        <v>0.501</v>
      </c>
      <c r="L26" s="42" t="n">
        <v>0.52</v>
      </c>
      <c r="M26" s="42" t="n">
        <v>0.506</v>
      </c>
      <c r="N26" s="42" t="n">
        <v>0.539</v>
      </c>
      <c r="O26" s="43">
        <f>IFERROR(AVERAGE(J26:N26),"")</f>
        <v/>
      </c>
      <c r="P26" s="42" t="n">
        <v>0.517</v>
      </c>
      <c r="Q26" s="42" t="n">
        <v>0.587</v>
      </c>
      <c r="R26" s="42" t="n">
        <v>0.487</v>
      </c>
      <c r="S26" s="42" t="n">
        <v>0.496</v>
      </c>
      <c r="T26" s="42" t="n">
        <v>0.504</v>
      </c>
      <c r="U26" s="43">
        <f>IFERROR(AVERAGE(P26:T26),"")</f>
        <v/>
      </c>
      <c r="V26" s="42" t="n">
        <v>0.5679999999999999</v>
      </c>
      <c r="W26" s="42" t="n">
        <v>0.534</v>
      </c>
      <c r="X26" s="42" t="n">
        <v>0.524</v>
      </c>
      <c r="Y26" s="42" t="n">
        <v>0.513</v>
      </c>
      <c r="Z26" s="42" t="n">
        <v>0.531</v>
      </c>
      <c r="AA26" s="43">
        <f>IFERROR(AVERAGE(V26:Z26),"")</f>
        <v/>
      </c>
      <c r="AB26" s="42" t="n">
        <v>0.5679999999999999</v>
      </c>
      <c r="AC26" s="42" t="n">
        <v>0.534</v>
      </c>
      <c r="AD26" s="42" t="n">
        <v>0.524</v>
      </c>
      <c r="AE26" s="42" t="n">
        <v>0.513</v>
      </c>
      <c r="AF26" s="42" t="n">
        <v>0.531</v>
      </c>
      <c r="AG26" s="43">
        <f>IFERROR(AVERAGE(AB26:AF26),"")</f>
        <v/>
      </c>
      <c r="AH26" s="42">
        <f>IFERROR(AG26-AA26,"")</f>
        <v/>
      </c>
      <c r="AI26" s="42">
        <f>IFERROR(AG26-O26,"")</f>
        <v/>
      </c>
    </row>
    <row r="27">
      <c r="A27" s="41" t="inlineStr">
        <is>
          <t>breast_cancer</t>
        </is>
      </c>
      <c r="B27" s="42" t="inlineStr">
        <is>
          <t>asymmetric</t>
        </is>
      </c>
      <c r="C27" s="42" t="n">
        <v>0.2</v>
      </c>
      <c r="D27" s="42" t="n">
        <v>0.875</v>
      </c>
      <c r="E27" s="42" t="n">
        <v>0.884</v>
      </c>
      <c r="F27" s="42" t="n">
        <v>0.868</v>
      </c>
      <c r="G27" s="42" t="n">
        <v>0.884</v>
      </c>
      <c r="H27" s="42" t="n">
        <v>0.898</v>
      </c>
      <c r="I27" s="43">
        <f>IFERROR(AVERAGE(D27:H27),"")</f>
        <v/>
      </c>
      <c r="J27" s="42" t="n">
        <v>0.903</v>
      </c>
      <c r="K27" s="42" t="n">
        <v>0.895</v>
      </c>
      <c r="L27" s="42" t="n">
        <v>0.882</v>
      </c>
      <c r="M27" s="42" t="n">
        <v>0.909</v>
      </c>
      <c r="N27" s="42" t="n">
        <v>0.905</v>
      </c>
      <c r="O27" s="43">
        <f>IFERROR(AVERAGE(J27:N27),"")</f>
        <v/>
      </c>
      <c r="P27" s="42" t="n"/>
      <c r="Q27" s="42" t="n"/>
      <c r="R27" s="42" t="n"/>
      <c r="S27" s="42" t="n"/>
      <c r="T27" s="42" t="n"/>
      <c r="U27" s="43">
        <f>IFERROR(AVERAGE(P27:T27),"")</f>
        <v/>
      </c>
      <c r="V27" s="42" t="n"/>
      <c r="W27" s="42" t="n"/>
      <c r="X27" s="42" t="n"/>
      <c r="Y27" s="42" t="n"/>
      <c r="Z27" s="42" t="n"/>
      <c r="AA27" s="43">
        <f>IFERROR(AVERAGE(V27:Z27),"")</f>
        <v/>
      </c>
      <c r="AB27" s="42" t="n">
        <v>0.905</v>
      </c>
      <c r="AC27" s="42" t="n">
        <v>0.91</v>
      </c>
      <c r="AD27" s="42" t="n">
        <v>0.9</v>
      </c>
      <c r="AE27" s="42" t="n">
        <v>0.907</v>
      </c>
      <c r="AF27" s="42" t="n">
        <v>0.91</v>
      </c>
      <c r="AG27" s="43">
        <f>IFERROR(AVERAGE(AB27:AF27),"")</f>
        <v/>
      </c>
      <c r="AH27" s="42">
        <f>IFERROR(AG27-AA27,"")</f>
        <v/>
      </c>
      <c r="AI27" s="42">
        <f>IFERROR(AG27-O27,"")</f>
        <v/>
      </c>
    </row>
    <row r="28">
      <c r="A28" s="41" t="inlineStr">
        <is>
          <t>breast_cancer</t>
        </is>
      </c>
      <c r="B28" s="42" t="inlineStr">
        <is>
          <t>asymmetric</t>
        </is>
      </c>
      <c r="C28" s="42" t="n">
        <v>0.3</v>
      </c>
      <c r="D28" s="42" t="n">
        <v>0.847</v>
      </c>
      <c r="E28" s="42" t="n">
        <v>0.859</v>
      </c>
      <c r="F28" s="42" t="n">
        <v>0.847</v>
      </c>
      <c r="G28" s="42" t="n">
        <v>0.8169999999999999</v>
      </c>
      <c r="H28" s="42" t="n">
        <v>0.861</v>
      </c>
      <c r="I28" s="43">
        <f>IFERROR(AVERAGE(D28:H28),"")</f>
        <v/>
      </c>
      <c r="J28" s="42" t="n">
        <v>0.865</v>
      </c>
      <c r="K28" s="42" t="n">
        <v>0.868</v>
      </c>
      <c r="L28" s="42" t="n">
        <v>0.879</v>
      </c>
      <c r="M28" s="42" t="n">
        <v>0.861</v>
      </c>
      <c r="N28" s="42" t="n">
        <v>0.858</v>
      </c>
      <c r="O28" s="43">
        <f>IFERROR(AVERAGE(J28:N28),"")</f>
        <v/>
      </c>
      <c r="P28" s="42" t="n"/>
      <c r="Q28" s="42" t="n"/>
      <c r="R28" s="42" t="n"/>
      <c r="S28" s="42" t="n"/>
      <c r="T28" s="42" t="n"/>
      <c r="U28" s="43">
        <f>IFERROR(AVERAGE(P28:T28),"")</f>
        <v/>
      </c>
      <c r="V28" s="42" t="n"/>
      <c r="W28" s="42" t="n"/>
      <c r="X28" s="42" t="n"/>
      <c r="Y28" s="42" t="n"/>
      <c r="Z28" s="42" t="n"/>
      <c r="AA28" s="43">
        <f>IFERROR(AVERAGE(V28:Z28),"")</f>
        <v/>
      </c>
      <c r="AB28" s="42" t="n">
        <v>0.905</v>
      </c>
      <c r="AC28" s="42" t="n">
        <v>0.909</v>
      </c>
      <c r="AD28" s="42" t="n">
        <v>0.903</v>
      </c>
      <c r="AE28" s="42" t="n">
        <v>0.912</v>
      </c>
      <c r="AF28" s="42" t="n">
        <v>0.912</v>
      </c>
      <c r="AG28" s="43">
        <f>IFERROR(AVERAGE(AB28:AF28),"")</f>
        <v/>
      </c>
      <c r="AH28" s="42">
        <f>IFERROR(AG28-AA28,"")</f>
        <v/>
      </c>
      <c r="AI28" s="42">
        <f>IFERROR(AG28-O28,"")</f>
        <v/>
      </c>
    </row>
    <row r="29">
      <c r="A29" s="41" t="inlineStr">
        <is>
          <t>breast_cancer</t>
        </is>
      </c>
      <c r="B29" s="42" t="inlineStr">
        <is>
          <t>asymmetric</t>
        </is>
      </c>
      <c r="C29" s="42" t="n">
        <v>0.4</v>
      </c>
      <c r="D29" s="42" t="n">
        <v>0.822</v>
      </c>
      <c r="E29" s="42" t="n">
        <v>0.8169999999999999</v>
      </c>
      <c r="F29" s="42" t="n">
        <v>0.822</v>
      </c>
      <c r="G29" s="42" t="n">
        <v>0.784</v>
      </c>
      <c r="H29" s="42" t="n">
        <v>0.805</v>
      </c>
      <c r="I29" s="43">
        <f>IFERROR(AVERAGE(D29:H29),"")</f>
        <v/>
      </c>
      <c r="J29" s="42" t="n">
        <v>0.824</v>
      </c>
      <c r="K29" s="42" t="n">
        <v>0.829</v>
      </c>
      <c r="L29" s="42" t="n">
        <v>0.803</v>
      </c>
      <c r="M29" s="42" t="n">
        <v>0.823</v>
      </c>
      <c r="N29" s="42" t="n">
        <v>0.819</v>
      </c>
      <c r="O29" s="43">
        <f>IFERROR(AVERAGE(J29:N29),"")</f>
        <v/>
      </c>
      <c r="P29" s="42" t="n"/>
      <c r="Q29" s="42" t="n"/>
      <c r="R29" s="42" t="n"/>
      <c r="S29" s="42" t="n"/>
      <c r="T29" s="42" t="n"/>
      <c r="U29" s="43">
        <f>IFERROR(AVERAGE(P29:T29),"")</f>
        <v/>
      </c>
      <c r="V29" s="42" t="n"/>
      <c r="W29" s="42" t="n"/>
      <c r="X29" s="42" t="n"/>
      <c r="Y29" s="42" t="n"/>
      <c r="Z29" s="42" t="n"/>
      <c r="AA29" s="43">
        <f>IFERROR(AVERAGE(V29:Z29),"")</f>
        <v/>
      </c>
      <c r="AB29" s="42" t="n">
        <v>0.91</v>
      </c>
      <c r="AC29" s="42" t="n">
        <v>0.905</v>
      </c>
      <c r="AD29" s="42" t="n">
        <v>0.9</v>
      </c>
      <c r="AE29" s="42" t="n">
        <v>0.907</v>
      </c>
      <c r="AF29" s="42" t="n">
        <v>0.909</v>
      </c>
      <c r="AG29" s="43">
        <f>IFERROR(AVERAGE(AB29:AF29),"")</f>
        <v/>
      </c>
      <c r="AH29" s="42">
        <f>IFERROR(AG29-AA29,"")</f>
        <v/>
      </c>
      <c r="AI29" s="42">
        <f>IFERROR(AG29-O29,"")</f>
        <v/>
      </c>
    </row>
    <row r="30">
      <c r="A30" s="41" t="inlineStr">
        <is>
          <t>breast_cancer</t>
        </is>
      </c>
      <c r="B30" s="42" t="inlineStr">
        <is>
          <t>asymmetric</t>
        </is>
      </c>
      <c r="C30" s="42" t="n">
        <v>0.5</v>
      </c>
      <c r="D30" s="42" t="n">
        <v>0.749</v>
      </c>
      <c r="E30" s="42" t="n">
        <v>0.735</v>
      </c>
      <c r="F30" s="42" t="n">
        <v>0.749</v>
      </c>
      <c r="G30" s="42" t="n">
        <v>0.759</v>
      </c>
      <c r="H30" s="42" t="n">
        <v>0.754</v>
      </c>
      <c r="I30" s="43">
        <f>IFERROR(AVERAGE(D30:H30),"")</f>
        <v/>
      </c>
      <c r="J30" s="42" t="n">
        <v>0.772</v>
      </c>
      <c r="K30" s="42" t="n">
        <v>0.784</v>
      </c>
      <c r="L30" s="42" t="n">
        <v>0.747</v>
      </c>
      <c r="M30" s="42" t="n">
        <v>0.772</v>
      </c>
      <c r="N30" s="42" t="n">
        <v>0.757</v>
      </c>
      <c r="O30" s="43">
        <f>IFERROR(AVERAGE(J30:N30),"")</f>
        <v/>
      </c>
      <c r="P30" s="42" t="n"/>
      <c r="Q30" s="42" t="n"/>
      <c r="R30" s="42" t="n"/>
      <c r="S30" s="42" t="n"/>
      <c r="T30" s="42" t="n"/>
      <c r="U30" s="43">
        <f>IFERROR(AVERAGE(P30:T30),"")</f>
        <v/>
      </c>
      <c r="V30" s="42" t="n"/>
      <c r="W30" s="42" t="n"/>
      <c r="X30" s="42" t="n"/>
      <c r="Y30" s="42" t="n"/>
      <c r="Z30" s="42" t="n"/>
      <c r="AA30" s="43">
        <f>IFERROR(AVERAGE(V30:Z30),"")</f>
        <v/>
      </c>
      <c r="AB30" s="42" t="n">
        <v>0.903</v>
      </c>
      <c r="AC30" s="42" t="n">
        <v>0.898</v>
      </c>
      <c r="AD30" s="42" t="n">
        <v>0.9</v>
      </c>
      <c r="AE30" s="42" t="n">
        <v>0.903</v>
      </c>
      <c r="AF30" s="42" t="n">
        <v>0.91</v>
      </c>
      <c r="AG30" s="43">
        <f>IFERROR(AVERAGE(AB30:AF30),"")</f>
        <v/>
      </c>
      <c r="AH30" s="42">
        <f>IFERROR(AG30-AA30,"")</f>
        <v/>
      </c>
      <c r="AI30" s="42">
        <f>IFERROR(AG30-O30,"")</f>
        <v/>
      </c>
    </row>
    <row r="31">
      <c r="A31" s="41" t="inlineStr">
        <is>
          <t>breast_cancer</t>
        </is>
      </c>
      <c r="B31" s="42" t="inlineStr">
        <is>
          <t>boundary</t>
        </is>
      </c>
      <c r="C31" s="42" t="n">
        <v>0.2</v>
      </c>
      <c r="D31" s="42" t="n">
        <v>0.854</v>
      </c>
      <c r="E31" s="42" t="n">
        <v>0.835</v>
      </c>
      <c r="F31" s="42" t="n">
        <v>0.873</v>
      </c>
      <c r="G31" s="42" t="n">
        <v>0.868</v>
      </c>
      <c r="H31" s="42" t="n">
        <v>0.875</v>
      </c>
      <c r="I31" s="43">
        <f>IFERROR(AVERAGE(D31:H31),"")</f>
        <v/>
      </c>
      <c r="J31" s="42" t="n">
        <v>0.923</v>
      </c>
      <c r="K31" s="42" t="n">
        <v>0.888</v>
      </c>
      <c r="L31" s="42" t="n">
        <v>0.93</v>
      </c>
      <c r="M31" s="42" t="n">
        <v>0.907</v>
      </c>
      <c r="N31" s="42" t="n">
        <v>0.912</v>
      </c>
      <c r="O31" s="43">
        <f>IFERROR(AVERAGE(J31:N31),"")</f>
        <v/>
      </c>
      <c r="P31" s="42" t="n">
        <v>0.947</v>
      </c>
      <c r="Q31" s="42" t="n">
        <v>0.946</v>
      </c>
      <c r="R31" s="42" t="n">
        <v>0.9419999999999999</v>
      </c>
      <c r="S31" s="42" t="n">
        <v>0.9419999999999999</v>
      </c>
      <c r="T31" s="42" t="n">
        <v>0.953</v>
      </c>
      <c r="U31" s="43">
        <f>IFERROR(AVERAGE(P31:T31),"")</f>
        <v/>
      </c>
      <c r="V31" s="42" t="n">
        <v>0.9419999999999999</v>
      </c>
      <c r="W31" s="42" t="n">
        <v>0.9399999999999999</v>
      </c>
      <c r="X31" s="42" t="n">
        <v>0.945</v>
      </c>
      <c r="Y31" s="42" t="n">
        <v>0.946</v>
      </c>
      <c r="Z31" s="42" t="n">
        <v>0.947</v>
      </c>
      <c r="AA31" s="43">
        <f>IFERROR(AVERAGE(V31:Z31),"")</f>
        <v/>
      </c>
      <c r="AB31" s="42" t="n">
        <v>0.9419999999999999</v>
      </c>
      <c r="AC31" s="42" t="n">
        <v>0.9399999999999999</v>
      </c>
      <c r="AD31" s="42" t="n">
        <v>0.945</v>
      </c>
      <c r="AE31" s="42" t="n">
        <v>0.946</v>
      </c>
      <c r="AF31" s="42" t="n">
        <v>0.947</v>
      </c>
      <c r="AG31" s="43">
        <f>IFERROR(AVERAGE(AB31:AF31),"")</f>
        <v/>
      </c>
      <c r="AH31" s="42">
        <f>IFERROR(AG31-AA31,"")</f>
        <v/>
      </c>
      <c r="AI31" s="42">
        <f>IFERROR(AG31-O31,"")</f>
        <v/>
      </c>
    </row>
    <row r="32">
      <c r="A32" s="41" t="inlineStr">
        <is>
          <t>breast_cancer</t>
        </is>
      </c>
      <c r="B32" s="42" t="inlineStr">
        <is>
          <t>boundary</t>
        </is>
      </c>
      <c r="C32" s="42" t="n">
        <v>0.3</v>
      </c>
      <c r="D32" s="42" t="n">
        <v>0.756</v>
      </c>
      <c r="E32" s="42" t="n">
        <v>0.793</v>
      </c>
      <c r="F32" s="42" t="n">
        <v>0.8100000000000001</v>
      </c>
      <c r="G32" s="42" t="n">
        <v>0.782</v>
      </c>
      <c r="H32" s="42" t="n">
        <v>0.837</v>
      </c>
      <c r="I32" s="43">
        <f>IFERROR(AVERAGE(D32:H32),"")</f>
        <v/>
      </c>
      <c r="J32" s="42" t="n">
        <v>0.851</v>
      </c>
      <c r="K32" s="42" t="n">
        <v>0.845</v>
      </c>
      <c r="L32" s="42" t="n">
        <v>0.851</v>
      </c>
      <c r="M32" s="42" t="n">
        <v>0.863</v>
      </c>
      <c r="N32" s="42" t="n">
        <v>0.866</v>
      </c>
      <c r="O32" s="43">
        <f>IFERROR(AVERAGE(J32:N32),"")</f>
        <v/>
      </c>
      <c r="P32" s="42" t="n">
        <v>0.947</v>
      </c>
      <c r="Q32" s="42" t="n">
        <v>0.946</v>
      </c>
      <c r="R32" s="42" t="n">
        <v>0.857</v>
      </c>
      <c r="S32" s="42" t="n">
        <v>0.9419999999999999</v>
      </c>
      <c r="T32" s="42" t="n">
        <v>0.953</v>
      </c>
      <c r="U32" s="43">
        <f>IFERROR(AVERAGE(P32:T32),"")</f>
        <v/>
      </c>
      <c r="V32" s="42" t="n">
        <v>0.9419999999999999</v>
      </c>
      <c r="W32" s="42" t="n">
        <v>0.9399999999999999</v>
      </c>
      <c r="X32" s="42" t="n">
        <v>0.905</v>
      </c>
      <c r="Y32" s="42" t="n">
        <v>0.946</v>
      </c>
      <c r="Z32" s="42" t="n">
        <v>0.947</v>
      </c>
      <c r="AA32" s="43">
        <f>IFERROR(AVERAGE(V32:Z32),"")</f>
        <v/>
      </c>
      <c r="AB32" s="42" t="n">
        <v>0.9419999999999999</v>
      </c>
      <c r="AC32" s="42" t="n">
        <v>0.9399999999999999</v>
      </c>
      <c r="AD32" s="42" t="n">
        <v>0.905</v>
      </c>
      <c r="AE32" s="42" t="n">
        <v>0.946</v>
      </c>
      <c r="AF32" s="42" t="n">
        <v>0.947</v>
      </c>
      <c r="AG32" s="43">
        <f>IFERROR(AVERAGE(AB32:AF32),"")</f>
        <v/>
      </c>
      <c r="AH32" s="42">
        <f>IFERROR(AG32-AA32,"")</f>
        <v/>
      </c>
      <c r="AI32" s="42">
        <f>IFERROR(AG32-O32,"")</f>
        <v/>
      </c>
    </row>
    <row r="33">
      <c r="A33" s="41" t="inlineStr">
        <is>
          <t>breast_cancer</t>
        </is>
      </c>
      <c r="B33" s="42" t="inlineStr">
        <is>
          <t>boundary</t>
        </is>
      </c>
      <c r="C33" s="42" t="n">
        <v>0.4</v>
      </c>
      <c r="D33" s="42" t="n">
        <v>0.699</v>
      </c>
      <c r="E33" s="42" t="n">
        <v>0.643</v>
      </c>
      <c r="F33" s="42" t="n">
        <v>0.715</v>
      </c>
      <c r="G33" s="42" t="n">
        <v>0.629</v>
      </c>
      <c r="H33" s="42" t="n">
        <v>0.673</v>
      </c>
      <c r="I33" s="43">
        <f>IFERROR(AVERAGE(D33:H33),"")</f>
        <v/>
      </c>
      <c r="J33" s="42" t="n">
        <v>0.747</v>
      </c>
      <c r="K33" s="42" t="n">
        <v>0.713</v>
      </c>
      <c r="L33" s="42" t="n">
        <v>0.713</v>
      </c>
      <c r="M33" s="42" t="n">
        <v>0.696</v>
      </c>
      <c r="N33" s="42" t="n">
        <v>0.6889999999999999</v>
      </c>
      <c r="O33" s="43">
        <f>IFERROR(AVERAGE(J33:N33),"")</f>
        <v/>
      </c>
      <c r="P33" s="42" t="n">
        <v>0.609</v>
      </c>
      <c r="Q33" s="42" t="n">
        <v>0.603</v>
      </c>
      <c r="R33" s="42" t="n">
        <v>0.702</v>
      </c>
      <c r="S33" s="42" t="n">
        <v>0.543</v>
      </c>
      <c r="T33" s="42" t="n">
        <v>0.637</v>
      </c>
      <c r="U33" s="43">
        <f>IFERROR(AVERAGE(P33:T33),"")</f>
        <v/>
      </c>
      <c r="V33" s="42" t="n">
        <v>0.668</v>
      </c>
      <c r="W33" s="42" t="n">
        <v>0.704</v>
      </c>
      <c r="X33" s="42" t="n">
        <v>0.8110000000000001</v>
      </c>
      <c r="Y33" s="42" t="n">
        <v>0.5610000000000001</v>
      </c>
      <c r="Z33" s="42" t="n">
        <v>0.678</v>
      </c>
      <c r="AA33" s="43">
        <f>IFERROR(AVERAGE(V33:Z33),"")</f>
        <v/>
      </c>
      <c r="AB33" s="42" t="n">
        <v>0.694</v>
      </c>
      <c r="AC33" s="42" t="n">
        <v>0.737</v>
      </c>
      <c r="AD33" s="42" t="n">
        <v>0.828</v>
      </c>
      <c r="AE33" s="42" t="n">
        <v>0.617</v>
      </c>
      <c r="AF33" s="42" t="n">
        <v>0.761</v>
      </c>
      <c r="AG33" s="43">
        <f>IFERROR(AVERAGE(AB33:AF33),"")</f>
        <v/>
      </c>
      <c r="AH33" s="42">
        <f>IFERROR(AG33-AA33,"")</f>
        <v/>
      </c>
      <c r="AI33" s="42">
        <f>IFERROR(AG33-O33,"")</f>
        <v/>
      </c>
    </row>
    <row r="34">
      <c r="A34" s="41" t="inlineStr">
        <is>
          <t>breast_cancer</t>
        </is>
      </c>
      <c r="B34" s="42" t="inlineStr">
        <is>
          <t>boundary</t>
        </is>
      </c>
      <c r="C34" s="42" t="n">
        <v>0.5</v>
      </c>
      <c r="D34" s="42" t="n">
        <v>0.471</v>
      </c>
      <c r="E34" s="42" t="n">
        <v>0.541</v>
      </c>
      <c r="F34" s="42" t="n">
        <v>0.499</v>
      </c>
      <c r="G34" s="42" t="n">
        <v>0.45</v>
      </c>
      <c r="H34" s="42" t="n">
        <v>0.536</v>
      </c>
      <c r="I34" s="43">
        <f>IFERROR(AVERAGE(D34:H34),"")</f>
        <v/>
      </c>
      <c r="J34" s="42" t="n">
        <v>0.571</v>
      </c>
      <c r="K34" s="42" t="n">
        <v>0.508</v>
      </c>
      <c r="L34" s="42" t="n">
        <v>0.626</v>
      </c>
      <c r="M34" s="42" t="n">
        <v>0.534</v>
      </c>
      <c r="N34" s="42" t="n">
        <v>0.496</v>
      </c>
      <c r="O34" s="43">
        <f>IFERROR(AVERAGE(J34:N34),"")</f>
        <v/>
      </c>
      <c r="P34" s="42" t="n">
        <v>0.517</v>
      </c>
      <c r="Q34" s="42" t="n">
        <v>0.42</v>
      </c>
      <c r="R34" s="42" t="n">
        <v>0.51</v>
      </c>
      <c r="S34" s="42" t="n">
        <v>0.533</v>
      </c>
      <c r="T34" s="42" t="n">
        <v>0.522</v>
      </c>
      <c r="U34" s="43">
        <f>IFERROR(AVERAGE(P34:T34),"")</f>
        <v/>
      </c>
      <c r="V34" s="42" t="n">
        <v>0.527</v>
      </c>
      <c r="W34" s="42" t="n">
        <v>0.515</v>
      </c>
      <c r="X34" s="42" t="n">
        <v>0.519</v>
      </c>
      <c r="Y34" s="42" t="n">
        <v>0.512</v>
      </c>
      <c r="Z34" s="42" t="n">
        <v>0.527</v>
      </c>
      <c r="AA34" s="43">
        <f>IFERROR(AVERAGE(V34:Z34),"")</f>
        <v/>
      </c>
      <c r="AB34" s="42" t="n">
        <v>0.527</v>
      </c>
      <c r="AC34" s="42" t="n">
        <v>0.515</v>
      </c>
      <c r="AD34" s="42" t="n">
        <v>0.519</v>
      </c>
      <c r="AE34" s="42" t="n">
        <v>0.512</v>
      </c>
      <c r="AF34" s="42" t="n">
        <v>0.527</v>
      </c>
      <c r="AG34" s="43">
        <f>IFERROR(AVERAGE(AB34:AF34),"")</f>
        <v/>
      </c>
      <c r="AH34" s="42">
        <f>IFERROR(AG34-AA34,"")</f>
        <v/>
      </c>
      <c r="AI34" s="42">
        <f>IFERROR(AG34-O34,"")</f>
        <v/>
      </c>
    </row>
    <row r="35">
      <c r="A35" s="41" t="inlineStr">
        <is>
          <t>breast_cancer</t>
        </is>
      </c>
      <c r="B35" s="42" t="inlineStr">
        <is>
          <t>far</t>
        </is>
      </c>
      <c r="C35" s="42" t="n">
        <v>0.2</v>
      </c>
      <c r="D35" s="42" t="n">
        <v>0.789</v>
      </c>
      <c r="E35" s="42" t="n">
        <v>0.779</v>
      </c>
      <c r="F35" s="42" t="n">
        <v>0.766</v>
      </c>
      <c r="G35" s="42" t="n">
        <v>0.8139999999999999</v>
      </c>
      <c r="H35" s="42" t="n">
        <v>0.83</v>
      </c>
      <c r="I35" s="43">
        <f>IFERROR(AVERAGE(D35:H35),"")</f>
        <v/>
      </c>
      <c r="J35" s="42" t="n">
        <v>0.844</v>
      </c>
      <c r="K35" s="42" t="n">
        <v>0.847</v>
      </c>
      <c r="L35" s="42" t="n">
        <v>0.819</v>
      </c>
      <c r="M35" s="42" t="n">
        <v>0.852</v>
      </c>
      <c r="N35" s="42" t="n">
        <v>0.854</v>
      </c>
      <c r="O35" s="43">
        <f>IFERROR(AVERAGE(J35:N35),"")</f>
        <v/>
      </c>
      <c r="P35" s="42" t="n"/>
      <c r="Q35" s="42" t="n"/>
      <c r="R35" s="42" t="n"/>
      <c r="S35" s="42" t="n"/>
      <c r="T35" s="42" t="n"/>
      <c r="U35" s="43">
        <f>IFERROR(AVERAGE(P35:T35),"")</f>
        <v/>
      </c>
      <c r="V35" s="42" t="n"/>
      <c r="W35" s="42" t="n"/>
      <c r="X35" s="42" t="n"/>
      <c r="Y35" s="42" t="n"/>
      <c r="Z35" s="42" t="n"/>
      <c r="AA35" s="43">
        <f>IFERROR(AVERAGE(V35:Z35),"")</f>
        <v/>
      </c>
      <c r="AB35" s="42" t="n">
        <v>0.9350000000000001</v>
      </c>
      <c r="AC35" s="42" t="n">
        <v>0.926</v>
      </c>
      <c r="AD35" s="42" t="n">
        <v>0.924</v>
      </c>
      <c r="AE35" s="42" t="n">
        <v>0.931</v>
      </c>
      <c r="AF35" s="42" t="n">
        <v>0.928</v>
      </c>
      <c r="AG35" s="43">
        <f>IFERROR(AVERAGE(AB35:AF35),"")</f>
        <v/>
      </c>
      <c r="AH35" s="42">
        <f>IFERROR(AG35-AA35,"")</f>
        <v/>
      </c>
      <c r="AI35" s="42">
        <f>IFERROR(AG35-O35,"")</f>
        <v/>
      </c>
    </row>
    <row r="36">
      <c r="A36" s="41" t="inlineStr">
        <is>
          <t>breast_cancer</t>
        </is>
      </c>
      <c r="B36" s="42" t="inlineStr">
        <is>
          <t>far</t>
        </is>
      </c>
      <c r="C36" s="42" t="n">
        <v>0.3</v>
      </c>
      <c r="D36" s="42" t="n">
        <v>0.754</v>
      </c>
      <c r="E36" s="42" t="n">
        <v>0.715</v>
      </c>
      <c r="F36" s="42" t="n">
        <v>0.71</v>
      </c>
      <c r="G36" s="42" t="n">
        <v>0.706</v>
      </c>
      <c r="H36" s="42" t="n">
        <v>0.768</v>
      </c>
      <c r="I36" s="43">
        <f>IFERROR(AVERAGE(D36:H36),"")</f>
        <v/>
      </c>
      <c r="J36" s="42" t="n">
        <v>0.791</v>
      </c>
      <c r="K36" s="42" t="n">
        <v>0.784</v>
      </c>
      <c r="L36" s="42" t="n">
        <v>0.801</v>
      </c>
      <c r="M36" s="42" t="n">
        <v>0.8080000000000001</v>
      </c>
      <c r="N36" s="42" t="n">
        <v>0.803</v>
      </c>
      <c r="O36" s="43">
        <f>IFERROR(AVERAGE(J36:N36),"")</f>
        <v/>
      </c>
      <c r="P36" s="42" t="n"/>
      <c r="Q36" s="42" t="n"/>
      <c r="R36" s="42" t="n"/>
      <c r="S36" s="42" t="n"/>
      <c r="T36" s="42" t="n"/>
      <c r="U36" s="43">
        <f>IFERROR(AVERAGE(P36:T36),"")</f>
        <v/>
      </c>
      <c r="V36" s="42" t="n"/>
      <c r="W36" s="42" t="n"/>
      <c r="X36" s="42" t="n"/>
      <c r="Y36" s="42" t="n"/>
      <c r="Z36" s="42" t="n"/>
      <c r="AA36" s="43">
        <f>IFERROR(AVERAGE(V36:Z36),"")</f>
        <v/>
      </c>
      <c r="AB36" s="42" t="n">
        <v>0.903</v>
      </c>
      <c r="AC36" s="42" t="n">
        <v>0.917</v>
      </c>
      <c r="AD36" s="42" t="n">
        <v>0.919</v>
      </c>
      <c r="AE36" s="42" t="n">
        <v>0.917</v>
      </c>
      <c r="AF36" s="42" t="n">
        <v>0.917</v>
      </c>
      <c r="AG36" s="43">
        <f>IFERROR(AVERAGE(AB36:AF36),"")</f>
        <v/>
      </c>
      <c r="AH36" s="42">
        <f>IFERROR(AG36-AA36,"")</f>
        <v/>
      </c>
      <c r="AI36" s="42">
        <f>IFERROR(AG36-O36,"")</f>
        <v/>
      </c>
    </row>
    <row r="37">
      <c r="A37" s="41" t="inlineStr">
        <is>
          <t>breast_cancer</t>
        </is>
      </c>
      <c r="B37" s="42" t="inlineStr">
        <is>
          <t>far</t>
        </is>
      </c>
      <c r="C37" s="42" t="n">
        <v>0.4</v>
      </c>
      <c r="D37" s="42" t="n">
        <v>0.64</v>
      </c>
      <c r="E37" s="42" t="n">
        <v>0.698</v>
      </c>
      <c r="F37" s="42" t="n">
        <v>0.647</v>
      </c>
      <c r="G37" s="42" t="n">
        <v>0.635</v>
      </c>
      <c r="H37" s="42" t="n">
        <v>0.622</v>
      </c>
      <c r="I37" s="43">
        <f>IFERROR(AVERAGE(D37:H37),"")</f>
        <v/>
      </c>
      <c r="J37" s="42" t="n">
        <v>0.6919999999999999</v>
      </c>
      <c r="K37" s="42" t="n">
        <v>0.707</v>
      </c>
      <c r="L37" s="42" t="n">
        <v>0.738</v>
      </c>
      <c r="M37" s="42" t="n">
        <v>0.712</v>
      </c>
      <c r="N37" s="42" t="n">
        <v>0.722</v>
      </c>
      <c r="O37" s="43">
        <f>IFERROR(AVERAGE(J37:N37),"")</f>
        <v/>
      </c>
      <c r="P37" s="42" t="n">
        <v>0.5629999999999999</v>
      </c>
      <c r="Q37" s="42" t="n">
        <v>0.569</v>
      </c>
      <c r="R37" s="42" t="n">
        <v>0.462</v>
      </c>
      <c r="S37" s="42" t="n">
        <v>0.654</v>
      </c>
      <c r="T37" s="42" t="n">
        <v>0.714</v>
      </c>
      <c r="U37" s="43">
        <f>IFERROR(AVERAGE(P37:T37),"")</f>
        <v/>
      </c>
      <c r="V37" s="42" t="n">
        <v>0.655</v>
      </c>
      <c r="W37" s="42" t="n">
        <v>0.699</v>
      </c>
      <c r="X37" s="42" t="n">
        <v>0.709</v>
      </c>
      <c r="Y37" s="42" t="n">
        <v>0.675</v>
      </c>
      <c r="Z37" s="42" t="n">
        <v>0.774</v>
      </c>
      <c r="AA37" s="43">
        <f>IFERROR(AVERAGE(V37:Z37),"")</f>
        <v/>
      </c>
      <c r="AB37" s="42" t="n">
        <v>0.712</v>
      </c>
      <c r="AC37" s="42" t="n">
        <v>0.745</v>
      </c>
      <c r="AD37" s="42" t="n">
        <v>0.842</v>
      </c>
      <c r="AE37" s="42" t="n">
        <v>0.675</v>
      </c>
      <c r="AF37" s="42" t="n">
        <v>0.789</v>
      </c>
      <c r="AG37" s="43">
        <f>IFERROR(AVERAGE(AB37:AF37),"")</f>
        <v/>
      </c>
      <c r="AH37" s="42">
        <f>IFERROR(AG37-AA37,"")</f>
        <v/>
      </c>
      <c r="AI37" s="42">
        <f>IFERROR(AG37-O37,"")</f>
        <v/>
      </c>
    </row>
    <row r="38">
      <c r="A38" s="41" t="inlineStr">
        <is>
          <t>breast_cancer</t>
        </is>
      </c>
      <c r="B38" s="42" t="inlineStr">
        <is>
          <t>far</t>
        </is>
      </c>
      <c r="C38" s="42" t="n">
        <v>0.5</v>
      </c>
      <c r="D38" s="42" t="n">
        <v>0.46</v>
      </c>
      <c r="E38" s="42" t="n">
        <v>0.536</v>
      </c>
      <c r="F38" s="42" t="n">
        <v>0.5620000000000001</v>
      </c>
      <c r="G38" s="42" t="n">
        <v>0.496</v>
      </c>
      <c r="H38" s="42" t="n">
        <v>0.453</v>
      </c>
      <c r="I38" s="43">
        <f>IFERROR(AVERAGE(D38:H38),"")</f>
        <v/>
      </c>
      <c r="J38" s="42" t="n">
        <v>0.427</v>
      </c>
      <c r="K38" s="42" t="n">
        <v>0.45</v>
      </c>
      <c r="L38" s="42" t="n">
        <v>0.482</v>
      </c>
      <c r="M38" s="42" t="n">
        <v>0.446</v>
      </c>
      <c r="N38" s="42" t="n">
        <v>0.522</v>
      </c>
      <c r="O38" s="43">
        <f>IFERROR(AVERAGE(J38:N38),"")</f>
        <v/>
      </c>
      <c r="P38" s="42" t="n">
        <v>0.448</v>
      </c>
      <c r="Q38" s="42" t="n">
        <v>0.499</v>
      </c>
      <c r="R38" s="42" t="n">
        <v>0.492</v>
      </c>
      <c r="S38" s="42" t="n">
        <v>0.462</v>
      </c>
      <c r="T38" s="42" t="n">
        <v>0.489</v>
      </c>
      <c r="U38" s="43">
        <f>IFERROR(AVERAGE(P38:T38),"")</f>
        <v/>
      </c>
      <c r="V38" s="42" t="n">
        <v>0.496</v>
      </c>
      <c r="W38" s="42" t="n">
        <v>0.485</v>
      </c>
      <c r="X38" s="42" t="n">
        <v>0.529</v>
      </c>
      <c r="Y38" s="42" t="n">
        <v>0.388</v>
      </c>
      <c r="Z38" s="42" t="n">
        <v>0.547</v>
      </c>
      <c r="AA38" s="43">
        <f>IFERROR(AVERAGE(V38:Z38),"")</f>
        <v/>
      </c>
      <c r="AB38" s="42" t="n">
        <v>0.496</v>
      </c>
      <c r="AC38" s="42" t="n">
        <v>0.485</v>
      </c>
      <c r="AD38" s="42" t="n">
        <v>0.529</v>
      </c>
      <c r="AE38" s="42" t="n">
        <v>0.388</v>
      </c>
      <c r="AF38" s="42" t="n">
        <v>0.547</v>
      </c>
      <c r="AG38" s="43">
        <f>IFERROR(AVERAGE(AB38:AF38),"")</f>
        <v/>
      </c>
      <c r="AH38" s="42">
        <f>IFERROR(AG38-AA38,"")</f>
        <v/>
      </c>
      <c r="AI38" s="42">
        <f>IFERROR(AG38-O38,"")</f>
        <v/>
      </c>
    </row>
    <row r="39">
      <c r="A39" s="41" t="inlineStr">
        <is>
          <t>SPECTF</t>
        </is>
      </c>
      <c r="B39" s="42" t="inlineStr">
        <is>
          <t>(clean)</t>
        </is>
      </c>
      <c r="C39" s="42" t="n">
        <v>0</v>
      </c>
      <c r="D39" s="42" t="n">
        <v>0.73</v>
      </c>
      <c r="E39" s="42" t="n">
        <v>0.768</v>
      </c>
      <c r="F39" s="42" t="n">
        <v>0.727</v>
      </c>
      <c r="G39" s="42" t="n">
        <v>0.734</v>
      </c>
      <c r="H39" s="42" t="n">
        <v>0.786</v>
      </c>
      <c r="I39" s="43">
        <f>IFERROR(AVERAGE(D39:H39),"")</f>
        <v/>
      </c>
      <c r="J39" s="42" t="n">
        <v>0.794</v>
      </c>
      <c r="K39" s="42" t="n">
        <v>0.787</v>
      </c>
      <c r="L39" s="42" t="n">
        <v>0.776</v>
      </c>
      <c r="M39" s="42" t="n">
        <v>0.783</v>
      </c>
      <c r="N39" s="42" t="n">
        <v>0.746</v>
      </c>
      <c r="O39" s="43">
        <f>IFERROR(AVERAGE(J39:N39),"")</f>
        <v/>
      </c>
      <c r="P39" s="42" t="n"/>
      <c r="Q39" s="42" t="n"/>
      <c r="R39" s="42" t="n"/>
      <c r="S39" s="42" t="n"/>
      <c r="T39" s="42" t="n"/>
      <c r="U39" s="43">
        <f>IFERROR(AVERAGE(P39:T39),"")</f>
        <v/>
      </c>
      <c r="V39" s="42" t="n"/>
      <c r="W39" s="42" t="n"/>
      <c r="X39" s="42" t="n"/>
      <c r="Y39" s="42" t="n"/>
      <c r="Z39" s="42" t="n"/>
      <c r="AA39" s="43">
        <f>IFERROR(AVERAGE(V39:Z39),"")</f>
        <v/>
      </c>
      <c r="AB39" s="42" t="n">
        <v>0.6919999999999999</v>
      </c>
      <c r="AC39" s="42" t="n">
        <v>0.694</v>
      </c>
      <c r="AD39" s="42" t="n">
        <v>0.701</v>
      </c>
      <c r="AE39" s="42" t="n">
        <v>0.712</v>
      </c>
      <c r="AF39" s="42" t="n">
        <v>0.712</v>
      </c>
      <c r="AG39" s="43">
        <f>IFERROR(AVERAGE(AB39:AF39),"")</f>
        <v/>
      </c>
      <c r="AH39" s="42">
        <f>IFERROR(AG39-AA39,"")</f>
        <v/>
      </c>
      <c r="AI39" s="42">
        <f>IFERROR(AG39-O39,"")</f>
        <v/>
      </c>
    </row>
    <row r="40">
      <c r="A40" s="41" t="inlineStr">
        <is>
          <t>SPECTF</t>
        </is>
      </c>
      <c r="B40" s="42" t="inlineStr">
        <is>
          <t>symmetric</t>
        </is>
      </c>
      <c r="C40" s="42" t="n">
        <v>0.2</v>
      </c>
      <c r="D40" s="42" t="n">
        <v>0.634</v>
      </c>
      <c r="E40" s="42" t="n">
        <v>0.659</v>
      </c>
      <c r="F40" s="42" t="n">
        <v>0.663</v>
      </c>
      <c r="G40" s="42" t="n">
        <v>0.633</v>
      </c>
      <c r="H40" s="42" t="n">
        <v>0.704</v>
      </c>
      <c r="I40" s="43">
        <f>IFERROR(AVERAGE(D40:H40),"")</f>
        <v/>
      </c>
      <c r="J40" s="42" t="n">
        <v>0.723</v>
      </c>
      <c r="K40" s="42" t="n">
        <v>0.715</v>
      </c>
      <c r="L40" s="42" t="n">
        <v>0.6850000000000001</v>
      </c>
      <c r="M40" s="42" t="n">
        <v>0.659</v>
      </c>
      <c r="N40" s="42" t="n">
        <v>0.701</v>
      </c>
      <c r="O40" s="43">
        <f>IFERROR(AVERAGE(J40:N40),"")</f>
        <v/>
      </c>
      <c r="P40" s="42" t="n"/>
      <c r="Q40" s="42" t="n"/>
      <c r="R40" s="42" t="n"/>
      <c r="S40" s="42" t="n"/>
      <c r="T40" s="42" t="n"/>
      <c r="U40" s="43">
        <f>IFERROR(AVERAGE(P40:T40),"")</f>
        <v/>
      </c>
      <c r="V40" s="42" t="n"/>
      <c r="W40" s="42" t="n"/>
      <c r="X40" s="42" t="n"/>
      <c r="Y40" s="42" t="n"/>
      <c r="Z40" s="42" t="n"/>
      <c r="AA40" s="43">
        <f>IFERROR(AVERAGE(V40:Z40),"")</f>
        <v/>
      </c>
      <c r="AB40" s="42" t="n">
        <v>0.622</v>
      </c>
      <c r="AC40" s="42" t="n">
        <v>0.671</v>
      </c>
      <c r="AD40" s="42" t="n">
        <v>0.573</v>
      </c>
      <c r="AE40" s="42" t="n">
        <v>0.652</v>
      </c>
      <c r="AF40" s="42" t="n">
        <v>0.644</v>
      </c>
      <c r="AG40" s="43">
        <f>IFERROR(AVERAGE(AB40:AF40),"")</f>
        <v/>
      </c>
      <c r="AH40" s="42">
        <f>IFERROR(AG40-AA40,"")</f>
        <v/>
      </c>
      <c r="AI40" s="42">
        <f>IFERROR(AG40-O40,"")</f>
        <v/>
      </c>
    </row>
    <row r="41">
      <c r="A41" s="41" t="inlineStr">
        <is>
          <t>SPECTF</t>
        </is>
      </c>
      <c r="B41" s="42" t="inlineStr">
        <is>
          <t>symmetric</t>
        </is>
      </c>
      <c r="C41" s="42" t="n">
        <v>0.3</v>
      </c>
      <c r="D41" s="42" t="n">
        <v>0.548</v>
      </c>
      <c r="E41" s="42" t="n">
        <v>0.588</v>
      </c>
      <c r="F41" s="42" t="n">
        <v>0.652</v>
      </c>
      <c r="G41" s="42" t="n">
        <v>0.614</v>
      </c>
      <c r="H41" s="42" t="n">
        <v>0.641</v>
      </c>
      <c r="I41" s="43">
        <f>IFERROR(AVERAGE(D41:H41),"")</f>
        <v/>
      </c>
      <c r="J41" s="42" t="n">
        <v>0.596</v>
      </c>
      <c r="K41" s="42" t="n">
        <v>0.63</v>
      </c>
      <c r="L41" s="42" t="n">
        <v>0.614</v>
      </c>
      <c r="M41" s="42" t="n">
        <v>0.651</v>
      </c>
      <c r="N41" s="42" t="n">
        <v>0.648</v>
      </c>
      <c r="O41" s="43">
        <f>IFERROR(AVERAGE(J41:N41),"")</f>
        <v/>
      </c>
      <c r="P41" s="42" t="n">
        <v>0.711</v>
      </c>
      <c r="Q41" s="42" t="n"/>
      <c r="R41" s="42" t="n"/>
      <c r="S41" s="42" t="n"/>
      <c r="T41" s="42" t="n">
        <v>0.574</v>
      </c>
      <c r="U41" s="43">
        <f>IFERROR(AVERAGE(P41:T41),"")</f>
        <v/>
      </c>
      <c r="V41" s="42" t="n">
        <v>0.626</v>
      </c>
      <c r="W41" s="42" t="n"/>
      <c r="X41" s="42" t="n"/>
      <c r="Y41" s="42" t="n"/>
      <c r="Z41" s="42" t="n">
        <v>0.574</v>
      </c>
      <c r="AA41" s="43">
        <f>IFERROR(AVERAGE(V41:Z41),"")</f>
        <v/>
      </c>
      <c r="AB41" s="42" t="n">
        <v>0.626</v>
      </c>
      <c r="AC41" s="42" t="n">
        <v>0.618</v>
      </c>
      <c r="AD41" s="42" t="n">
        <v>0.592</v>
      </c>
      <c r="AE41" s="42" t="n">
        <v>0.547</v>
      </c>
      <c r="AF41" s="42" t="n">
        <v>0.577</v>
      </c>
      <c r="AG41" s="43">
        <f>IFERROR(AVERAGE(AB41:AF41),"")</f>
        <v/>
      </c>
      <c r="AH41" s="42">
        <f>IFERROR(AG41-AA41,"")</f>
        <v/>
      </c>
      <c r="AI41" s="42">
        <f>IFERROR(AG41-O41,"")</f>
        <v/>
      </c>
    </row>
    <row r="42">
      <c r="A42" s="41" t="inlineStr">
        <is>
          <t>SPECTF</t>
        </is>
      </c>
      <c r="B42" s="42" t="inlineStr">
        <is>
          <t>symmetric</t>
        </is>
      </c>
      <c r="C42" s="42" t="n">
        <v>0.4</v>
      </c>
      <c r="D42" s="42" t="n">
        <v>0.588</v>
      </c>
      <c r="E42" s="42" t="n">
        <v>0.598</v>
      </c>
      <c r="F42" s="42" t="n">
        <v>0.573</v>
      </c>
      <c r="G42" s="42" t="n">
        <v>0.596</v>
      </c>
      <c r="H42" s="42" t="n">
        <v>0.532</v>
      </c>
      <c r="I42" s="43">
        <f>IFERROR(AVERAGE(D42:H42),"")</f>
        <v/>
      </c>
      <c r="J42" s="42" t="n">
        <v>0.588</v>
      </c>
      <c r="K42" s="42" t="n">
        <v>0.58</v>
      </c>
      <c r="L42" s="42" t="n">
        <v>0.574</v>
      </c>
      <c r="M42" s="42" t="n">
        <v>0.629</v>
      </c>
      <c r="N42" s="42" t="n">
        <v>0.54</v>
      </c>
      <c r="O42" s="43">
        <f>IFERROR(AVERAGE(J42:N42),"")</f>
        <v/>
      </c>
      <c r="P42" s="42" t="n">
        <v>0.588</v>
      </c>
      <c r="Q42" s="42" t="n">
        <v>0.67</v>
      </c>
      <c r="R42" s="42" t="n">
        <v>0.603</v>
      </c>
      <c r="S42" s="42" t="n">
        <v>0.722</v>
      </c>
      <c r="T42" s="42" t="n">
        <v>0.64</v>
      </c>
      <c r="U42" s="43">
        <f>IFERROR(AVERAGE(P42:T42),"")</f>
        <v/>
      </c>
      <c r="V42" s="42" t="n">
        <v>0.606</v>
      </c>
      <c r="W42" s="42" t="n">
        <v>0.659</v>
      </c>
      <c r="X42" s="42" t="n">
        <v>0.58</v>
      </c>
      <c r="Y42" s="42" t="n">
        <v>0.674</v>
      </c>
      <c r="Z42" s="42" t="n">
        <v>0.603</v>
      </c>
      <c r="AA42" s="43">
        <f>IFERROR(AVERAGE(V42:Z42),"")</f>
        <v/>
      </c>
      <c r="AB42" s="42" t="n">
        <v>0.606</v>
      </c>
      <c r="AC42" s="42" t="n">
        <v>0.659</v>
      </c>
      <c r="AD42" s="42" t="n">
        <v>0.58</v>
      </c>
      <c r="AE42" s="42" t="n">
        <v>0.674</v>
      </c>
      <c r="AF42" s="42" t="n">
        <v>0.603</v>
      </c>
      <c r="AG42" s="43">
        <f>IFERROR(AVERAGE(AB42:AF42),"")</f>
        <v/>
      </c>
      <c r="AH42" s="42">
        <f>IFERROR(AG42-AA42,"")</f>
        <v/>
      </c>
      <c r="AI42" s="42">
        <f>IFERROR(AG42-O42,"")</f>
        <v/>
      </c>
    </row>
    <row r="43">
      <c r="A43" s="41" t="inlineStr">
        <is>
          <t>SPECTF</t>
        </is>
      </c>
      <c r="B43" s="42" t="inlineStr">
        <is>
          <t>symmetric</t>
        </is>
      </c>
      <c r="C43" s="42" t="n">
        <v>0.5</v>
      </c>
      <c r="D43" s="42" t="n">
        <v>0.502</v>
      </c>
      <c r="E43" s="42" t="n">
        <v>0.449</v>
      </c>
      <c r="F43" s="42" t="n">
        <v>0.498</v>
      </c>
      <c r="G43" s="42" t="n">
        <v>0.539</v>
      </c>
      <c r="H43" s="42" t="n">
        <v>0.502</v>
      </c>
      <c r="I43" s="43">
        <f>IFERROR(AVERAGE(D43:H43),"")</f>
        <v/>
      </c>
      <c r="J43" s="42" t="n">
        <v>0.476</v>
      </c>
      <c r="K43" s="42" t="n">
        <v>0.457</v>
      </c>
      <c r="L43" s="42" t="n">
        <v>0.498</v>
      </c>
      <c r="M43" s="42" t="n">
        <v>0.446</v>
      </c>
      <c r="N43" s="42" t="n">
        <v>0.505</v>
      </c>
      <c r="O43" s="43">
        <f>IFERROR(AVERAGE(J43:N43),"")</f>
        <v/>
      </c>
      <c r="P43" s="42" t="n">
        <v>0.427</v>
      </c>
      <c r="Q43" s="42" t="n">
        <v>0.52</v>
      </c>
      <c r="R43" s="42" t="n">
        <v>0.513</v>
      </c>
      <c r="S43" s="42" t="n">
        <v>0.498</v>
      </c>
      <c r="T43" s="42" t="n">
        <v>0.453</v>
      </c>
      <c r="U43" s="43">
        <f>IFERROR(AVERAGE(P43:T43),"")</f>
        <v/>
      </c>
      <c r="V43" s="42" t="n">
        <v>0.479</v>
      </c>
      <c r="W43" s="42" t="n">
        <v>0.573</v>
      </c>
      <c r="X43" s="42" t="n">
        <v>0.532</v>
      </c>
      <c r="Y43" s="42" t="n">
        <v>0.495</v>
      </c>
      <c r="Z43" s="42" t="n">
        <v>0.442</v>
      </c>
      <c r="AA43" s="43">
        <f>IFERROR(AVERAGE(V43:Z43),"")</f>
        <v/>
      </c>
      <c r="AB43" s="42" t="n">
        <v>0.479</v>
      </c>
      <c r="AC43" s="42" t="n">
        <v>0.573</v>
      </c>
      <c r="AD43" s="42" t="n">
        <v>0.532</v>
      </c>
      <c r="AE43" s="42" t="n">
        <v>0.495</v>
      </c>
      <c r="AF43" s="42" t="n">
        <v>0.442</v>
      </c>
      <c r="AG43" s="43">
        <f>IFERROR(AVERAGE(AB43:AF43),"")</f>
        <v/>
      </c>
      <c r="AH43" s="42">
        <f>IFERROR(AG43-AA43,"")</f>
        <v/>
      </c>
      <c r="AI43" s="42">
        <f>IFERROR(AG43-O43,"")</f>
        <v/>
      </c>
    </row>
    <row r="44">
      <c r="A44" s="41" t="inlineStr">
        <is>
          <t>SPECTF</t>
        </is>
      </c>
      <c r="B44" s="42" t="inlineStr">
        <is>
          <t>asymmetric</t>
        </is>
      </c>
      <c r="C44" s="42" t="n">
        <v>0.2</v>
      </c>
      <c r="D44" s="42" t="n">
        <v>0.749</v>
      </c>
      <c r="E44" s="42" t="n">
        <v>0.73</v>
      </c>
      <c r="F44" s="42" t="n">
        <v>0.745</v>
      </c>
      <c r="G44" s="42" t="n">
        <v>0.753</v>
      </c>
      <c r="H44" s="42" t="n">
        <v>0.749</v>
      </c>
      <c r="I44" s="43">
        <f>IFERROR(AVERAGE(D44:H44),"")</f>
        <v/>
      </c>
      <c r="J44" s="42" t="n">
        <v>0.778</v>
      </c>
      <c r="K44" s="42" t="n">
        <v>0.775</v>
      </c>
      <c r="L44" s="42" t="n">
        <v>0.742</v>
      </c>
      <c r="M44" s="42" t="n">
        <v>0.749</v>
      </c>
      <c r="N44" s="42" t="n">
        <v>0.761</v>
      </c>
      <c r="O44" s="43">
        <f>IFERROR(AVERAGE(J44:N44),"")</f>
        <v/>
      </c>
      <c r="P44" s="42" t="n"/>
      <c r="Q44" s="42" t="n"/>
      <c r="R44" s="42" t="n"/>
      <c r="S44" s="42" t="n"/>
      <c r="T44" s="42" t="n"/>
      <c r="U44" s="43">
        <f>IFERROR(AVERAGE(P44:T44),"")</f>
        <v/>
      </c>
      <c r="V44" s="42" t="n"/>
      <c r="W44" s="42" t="n"/>
      <c r="X44" s="42" t="n"/>
      <c r="Y44" s="42" t="n"/>
      <c r="Z44" s="42" t="n"/>
      <c r="AA44" s="43">
        <f>IFERROR(AVERAGE(V44:Z44),"")</f>
        <v/>
      </c>
      <c r="AB44" s="42" t="n">
        <v>0.6850000000000001</v>
      </c>
      <c r="AC44" s="42" t="n">
        <v>0.6860000000000001</v>
      </c>
      <c r="AD44" s="42" t="n">
        <v>0.697</v>
      </c>
      <c r="AE44" s="42" t="n">
        <v>0.6929999999999999</v>
      </c>
      <c r="AF44" s="42" t="n">
        <v>0.704</v>
      </c>
      <c r="AG44" s="43">
        <f>IFERROR(AVERAGE(AB44:AF44),"")</f>
        <v/>
      </c>
      <c r="AH44" s="42">
        <f>IFERROR(AG44-AA44,"")</f>
        <v/>
      </c>
      <c r="AI44" s="42">
        <f>IFERROR(AG44-O44,"")</f>
        <v/>
      </c>
    </row>
    <row r="45">
      <c r="A45" s="41" t="inlineStr">
        <is>
          <t>SPECTF</t>
        </is>
      </c>
      <c r="B45" s="42" t="inlineStr">
        <is>
          <t>asymmetric</t>
        </is>
      </c>
      <c r="C45" s="42" t="n">
        <v>0.3</v>
      </c>
      <c r="D45" s="42" t="n">
        <v>0.764</v>
      </c>
      <c r="E45" s="42" t="n">
        <v>0.753</v>
      </c>
      <c r="F45" s="42" t="n">
        <v>0.753</v>
      </c>
      <c r="G45" s="42" t="n">
        <v>0.73</v>
      </c>
      <c r="H45" s="42" t="n">
        <v>0.764</v>
      </c>
      <c r="I45" s="43">
        <f>IFERROR(AVERAGE(D45:H45),"")</f>
        <v/>
      </c>
      <c r="J45" s="42" t="n">
        <v>0.783</v>
      </c>
      <c r="K45" s="42" t="n">
        <v>0.776</v>
      </c>
      <c r="L45" s="42" t="n">
        <v>0.787</v>
      </c>
      <c r="M45" s="42" t="n">
        <v>0.787</v>
      </c>
      <c r="N45" s="42" t="n">
        <v>0.746</v>
      </c>
      <c r="O45" s="43">
        <f>IFERROR(AVERAGE(J45:N45),"")</f>
        <v/>
      </c>
      <c r="P45" s="42" t="n"/>
      <c r="Q45" s="42" t="n"/>
      <c r="R45" s="42" t="n"/>
      <c r="S45" s="42" t="n"/>
      <c r="T45" s="42" t="n"/>
      <c r="U45" s="43">
        <f>IFERROR(AVERAGE(P45:T45),"")</f>
        <v/>
      </c>
      <c r="V45" s="42" t="n"/>
      <c r="W45" s="42" t="n"/>
      <c r="X45" s="42" t="n"/>
      <c r="Y45" s="42" t="n"/>
      <c r="Z45" s="42" t="n"/>
      <c r="AA45" s="43">
        <f>IFERROR(AVERAGE(V45:Z45),"")</f>
        <v/>
      </c>
      <c r="AB45" s="42" t="n">
        <v>0.704</v>
      </c>
      <c r="AC45" s="42" t="n">
        <v>0.72</v>
      </c>
      <c r="AD45" s="42" t="n">
        <v>0.712</v>
      </c>
      <c r="AE45" s="42" t="n">
        <v>0.708</v>
      </c>
      <c r="AF45" s="42" t="n">
        <v>0.697</v>
      </c>
      <c r="AG45" s="43">
        <f>IFERROR(AVERAGE(AB45:AF45),"")</f>
        <v/>
      </c>
      <c r="AH45" s="42">
        <f>IFERROR(AG45-AA45,"")</f>
        <v/>
      </c>
      <c r="AI45" s="42">
        <f>IFERROR(AG45-O45,"")</f>
        <v/>
      </c>
    </row>
    <row r="46">
      <c r="A46" s="41" t="inlineStr">
        <is>
          <t>SPECTF</t>
        </is>
      </c>
      <c r="B46" s="42" t="inlineStr">
        <is>
          <t>asymmetric</t>
        </is>
      </c>
      <c r="C46" s="42" t="n">
        <v>0.4</v>
      </c>
      <c r="D46" s="42" t="n">
        <v>0.745</v>
      </c>
      <c r="E46" s="42" t="n">
        <v>0.787</v>
      </c>
      <c r="F46" s="42" t="n">
        <v>0.753</v>
      </c>
      <c r="G46" s="42" t="n">
        <v>0.775</v>
      </c>
      <c r="H46" s="42" t="n">
        <v>0.79</v>
      </c>
      <c r="I46" s="43">
        <f>IFERROR(AVERAGE(D46:H46),"")</f>
        <v/>
      </c>
      <c r="J46" s="42" t="n">
        <v>0.756</v>
      </c>
      <c r="K46" s="42" t="n">
        <v>0.787</v>
      </c>
      <c r="L46" s="42" t="n">
        <v>0.805</v>
      </c>
      <c r="M46" s="42" t="n">
        <v>0.761</v>
      </c>
      <c r="N46" s="42" t="n">
        <v>0.756</v>
      </c>
      <c r="O46" s="43">
        <f>IFERROR(AVERAGE(J46:N46),"")</f>
        <v/>
      </c>
      <c r="P46" s="42" t="n"/>
      <c r="Q46" s="42" t="n"/>
      <c r="R46" s="42" t="n"/>
      <c r="S46" s="42" t="n"/>
      <c r="T46" s="42" t="n"/>
      <c r="U46" s="43">
        <f>IFERROR(AVERAGE(P46:T46),"")</f>
        <v/>
      </c>
      <c r="V46" s="42" t="n"/>
      <c r="W46" s="42" t="n"/>
      <c r="X46" s="42" t="n"/>
      <c r="Y46" s="42" t="n"/>
      <c r="Z46" s="42" t="n"/>
      <c r="AA46" s="43">
        <f>IFERROR(AVERAGE(V46:Z46),"")</f>
        <v/>
      </c>
      <c r="AB46" s="42" t="n">
        <v>0.6919999999999999</v>
      </c>
      <c r="AC46" s="42" t="n">
        <v>0.705</v>
      </c>
      <c r="AD46" s="42" t="n">
        <v>0.704</v>
      </c>
      <c r="AE46" s="42" t="n">
        <v>0.697</v>
      </c>
      <c r="AF46" s="42" t="n">
        <v>0.697</v>
      </c>
      <c r="AG46" s="43">
        <f>IFERROR(AVERAGE(AB46:AF46),"")</f>
        <v/>
      </c>
      <c r="AH46" s="42">
        <f>IFERROR(AG46-AA46,"")</f>
        <v/>
      </c>
      <c r="AI46" s="42">
        <f>IFERROR(AG46-O46,"")</f>
        <v/>
      </c>
    </row>
    <row r="47">
      <c r="A47" s="41" t="inlineStr">
        <is>
          <t>SPECTF</t>
        </is>
      </c>
      <c r="B47" s="42" t="inlineStr">
        <is>
          <t>asymmetric</t>
        </is>
      </c>
      <c r="C47" s="42" t="n">
        <v>0.5</v>
      </c>
      <c r="D47" s="42" t="n">
        <v>0.794</v>
      </c>
      <c r="E47" s="42" t="n">
        <v>0.764</v>
      </c>
      <c r="F47" s="42" t="n">
        <v>0.768</v>
      </c>
      <c r="G47" s="42" t="n">
        <v>0.764</v>
      </c>
      <c r="H47" s="42" t="n">
        <v>0.753</v>
      </c>
      <c r="I47" s="43">
        <f>IFERROR(AVERAGE(D47:H47),"")</f>
        <v/>
      </c>
      <c r="J47" s="42" t="n">
        <v>0.787</v>
      </c>
      <c r="K47" s="42" t="n">
        <v>0.753</v>
      </c>
      <c r="L47" s="42" t="n">
        <v>0.768</v>
      </c>
      <c r="M47" s="42" t="n">
        <v>0.764</v>
      </c>
      <c r="N47" s="42" t="n">
        <v>0.76</v>
      </c>
      <c r="O47" s="43">
        <f>IFERROR(AVERAGE(J47:N47),"")</f>
        <v/>
      </c>
      <c r="P47" s="42" t="n"/>
      <c r="Q47" s="42" t="n"/>
      <c r="R47" s="42" t="n"/>
      <c r="S47" s="42" t="n"/>
      <c r="T47" s="42" t="n"/>
      <c r="U47" s="43">
        <f>IFERROR(AVERAGE(P47:T47),"")</f>
        <v/>
      </c>
      <c r="V47" s="42" t="n"/>
      <c r="W47" s="42" t="n"/>
      <c r="X47" s="42" t="n"/>
      <c r="Y47" s="42" t="n"/>
      <c r="Z47" s="42" t="n"/>
      <c r="AA47" s="43">
        <f>IFERROR(AVERAGE(V47:Z47),"")</f>
        <v/>
      </c>
      <c r="AB47" s="42" t="n">
        <v>0.696</v>
      </c>
      <c r="AC47" s="42" t="n">
        <v>0.709</v>
      </c>
      <c r="AD47" s="42" t="n">
        <v>0.697</v>
      </c>
      <c r="AE47" s="42" t="n">
        <v>0.704</v>
      </c>
      <c r="AF47" s="42" t="n">
        <v>0.723</v>
      </c>
      <c r="AG47" s="43">
        <f>IFERROR(AVERAGE(AB47:AF47),"")</f>
        <v/>
      </c>
      <c r="AH47" s="42">
        <f>IFERROR(AG47-AA47,"")</f>
        <v/>
      </c>
      <c r="AI47" s="42">
        <f>IFERROR(AG47-O47,"")</f>
        <v/>
      </c>
    </row>
    <row r="48">
      <c r="A48" s="41" t="inlineStr">
        <is>
          <t>SPECTF</t>
        </is>
      </c>
      <c r="B48" s="42" t="inlineStr">
        <is>
          <t>boundary</t>
        </is>
      </c>
      <c r="C48" s="42" t="n">
        <v>0.2</v>
      </c>
      <c r="D48" s="42" t="n">
        <v>0.73</v>
      </c>
      <c r="E48" s="42" t="n">
        <v>0.772</v>
      </c>
      <c r="F48" s="42" t="n">
        <v>0.765</v>
      </c>
      <c r="G48" s="42" t="n">
        <v>0.753</v>
      </c>
      <c r="H48" s="42" t="n">
        <v>0.734</v>
      </c>
      <c r="I48" s="43">
        <f>IFERROR(AVERAGE(D48:H48),"")</f>
        <v/>
      </c>
      <c r="J48" s="42" t="n">
        <v>0.757</v>
      </c>
      <c r="K48" s="42" t="n">
        <v>0.779</v>
      </c>
      <c r="L48" s="42" t="n">
        <v>0.734</v>
      </c>
      <c r="M48" s="42" t="n">
        <v>0.756</v>
      </c>
      <c r="N48" s="42" t="n">
        <v>0.749</v>
      </c>
      <c r="O48" s="43">
        <f>IFERROR(AVERAGE(J48:N48),"")</f>
        <v/>
      </c>
      <c r="P48" s="42" t="n"/>
      <c r="Q48" s="42" t="n"/>
      <c r="R48" s="42" t="n"/>
      <c r="S48" s="42" t="n"/>
      <c r="T48" s="42" t="n"/>
      <c r="U48" s="43">
        <f>IFERROR(AVERAGE(P48:T48),"")</f>
        <v/>
      </c>
      <c r="V48" s="42" t="n"/>
      <c r="W48" s="42" t="n"/>
      <c r="X48" s="42" t="n"/>
      <c r="Y48" s="42" t="n"/>
      <c r="Z48" s="42" t="n"/>
      <c r="AA48" s="43">
        <f>IFERROR(AVERAGE(V48:Z48),"")</f>
        <v/>
      </c>
      <c r="AB48" s="42" t="n">
        <v>0.666</v>
      </c>
      <c r="AC48" s="42" t="n">
        <v>0.694</v>
      </c>
      <c r="AD48" s="42" t="n">
        <v>0.6860000000000001</v>
      </c>
      <c r="AE48" s="42" t="n">
        <v>0.6929999999999999</v>
      </c>
      <c r="AF48" s="42" t="n">
        <v>0.7</v>
      </c>
      <c r="AG48" s="43">
        <f>IFERROR(AVERAGE(AB48:AF48),"")</f>
        <v/>
      </c>
      <c r="AH48" s="42">
        <f>IFERROR(AG48-AA48,"")</f>
        <v/>
      </c>
      <c r="AI48" s="42">
        <f>IFERROR(AG48-O48,"")</f>
        <v/>
      </c>
    </row>
    <row r="49">
      <c r="A49" s="41" t="inlineStr">
        <is>
          <t>SPECTF</t>
        </is>
      </c>
      <c r="B49" s="42" t="inlineStr">
        <is>
          <t>boundary</t>
        </is>
      </c>
      <c r="C49" s="42" t="n">
        <v>0.3</v>
      </c>
      <c r="D49" s="42" t="n">
        <v>0.655</v>
      </c>
      <c r="E49" s="42" t="n">
        <v>0.745</v>
      </c>
      <c r="F49" s="42" t="n">
        <v>0.6889999999999999</v>
      </c>
      <c r="G49" s="42" t="n">
        <v>0.704</v>
      </c>
      <c r="H49" s="42" t="n">
        <v>0.67</v>
      </c>
      <c r="I49" s="43">
        <f>IFERROR(AVERAGE(D49:H49),"")</f>
        <v/>
      </c>
      <c r="J49" s="42" t="n">
        <v>0.741</v>
      </c>
      <c r="K49" s="42" t="n">
        <v>0.735</v>
      </c>
      <c r="L49" s="42" t="n">
        <v>0.704</v>
      </c>
      <c r="M49" s="42" t="n">
        <v>0.76</v>
      </c>
      <c r="N49" s="42" t="n">
        <v>0.6850000000000001</v>
      </c>
      <c r="O49" s="43">
        <f>IFERROR(AVERAGE(J49:N49),"")</f>
        <v/>
      </c>
      <c r="P49" s="42" t="n"/>
      <c r="Q49" s="42" t="n"/>
      <c r="R49" s="42" t="n"/>
      <c r="S49" s="42" t="n"/>
      <c r="T49" s="42" t="n"/>
      <c r="U49" s="43">
        <f>IFERROR(AVERAGE(P49:T49),"")</f>
        <v/>
      </c>
      <c r="V49" s="42" t="n"/>
      <c r="W49" s="42" t="n"/>
      <c r="X49" s="42" t="n"/>
      <c r="Y49" s="42" t="n"/>
      <c r="Z49" s="42" t="n"/>
      <c r="AA49" s="43">
        <f>IFERROR(AVERAGE(V49:Z49),"")</f>
        <v/>
      </c>
      <c r="AB49" s="42" t="n">
        <v>0.644</v>
      </c>
      <c r="AC49" s="42" t="n">
        <v>0.6820000000000001</v>
      </c>
      <c r="AD49" s="42" t="n">
        <v>0.644</v>
      </c>
      <c r="AE49" s="42" t="n">
        <v>0.6850000000000001</v>
      </c>
      <c r="AF49" s="42" t="n">
        <v>0.666</v>
      </c>
      <c r="AG49" s="43">
        <f>IFERROR(AVERAGE(AB49:AF49),"")</f>
        <v/>
      </c>
      <c r="AH49" s="42">
        <f>IFERROR(AG49-AA49,"")</f>
        <v/>
      </c>
      <c r="AI49" s="42">
        <f>IFERROR(AG49-O49,"")</f>
        <v/>
      </c>
    </row>
    <row r="50">
      <c r="A50" s="41" t="inlineStr">
        <is>
          <t>SPECTF</t>
        </is>
      </c>
      <c r="B50" s="42" t="inlineStr">
        <is>
          <t>boundary</t>
        </is>
      </c>
      <c r="C50" s="42" t="n">
        <v>0.4</v>
      </c>
      <c r="D50" s="42" t="n">
        <v>0.602</v>
      </c>
      <c r="E50" s="42" t="n">
        <v>0.662</v>
      </c>
      <c r="F50" s="42" t="n">
        <v>0.633</v>
      </c>
      <c r="G50" s="42" t="n">
        <v>0.674</v>
      </c>
      <c r="H50" s="42" t="n">
        <v>0.652</v>
      </c>
      <c r="I50" s="43">
        <f>IFERROR(AVERAGE(D50:H50),"")</f>
        <v/>
      </c>
      <c r="J50" s="42" t="n">
        <v>0.613</v>
      </c>
      <c r="K50" s="42" t="n">
        <v>0.603</v>
      </c>
      <c r="L50" s="42" t="n">
        <v>0.652</v>
      </c>
      <c r="M50" s="42" t="n">
        <v>0.637</v>
      </c>
      <c r="N50" s="42" t="n">
        <v>0.592</v>
      </c>
      <c r="O50" s="43">
        <f>IFERROR(AVERAGE(J50:N50),"")</f>
        <v/>
      </c>
      <c r="P50" s="42" t="n">
        <v>0.64</v>
      </c>
      <c r="Q50" s="42" t="n">
        <v>0.594</v>
      </c>
      <c r="R50" s="42" t="n">
        <v>0.585</v>
      </c>
      <c r="S50" s="42" t="n">
        <v>0.623</v>
      </c>
      <c r="T50" s="42" t="n">
        <v>0.726</v>
      </c>
      <c r="U50" s="43">
        <f>IFERROR(AVERAGE(P50:T50),"")</f>
        <v/>
      </c>
      <c r="V50" s="42" t="n">
        <v>0.645</v>
      </c>
      <c r="W50" s="42" t="n">
        <v>0.5659999999999999</v>
      </c>
      <c r="X50" s="42" t="n">
        <v>0.579</v>
      </c>
      <c r="Y50" s="42" t="n">
        <v>0.66</v>
      </c>
      <c r="Z50" s="42" t="n">
        <v>0.594</v>
      </c>
      <c r="AA50" s="43">
        <f>IFERROR(AVERAGE(V50:Z50),"")</f>
        <v/>
      </c>
      <c r="AB50" s="42" t="n">
        <v>0.629</v>
      </c>
      <c r="AC50" s="42" t="n">
        <v>0.599</v>
      </c>
      <c r="AD50" s="42" t="n">
        <v>0.592</v>
      </c>
      <c r="AE50" s="42" t="n">
        <v>0.637</v>
      </c>
      <c r="AF50" s="42" t="n">
        <v>0.622</v>
      </c>
      <c r="AG50" s="43">
        <f>IFERROR(AVERAGE(AB50:AF50),"")</f>
        <v/>
      </c>
      <c r="AH50" s="42">
        <f>IFERROR(AG50-AA50,"")</f>
        <v/>
      </c>
      <c r="AI50" s="42">
        <f>IFERROR(AG50-O50,"")</f>
        <v/>
      </c>
    </row>
    <row r="51">
      <c r="A51" s="41" t="inlineStr">
        <is>
          <t>SPECTF</t>
        </is>
      </c>
      <c r="B51" s="42" t="inlineStr">
        <is>
          <t>boundary</t>
        </is>
      </c>
      <c r="C51" s="42" t="n">
        <v>0.5</v>
      </c>
      <c r="D51" s="42" t="n">
        <v>0.461</v>
      </c>
      <c r="E51" s="42" t="n">
        <v>0.502</v>
      </c>
      <c r="F51" s="42" t="n">
        <v>0.516</v>
      </c>
      <c r="G51" s="42" t="n">
        <v>0.49</v>
      </c>
      <c r="H51" s="42" t="n">
        <v>0.46</v>
      </c>
      <c r="I51" s="43">
        <f>IFERROR(AVERAGE(D51:H51),"")</f>
        <v/>
      </c>
      <c r="J51" s="42" t="n">
        <v>0.52</v>
      </c>
      <c r="K51" s="42" t="n">
        <v>0.513</v>
      </c>
      <c r="L51" s="42" t="n">
        <v>0.502</v>
      </c>
      <c r="M51" s="42" t="n">
        <v>0.49</v>
      </c>
      <c r="N51" s="42" t="n">
        <v>0.378</v>
      </c>
      <c r="O51" s="43">
        <f>IFERROR(AVERAGE(J51:N51),"")</f>
        <v/>
      </c>
      <c r="P51" s="42" t="n">
        <v>0.599</v>
      </c>
      <c r="Q51" s="42" t="n">
        <v>0.528</v>
      </c>
      <c r="R51" s="42" t="n">
        <v>0.588</v>
      </c>
      <c r="S51" s="42" t="n">
        <v>0.49</v>
      </c>
      <c r="T51" s="42" t="n">
        <v>0.487</v>
      </c>
      <c r="U51" s="43">
        <f>IFERROR(AVERAGE(P51:T51),"")</f>
        <v/>
      </c>
      <c r="V51" s="42" t="n">
        <v>0.539</v>
      </c>
      <c r="W51" s="42" t="n">
        <v>0.438</v>
      </c>
      <c r="X51" s="42" t="n">
        <v>0.577</v>
      </c>
      <c r="Y51" s="42" t="n">
        <v>0.502</v>
      </c>
      <c r="Z51" s="42" t="n">
        <v>0.457</v>
      </c>
      <c r="AA51" s="43">
        <f>IFERROR(AVERAGE(V51:Z51),"")</f>
        <v/>
      </c>
      <c r="AB51" s="42" t="n">
        <v>0.539</v>
      </c>
      <c r="AC51" s="42" t="n">
        <v>0.438</v>
      </c>
      <c r="AD51" s="42" t="n">
        <v>0.577</v>
      </c>
      <c r="AE51" s="42" t="n">
        <v>0.502</v>
      </c>
      <c r="AF51" s="42" t="n">
        <v>0.457</v>
      </c>
      <c r="AG51" s="43">
        <f>IFERROR(AVERAGE(AB51:AF51),"")</f>
        <v/>
      </c>
      <c r="AH51" s="42">
        <f>IFERROR(AG51-AA51,"")</f>
        <v/>
      </c>
      <c r="AI51" s="42">
        <f>IFERROR(AG51-O51,"")</f>
        <v/>
      </c>
    </row>
    <row r="52">
      <c r="A52" s="41" t="inlineStr">
        <is>
          <t>SPECTF</t>
        </is>
      </c>
      <c r="B52" s="42" t="inlineStr">
        <is>
          <t>far</t>
        </is>
      </c>
      <c r="C52" s="42" t="n">
        <v>0.2</v>
      </c>
      <c r="D52" s="42" t="n">
        <v>0.626</v>
      </c>
      <c r="E52" s="42" t="n">
        <v>0.629</v>
      </c>
      <c r="F52" s="42" t="n">
        <v>0.607</v>
      </c>
      <c r="G52" s="42" t="n">
        <v>0.539</v>
      </c>
      <c r="H52" s="42" t="n">
        <v>0.61</v>
      </c>
      <c r="I52" s="43">
        <f>IFERROR(AVERAGE(D52:H52),"")</f>
        <v/>
      </c>
      <c r="J52" s="42" t="n">
        <v>0.666</v>
      </c>
      <c r="K52" s="42" t="n">
        <v>0.626</v>
      </c>
      <c r="L52" s="42" t="n">
        <v>0.64</v>
      </c>
      <c r="M52" s="42" t="n">
        <v>0.603</v>
      </c>
      <c r="N52" s="42" t="n">
        <v>0.618</v>
      </c>
      <c r="O52" s="43">
        <f>IFERROR(AVERAGE(J52:N52),"")</f>
        <v/>
      </c>
      <c r="P52" s="42" t="n">
        <v>0.792</v>
      </c>
      <c r="Q52" s="42" t="n">
        <v>0.673</v>
      </c>
      <c r="R52" s="42" t="n">
        <v>0.6820000000000001</v>
      </c>
      <c r="S52" s="42" t="n">
        <v>0.65</v>
      </c>
      <c r="T52" s="42" t="n">
        <v>0.642</v>
      </c>
      <c r="U52" s="43">
        <f>IFERROR(AVERAGE(P52:T52),"")</f>
        <v/>
      </c>
      <c r="V52" s="42" t="n">
        <v>0.792</v>
      </c>
      <c r="W52" s="42" t="n">
        <v>0.654</v>
      </c>
      <c r="X52" s="42" t="n">
        <v>0.6820000000000001</v>
      </c>
      <c r="Y52" s="42" t="n">
        <v>0.696</v>
      </c>
      <c r="Z52" s="42" t="n">
        <v>0.61</v>
      </c>
      <c r="AA52" s="43">
        <f>IFERROR(AVERAGE(V52:Z52),"")</f>
        <v/>
      </c>
      <c r="AB52" s="42" t="n">
        <v>0.633</v>
      </c>
      <c r="AC52" s="42" t="n">
        <v>0.626</v>
      </c>
      <c r="AD52" s="42" t="n">
        <v>0.641</v>
      </c>
      <c r="AE52" s="42" t="n">
        <v>0.678</v>
      </c>
      <c r="AF52" s="42" t="n">
        <v>0.573</v>
      </c>
      <c r="AG52" s="43">
        <f>IFERROR(AVERAGE(AB52:AF52),"")</f>
        <v/>
      </c>
      <c r="AH52" s="42">
        <f>IFERROR(AG52-AA52,"")</f>
        <v/>
      </c>
      <c r="AI52" s="42">
        <f>IFERROR(AG52-O52,"")</f>
        <v/>
      </c>
    </row>
    <row r="53">
      <c r="A53" s="41" t="inlineStr">
        <is>
          <t>SPECTF</t>
        </is>
      </c>
      <c r="B53" s="42" t="inlineStr">
        <is>
          <t>far</t>
        </is>
      </c>
      <c r="C53" s="42" t="n">
        <v>0.3</v>
      </c>
      <c r="D53" s="42" t="n">
        <v>0.5580000000000001</v>
      </c>
      <c r="E53" s="42" t="n">
        <v>0.547</v>
      </c>
      <c r="F53" s="42" t="n">
        <v>0.48</v>
      </c>
      <c r="G53" s="42" t="n">
        <v>0.498</v>
      </c>
      <c r="H53" s="42" t="n">
        <v>0.5649999999999999</v>
      </c>
      <c r="I53" s="43">
        <f>IFERROR(AVERAGE(D53:H53),"")</f>
        <v/>
      </c>
      <c r="J53" s="42" t="n">
        <v>0.606</v>
      </c>
      <c r="K53" s="42" t="n">
        <v>0.5580000000000001</v>
      </c>
      <c r="L53" s="42" t="n">
        <v>0.5659999999999999</v>
      </c>
      <c r="M53" s="42" t="n">
        <v>0.573</v>
      </c>
      <c r="N53" s="42" t="n">
        <v>0.55</v>
      </c>
      <c r="O53" s="43">
        <f>IFERROR(AVERAGE(J53:N53),"")</f>
        <v/>
      </c>
      <c r="P53" s="42" t="n">
        <v>0.599</v>
      </c>
      <c r="Q53" s="42" t="n">
        <v>0.551</v>
      </c>
      <c r="R53" s="42" t="n">
        <v>0.551</v>
      </c>
      <c r="S53" s="42" t="n">
        <v>0.517</v>
      </c>
      <c r="T53" s="42" t="n">
        <v>0.494</v>
      </c>
      <c r="U53" s="43">
        <f>IFERROR(AVERAGE(P53:T53),"")</f>
        <v/>
      </c>
      <c r="V53" s="42" t="n">
        <v>0.5620000000000001</v>
      </c>
      <c r="W53" s="42" t="n">
        <v>0.603</v>
      </c>
      <c r="X53" s="42" t="n">
        <v>0.539</v>
      </c>
      <c r="Y53" s="42" t="n">
        <v>0.591</v>
      </c>
      <c r="Z53" s="42" t="n">
        <v>0.577</v>
      </c>
      <c r="AA53" s="43">
        <f>IFERROR(AVERAGE(V53:Z53),"")</f>
        <v/>
      </c>
      <c r="AB53" s="42" t="n">
        <v>0.5620000000000001</v>
      </c>
      <c r="AC53" s="42" t="n">
        <v>0.603</v>
      </c>
      <c r="AD53" s="42" t="n">
        <v>0.539</v>
      </c>
      <c r="AE53" s="42" t="n">
        <v>0.591</v>
      </c>
      <c r="AF53" s="42" t="n">
        <v>0.577</v>
      </c>
      <c r="AG53" s="43">
        <f>IFERROR(AVERAGE(AB53:AF53),"")</f>
        <v/>
      </c>
      <c r="AH53" s="42">
        <f>IFERROR(AG53-AA53,"")</f>
        <v/>
      </c>
      <c r="AI53" s="42">
        <f>IFERROR(AG53-O53,"")</f>
        <v/>
      </c>
    </row>
    <row r="54">
      <c r="A54" s="41" t="inlineStr">
        <is>
          <t>SPECTF</t>
        </is>
      </c>
      <c r="B54" s="42" t="inlineStr">
        <is>
          <t>far</t>
        </is>
      </c>
      <c r="C54" s="42" t="n">
        <v>0.4</v>
      </c>
      <c r="D54" s="42" t="n">
        <v>0.468</v>
      </c>
      <c r="E54" s="42" t="n">
        <v>0.45</v>
      </c>
      <c r="F54" s="42" t="n">
        <v>0.453</v>
      </c>
      <c r="G54" s="42" t="n">
        <v>0.423</v>
      </c>
      <c r="H54" s="42" t="n">
        <v>0.49</v>
      </c>
      <c r="I54" s="43">
        <f>IFERROR(AVERAGE(D54:H54),"")</f>
        <v/>
      </c>
      <c r="J54" s="42" t="n">
        <v>0.498</v>
      </c>
      <c r="K54" s="42" t="n">
        <v>0.49</v>
      </c>
      <c r="L54" s="42" t="n">
        <v>0.483</v>
      </c>
      <c r="M54" s="42" t="n">
        <v>0.532</v>
      </c>
      <c r="N54" s="42" t="n">
        <v>0.495</v>
      </c>
      <c r="O54" s="43">
        <f>IFERROR(AVERAGE(J54:N54),"")</f>
        <v/>
      </c>
      <c r="P54" s="42" t="n">
        <v>0.502</v>
      </c>
      <c r="Q54" s="42" t="n">
        <v>0.427</v>
      </c>
      <c r="R54" s="42" t="n">
        <v>0.453</v>
      </c>
      <c r="S54" s="42" t="n">
        <v>0.555</v>
      </c>
      <c r="T54" s="42" t="n">
        <v>0.48</v>
      </c>
      <c r="U54" s="43">
        <f>IFERROR(AVERAGE(P54:T54),"")</f>
        <v/>
      </c>
      <c r="V54" s="42" t="n">
        <v>0.469</v>
      </c>
      <c r="W54" s="42" t="n">
        <v>0.484</v>
      </c>
      <c r="X54" s="42" t="n">
        <v>0.449</v>
      </c>
      <c r="Y54" s="42" t="n">
        <v>0.543</v>
      </c>
      <c r="Z54" s="42" t="n">
        <v>0.506</v>
      </c>
      <c r="AA54" s="43">
        <f>IFERROR(AVERAGE(V54:Z54),"")</f>
        <v/>
      </c>
      <c r="AB54" s="42" t="n">
        <v>0.469</v>
      </c>
      <c r="AC54" s="42" t="n">
        <v>0.484</v>
      </c>
      <c r="AD54" s="42" t="n">
        <v>0.449</v>
      </c>
      <c r="AE54" s="42" t="n">
        <v>0.543</v>
      </c>
      <c r="AF54" s="42" t="n">
        <v>0.506</v>
      </c>
      <c r="AG54" s="43">
        <f>IFERROR(AVERAGE(AB54:AF54),"")</f>
        <v/>
      </c>
      <c r="AH54" s="42">
        <f>IFERROR(AG54-AA54,"")</f>
        <v/>
      </c>
      <c r="AI54" s="42">
        <f>IFERROR(AG54-O54,"")</f>
        <v/>
      </c>
    </row>
    <row r="55">
      <c r="A55" s="41" t="inlineStr">
        <is>
          <t>SPECTF</t>
        </is>
      </c>
      <c r="B55" s="42" t="inlineStr">
        <is>
          <t>far</t>
        </is>
      </c>
      <c r="C55" s="42" t="n">
        <v>0.5</v>
      </c>
      <c r="D55" s="42" t="n">
        <v>0.49</v>
      </c>
      <c r="E55" s="42" t="n">
        <v>0.509</v>
      </c>
      <c r="F55" s="42" t="n">
        <v>0.453</v>
      </c>
      <c r="G55" s="42" t="n">
        <v>0.532</v>
      </c>
      <c r="H55" s="42" t="n">
        <v>0.5620000000000001</v>
      </c>
      <c r="I55" s="43">
        <f>IFERROR(AVERAGE(D55:H55),"")</f>
        <v/>
      </c>
      <c r="J55" s="42" t="n">
        <v>0.491</v>
      </c>
      <c r="K55" s="42" t="n">
        <v>0.509</v>
      </c>
      <c r="L55" s="42" t="n">
        <v>0.487</v>
      </c>
      <c r="M55" s="42" t="n">
        <v>0.525</v>
      </c>
      <c r="N55" s="42" t="n">
        <v>0.501</v>
      </c>
      <c r="O55" s="43">
        <f>IFERROR(AVERAGE(J55:N55),"")</f>
        <v/>
      </c>
      <c r="P55" s="42" t="n">
        <v>0.49</v>
      </c>
      <c r="Q55" s="42" t="n">
        <v>0.491</v>
      </c>
      <c r="R55" s="42" t="n">
        <v>0.464</v>
      </c>
      <c r="S55" s="42" t="n">
        <v>0.45</v>
      </c>
      <c r="T55" s="42" t="n">
        <v>0.543</v>
      </c>
      <c r="U55" s="43">
        <f>IFERROR(AVERAGE(P55:T55),"")</f>
        <v/>
      </c>
      <c r="V55" s="42" t="n">
        <v>0.517</v>
      </c>
      <c r="W55" s="42" t="n">
        <v>0.476</v>
      </c>
      <c r="X55" s="42" t="n">
        <v>0.475</v>
      </c>
      <c r="Y55" s="42" t="n">
        <v>0.465</v>
      </c>
      <c r="Z55" s="42" t="n">
        <v>0.487</v>
      </c>
      <c r="AA55" s="43">
        <f>IFERROR(AVERAGE(V55:Z55),"")</f>
        <v/>
      </c>
      <c r="AB55" s="42" t="n">
        <v>0.517</v>
      </c>
      <c r="AC55" s="42" t="n">
        <v>0.476</v>
      </c>
      <c r="AD55" s="42" t="n">
        <v>0.475</v>
      </c>
      <c r="AE55" s="42" t="n">
        <v>0.465</v>
      </c>
      <c r="AF55" s="42" t="n">
        <v>0.487</v>
      </c>
      <c r="AG55" s="43">
        <f>IFERROR(AVERAGE(AB55:AF55),"")</f>
        <v/>
      </c>
      <c r="AH55" s="42">
        <f>IFERROR(AG55-AA55,"")</f>
        <v/>
      </c>
      <c r="AI55" s="42">
        <f>IFERROR(AG55-O55,"")</f>
        <v/>
      </c>
    </row>
    <row r="56">
      <c r="A56" s="41" t="inlineStr">
        <is>
          <t>haberman</t>
        </is>
      </c>
      <c r="B56" s="42" t="inlineStr">
        <is>
          <t>(clean)</t>
        </is>
      </c>
      <c r="C56" s="42" t="n">
        <v>0</v>
      </c>
      <c r="D56" s="42" t="n">
        <v>0.745</v>
      </c>
      <c r="E56" s="42" t="n">
        <v>0.755</v>
      </c>
      <c r="F56" s="42" t="n">
        <v>0.748</v>
      </c>
      <c r="G56" s="42" t="n">
        <v>0.749</v>
      </c>
      <c r="H56" s="42" t="n">
        <v>0.758</v>
      </c>
      <c r="I56" s="43">
        <f>IFERROR(AVERAGE(D56:H56),"")</f>
        <v/>
      </c>
      <c r="J56" s="42" t="n">
        <v>0.739</v>
      </c>
      <c r="K56" s="42" t="n">
        <v>0.745</v>
      </c>
      <c r="L56" s="42" t="n">
        <v>0.752</v>
      </c>
      <c r="M56" s="42" t="n">
        <v>0.745</v>
      </c>
      <c r="N56" s="42" t="n">
        <v>0.752</v>
      </c>
      <c r="O56" s="43">
        <f>IFERROR(AVERAGE(J56:N56),"")</f>
        <v/>
      </c>
      <c r="P56" s="42" t="n"/>
      <c r="Q56" s="42" t="n"/>
      <c r="R56" s="42" t="n"/>
      <c r="S56" s="42" t="n"/>
      <c r="T56" s="42" t="n"/>
      <c r="U56" s="43">
        <f>IFERROR(AVERAGE(P56:T56),"")</f>
        <v/>
      </c>
      <c r="V56" s="42" t="n"/>
      <c r="W56" s="42" t="n"/>
      <c r="X56" s="42" t="n"/>
      <c r="Y56" s="42" t="n"/>
      <c r="Z56" s="42" t="n"/>
      <c r="AA56" s="43">
        <f>IFERROR(AVERAGE(V56:Z56),"")</f>
        <v/>
      </c>
      <c r="AB56" s="42" t="n">
        <v>0.536</v>
      </c>
      <c r="AC56" s="42" t="n">
        <v>0.51</v>
      </c>
      <c r="AD56" s="42" t="n">
        <v>0.484</v>
      </c>
      <c r="AE56" s="42" t="n">
        <v>0.526</v>
      </c>
      <c r="AF56" s="42" t="n">
        <v>0.526</v>
      </c>
      <c r="AG56" s="43">
        <f>IFERROR(AVERAGE(AB56:AF56),"")</f>
        <v/>
      </c>
      <c r="AH56" s="42">
        <f>IFERROR(AG56-AA56,"")</f>
        <v/>
      </c>
      <c r="AI56" s="42">
        <f>IFERROR(AG56-O56,"")</f>
        <v/>
      </c>
    </row>
    <row r="57">
      <c r="A57" s="41" t="inlineStr">
        <is>
          <t>haberman</t>
        </is>
      </c>
      <c r="B57" s="42" t="inlineStr">
        <is>
          <t>symmetric</t>
        </is>
      </c>
      <c r="C57" s="42" t="n">
        <v>0.2</v>
      </c>
      <c r="D57" s="42" t="n">
        <v>0.735</v>
      </c>
      <c r="E57" s="42" t="n">
        <v>0.745</v>
      </c>
      <c r="F57" s="42" t="n">
        <v>0.742</v>
      </c>
      <c r="G57" s="42" t="n">
        <v>0.745</v>
      </c>
      <c r="H57" s="42" t="n">
        <v>0.725</v>
      </c>
      <c r="I57" s="43">
        <f>IFERROR(AVERAGE(D57:H57),"")</f>
        <v/>
      </c>
      <c r="J57" s="42" t="n">
        <v>0.748</v>
      </c>
      <c r="K57" s="42" t="n">
        <v>0.755</v>
      </c>
      <c r="L57" s="42" t="n">
        <v>0.755</v>
      </c>
      <c r="M57" s="42" t="n">
        <v>0.732</v>
      </c>
      <c r="N57" s="42" t="n">
        <v>0.716</v>
      </c>
      <c r="O57" s="43">
        <f>IFERROR(AVERAGE(J57:N57),"")</f>
        <v/>
      </c>
      <c r="P57" s="42" t="n"/>
      <c r="Q57" s="42" t="n"/>
      <c r="R57" s="42" t="n"/>
      <c r="S57" s="42" t="n"/>
      <c r="T57" s="42" t="n"/>
      <c r="U57" s="43">
        <f>IFERROR(AVERAGE(P57:T57),"")</f>
        <v/>
      </c>
      <c r="V57" s="42" t="n"/>
      <c r="W57" s="42" t="n"/>
      <c r="X57" s="42" t="n"/>
      <c r="Y57" s="42" t="n"/>
      <c r="Z57" s="42" t="n"/>
      <c r="AA57" s="43">
        <f>IFERROR(AVERAGE(V57:Z57),"")</f>
        <v/>
      </c>
      <c r="AB57" s="42" t="n">
        <v>0.51</v>
      </c>
      <c r="AC57" s="42" t="n">
        <v>0.503</v>
      </c>
      <c r="AD57" s="42" t="n">
        <v>0.47</v>
      </c>
      <c r="AE57" s="42" t="n">
        <v>0.464</v>
      </c>
      <c r="AF57" s="42" t="n">
        <v>0.523</v>
      </c>
      <c r="AG57" s="43">
        <f>IFERROR(AVERAGE(AB57:AF57),"")</f>
        <v/>
      </c>
      <c r="AH57" s="42">
        <f>IFERROR(AG57-AA57,"")</f>
        <v/>
      </c>
      <c r="AI57" s="42">
        <f>IFERROR(AG57-O57,"")</f>
        <v/>
      </c>
    </row>
    <row r="58">
      <c r="A58" s="41" t="inlineStr">
        <is>
          <t>haberman</t>
        </is>
      </c>
      <c r="B58" s="42" t="inlineStr">
        <is>
          <t>symmetric</t>
        </is>
      </c>
      <c r="C58" s="42" t="n">
        <v>0.3</v>
      </c>
      <c r="D58" s="42" t="n">
        <v>0.738</v>
      </c>
      <c r="E58" s="42" t="n">
        <v>0.735</v>
      </c>
      <c r="F58" s="42" t="n">
        <v>0.696</v>
      </c>
      <c r="G58" s="42" t="n">
        <v>0.719</v>
      </c>
      <c r="H58" s="42" t="n">
        <v>0.667</v>
      </c>
      <c r="I58" s="43">
        <f>IFERROR(AVERAGE(D58:H58),"")</f>
        <v/>
      </c>
      <c r="J58" s="42" t="n">
        <v>0.752</v>
      </c>
      <c r="K58" s="42" t="n">
        <v>0.732</v>
      </c>
      <c r="L58" s="42" t="n">
        <v>0.748</v>
      </c>
      <c r="M58" s="42" t="n">
        <v>0.722</v>
      </c>
      <c r="N58" s="42" t="n">
        <v>0.67</v>
      </c>
      <c r="O58" s="43">
        <f>IFERROR(AVERAGE(J58:N58),"")</f>
        <v/>
      </c>
      <c r="P58" s="42" t="n">
        <v>0.661</v>
      </c>
      <c r="Q58" s="42" t="n">
        <v>0.615</v>
      </c>
      <c r="R58" s="42" t="n">
        <v>0.667</v>
      </c>
      <c r="S58" s="42" t="n">
        <v>0.631</v>
      </c>
      <c r="T58" s="42" t="n">
        <v>0.669</v>
      </c>
      <c r="U58" s="43">
        <f>IFERROR(AVERAGE(P58:T58),"")</f>
        <v/>
      </c>
      <c r="V58" s="42" t="n">
        <v>0.657</v>
      </c>
      <c r="W58" s="42" t="n">
        <v>0.647</v>
      </c>
      <c r="X58" s="42" t="n">
        <v>0.661</v>
      </c>
      <c r="Y58" s="42" t="n">
        <v>0.73</v>
      </c>
      <c r="Z58" s="42" t="n">
        <v>0.694</v>
      </c>
      <c r="AA58" s="43">
        <f>IFERROR(AVERAGE(V58:Z58),"")</f>
        <v/>
      </c>
      <c r="AB58" s="42" t="n">
        <v>0.644</v>
      </c>
      <c r="AC58" s="42" t="n">
        <v>0.582</v>
      </c>
      <c r="AD58" s="42" t="n">
        <v>0.615</v>
      </c>
      <c r="AE58" s="42" t="n">
        <v>0.615</v>
      </c>
      <c r="AF58" s="42" t="n">
        <v>0.653</v>
      </c>
      <c r="AG58" s="43">
        <f>IFERROR(AVERAGE(AB58:AF58),"")</f>
        <v/>
      </c>
      <c r="AH58" s="42">
        <f>IFERROR(AG58-AA58,"")</f>
        <v/>
      </c>
      <c r="AI58" s="42">
        <f>IFERROR(AG58-O58,"")</f>
        <v/>
      </c>
    </row>
    <row r="59">
      <c r="A59" s="41" t="inlineStr">
        <is>
          <t>haberman</t>
        </is>
      </c>
      <c r="B59" s="42" t="inlineStr">
        <is>
          <t>symmetric</t>
        </is>
      </c>
      <c r="C59" s="42" t="n">
        <v>0.4</v>
      </c>
      <c r="D59" s="42" t="n">
        <v>0.619</v>
      </c>
      <c r="E59" s="42" t="n">
        <v>0.644</v>
      </c>
      <c r="F59" s="42" t="n">
        <v>0.602</v>
      </c>
      <c r="G59" s="42" t="n">
        <v>0.6929999999999999</v>
      </c>
      <c r="H59" s="42" t="n">
        <v>0.631</v>
      </c>
      <c r="I59" s="43">
        <f>IFERROR(AVERAGE(D59:H59),"")</f>
        <v/>
      </c>
      <c r="J59" s="42" t="n">
        <v>0.589</v>
      </c>
      <c r="K59" s="42" t="n">
        <v>0.644</v>
      </c>
      <c r="L59" s="42" t="n">
        <v>0.64</v>
      </c>
      <c r="M59" s="42" t="n">
        <v>0.6929999999999999</v>
      </c>
      <c r="N59" s="42" t="n">
        <v>0.631</v>
      </c>
      <c r="O59" s="43">
        <f>IFERROR(AVERAGE(J59:N59),"")</f>
        <v/>
      </c>
      <c r="P59" s="42" t="n">
        <v>0.585</v>
      </c>
      <c r="Q59" s="42" t="n">
        <v>0.516</v>
      </c>
      <c r="R59" s="42" t="n">
        <v>0.607</v>
      </c>
      <c r="S59" s="42" t="n">
        <v>0.575</v>
      </c>
      <c r="T59" s="42" t="n">
        <v>0.699</v>
      </c>
      <c r="U59" s="43">
        <f>IFERROR(AVERAGE(P59:T59),"")</f>
        <v/>
      </c>
      <c r="V59" s="42" t="n">
        <v>0.521</v>
      </c>
      <c r="W59" s="42" t="n">
        <v>0.5659999999999999</v>
      </c>
      <c r="X59" s="42" t="n">
        <v>0.581</v>
      </c>
      <c r="Y59" s="42" t="n">
        <v>0.71</v>
      </c>
      <c r="Z59" s="42" t="n">
        <v>0.64</v>
      </c>
      <c r="AA59" s="43">
        <f>IFERROR(AVERAGE(V59:Z59),"")</f>
        <v/>
      </c>
      <c r="AB59" s="42" t="n">
        <v>0.521</v>
      </c>
      <c r="AC59" s="42" t="n">
        <v>0.5620000000000001</v>
      </c>
      <c r="AD59" s="42" t="n">
        <v>0.581</v>
      </c>
      <c r="AE59" s="42" t="n">
        <v>0.71</v>
      </c>
      <c r="AF59" s="42" t="n">
        <v>0.64</v>
      </c>
      <c r="AG59" s="43">
        <f>IFERROR(AVERAGE(AB59:AF59),"")</f>
        <v/>
      </c>
      <c r="AH59" s="42">
        <f>IFERROR(AG59-AA59,"")</f>
        <v/>
      </c>
      <c r="AI59" s="42">
        <f>IFERROR(AG59-O59,"")</f>
        <v/>
      </c>
    </row>
    <row r="60">
      <c r="A60" s="41" t="inlineStr">
        <is>
          <t>haberman</t>
        </is>
      </c>
      <c r="B60" s="42" t="inlineStr">
        <is>
          <t>symmetric</t>
        </is>
      </c>
      <c r="C60" s="42" t="n">
        <v>0.5</v>
      </c>
      <c r="D60" s="42" t="n">
        <v>0.481</v>
      </c>
      <c r="E60" s="42" t="n">
        <v>0.481</v>
      </c>
      <c r="F60" s="42" t="n">
        <v>0.5590000000000001</v>
      </c>
      <c r="G60" s="42" t="n">
        <v>0.382</v>
      </c>
      <c r="H60" s="42" t="n">
        <v>0.634</v>
      </c>
      <c r="I60" s="43">
        <f>IFERROR(AVERAGE(D60:H60),"")</f>
        <v/>
      </c>
      <c r="J60" s="42" t="n">
        <v>0.347</v>
      </c>
      <c r="K60" s="42" t="n">
        <v>0.488</v>
      </c>
      <c r="L60" s="42" t="n">
        <v>0.5620000000000001</v>
      </c>
      <c r="M60" s="42" t="n">
        <v>0.48</v>
      </c>
      <c r="N60" s="42" t="n">
        <v>0.63</v>
      </c>
      <c r="O60" s="43">
        <f>IFERROR(AVERAGE(J60:N60),"")</f>
        <v/>
      </c>
      <c r="P60" s="42" t="n">
        <v>0.507</v>
      </c>
      <c r="Q60" s="42" t="n">
        <v>0.52</v>
      </c>
      <c r="R60" s="42" t="n">
        <v>0.5590000000000001</v>
      </c>
      <c r="S60" s="42" t="n">
        <v>0.536</v>
      </c>
      <c r="T60" s="42" t="n">
        <v>0.618</v>
      </c>
      <c r="U60" s="43">
        <f>IFERROR(AVERAGE(P60:T60),"")</f>
        <v/>
      </c>
      <c r="V60" s="42" t="n">
        <v>0.471</v>
      </c>
      <c r="W60" s="42" t="n">
        <v>0.481</v>
      </c>
      <c r="X60" s="42" t="n">
        <v>0.575</v>
      </c>
      <c r="Y60" s="42" t="n">
        <v>0.522</v>
      </c>
      <c r="Z60" s="42" t="n">
        <v>0.5590000000000001</v>
      </c>
      <c r="AA60" s="43">
        <f>IFERROR(AVERAGE(V60:Z60),"")</f>
        <v/>
      </c>
      <c r="AB60" s="42" t="n">
        <v>0.471</v>
      </c>
      <c r="AC60" s="42" t="n">
        <v>0.481</v>
      </c>
      <c r="AD60" s="42" t="n">
        <v>0.575</v>
      </c>
      <c r="AE60" s="42" t="n">
        <v>0.522</v>
      </c>
      <c r="AF60" s="42" t="n">
        <v>0.5590000000000001</v>
      </c>
      <c r="AG60" s="43">
        <f>IFERROR(AVERAGE(AB60:AF60),"")</f>
        <v/>
      </c>
      <c r="AH60" s="42">
        <f>IFERROR(AG60-AA60,"")</f>
        <v/>
      </c>
      <c r="AI60" s="42">
        <f>IFERROR(AG60-O60,"")</f>
        <v/>
      </c>
    </row>
    <row r="61">
      <c r="A61" s="41" t="inlineStr">
        <is>
          <t>haberman</t>
        </is>
      </c>
      <c r="B61" s="42" t="inlineStr">
        <is>
          <t>asymmetric</t>
        </is>
      </c>
      <c r="C61" s="42" t="n">
        <v>0.2</v>
      </c>
      <c r="D61" s="42" t="n">
        <v>0.748</v>
      </c>
      <c r="E61" s="42" t="n">
        <v>0.735</v>
      </c>
      <c r="F61" s="42" t="n">
        <v>0.719</v>
      </c>
      <c r="G61" s="42" t="n">
        <v>0.732</v>
      </c>
      <c r="H61" s="42" t="n">
        <v>0.738</v>
      </c>
      <c r="I61" s="43">
        <f>IFERROR(AVERAGE(D61:H61),"")</f>
        <v/>
      </c>
      <c r="J61" s="42" t="n">
        <v>0.742</v>
      </c>
      <c r="K61" s="42" t="n">
        <v>0.739</v>
      </c>
      <c r="L61" s="42" t="n">
        <v>0.716</v>
      </c>
      <c r="M61" s="42" t="n">
        <v>0.749</v>
      </c>
      <c r="N61" s="42" t="n">
        <v>0.722</v>
      </c>
      <c r="O61" s="43">
        <f>IFERROR(AVERAGE(J61:N61),"")</f>
        <v/>
      </c>
      <c r="P61" s="42" t="n">
        <v>0.758</v>
      </c>
      <c r="Q61" s="42" t="n">
        <v>0.673</v>
      </c>
      <c r="R61" s="42" t="n">
        <v>0.651</v>
      </c>
      <c r="S61" s="42" t="n">
        <v>0.6870000000000001</v>
      </c>
      <c r="T61" s="42" t="n">
        <v>0.735</v>
      </c>
      <c r="U61" s="43">
        <f>IFERROR(AVERAGE(P61:T61),"")</f>
        <v/>
      </c>
      <c r="V61" s="42" t="n">
        <v>0.735</v>
      </c>
      <c r="W61" s="42" t="n">
        <v>0.716</v>
      </c>
      <c r="X61" s="42" t="n">
        <v>0.628</v>
      </c>
      <c r="Y61" s="42" t="n">
        <v>0.706</v>
      </c>
      <c r="Z61" s="42" t="n">
        <v>0.709</v>
      </c>
      <c r="AA61" s="43">
        <f>IFERROR(AVERAGE(V61:Z61),"")</f>
        <v/>
      </c>
      <c r="AB61" s="42" t="n">
        <v>0.735</v>
      </c>
      <c r="AC61" s="42" t="n">
        <v>0.716</v>
      </c>
      <c r="AD61" s="42" t="n">
        <v>0.628</v>
      </c>
      <c r="AE61" s="42" t="n">
        <v>0.706</v>
      </c>
      <c r="AF61" s="42" t="n">
        <v>0.709</v>
      </c>
      <c r="AG61" s="43">
        <f>IFERROR(AVERAGE(AB61:AF61),"")</f>
        <v/>
      </c>
      <c r="AH61" s="42">
        <f>IFERROR(AG61-AA61,"")</f>
        <v/>
      </c>
      <c r="AI61" s="42">
        <f>IFERROR(AG61-O61,"")</f>
        <v/>
      </c>
    </row>
    <row r="62">
      <c r="A62" s="41" t="inlineStr">
        <is>
          <t>haberman</t>
        </is>
      </c>
      <c r="B62" s="42" t="inlineStr">
        <is>
          <t>asymmetric</t>
        </is>
      </c>
      <c r="C62" s="42" t="n">
        <v>0.3</v>
      </c>
      <c r="D62" s="42" t="n">
        <v>0.716</v>
      </c>
      <c r="E62" s="42" t="n">
        <v>0.628</v>
      </c>
      <c r="F62" s="42" t="n">
        <v>0.614</v>
      </c>
      <c r="G62" s="42" t="n">
        <v>0.667</v>
      </c>
      <c r="H62" s="42" t="n">
        <v>0.591</v>
      </c>
      <c r="I62" s="43">
        <f>IFERROR(AVERAGE(D62:H62),"")</f>
        <v/>
      </c>
      <c r="J62" s="42" t="n">
        <v>0.663</v>
      </c>
      <c r="K62" s="42" t="n">
        <v>0.605</v>
      </c>
      <c r="L62" s="42" t="n">
        <v>0.634</v>
      </c>
      <c r="M62" s="42" t="n">
        <v>0.68</v>
      </c>
      <c r="N62" s="42" t="n">
        <v>0.611</v>
      </c>
      <c r="O62" s="43">
        <f>IFERROR(AVERAGE(J62:N62),"")</f>
        <v/>
      </c>
      <c r="P62" s="42" t="n">
        <v>0.598</v>
      </c>
      <c r="Q62" s="42" t="n">
        <v>0.615</v>
      </c>
      <c r="R62" s="42" t="n">
        <v>0.624</v>
      </c>
      <c r="S62" s="42" t="n">
        <v>0.635</v>
      </c>
      <c r="T62" s="42" t="n">
        <v>0.657</v>
      </c>
      <c r="U62" s="43">
        <f>IFERROR(AVERAGE(P62:T62),"")</f>
        <v/>
      </c>
      <c r="V62" s="42" t="n">
        <v>0.657</v>
      </c>
      <c r="W62" s="42" t="n">
        <v>0.556</v>
      </c>
      <c r="X62" s="42" t="n">
        <v>0.608</v>
      </c>
      <c r="Y62" s="42" t="n">
        <v>0.614</v>
      </c>
      <c r="Z62" s="42" t="n">
        <v>0.65</v>
      </c>
      <c r="AA62" s="43">
        <f>IFERROR(AVERAGE(V62:Z62),"")</f>
        <v/>
      </c>
      <c r="AB62" s="42" t="n">
        <v>0.657</v>
      </c>
      <c r="AC62" s="42" t="n">
        <v>0.556</v>
      </c>
      <c r="AD62" s="42" t="n">
        <v>0.608</v>
      </c>
      <c r="AE62" s="42" t="n">
        <v>0.614</v>
      </c>
      <c r="AF62" s="42" t="n">
        <v>0.65</v>
      </c>
      <c r="AG62" s="43">
        <f>IFERROR(AVERAGE(AB62:AF62),"")</f>
        <v/>
      </c>
      <c r="AH62" s="42">
        <f>IFERROR(AG62-AA62,"")</f>
        <v/>
      </c>
      <c r="AI62" s="42">
        <f>IFERROR(AG62-O62,"")</f>
        <v/>
      </c>
    </row>
    <row r="63">
      <c r="A63" s="41" t="inlineStr">
        <is>
          <t>haberman</t>
        </is>
      </c>
      <c r="B63" s="42" t="inlineStr">
        <is>
          <t>asymmetric</t>
        </is>
      </c>
      <c r="C63" s="42" t="n">
        <v>0.4</v>
      </c>
      <c r="D63" s="42" t="n">
        <v>0.481</v>
      </c>
      <c r="E63" s="42" t="n">
        <v>0.513</v>
      </c>
      <c r="F63" s="42" t="n">
        <v>0.483</v>
      </c>
      <c r="G63" s="42" t="n">
        <v>0.362</v>
      </c>
      <c r="H63" s="42" t="n">
        <v>0.503</v>
      </c>
      <c r="I63" s="43">
        <f>IFERROR(AVERAGE(D63:H63),"")</f>
        <v/>
      </c>
      <c r="J63" s="42" t="n">
        <v>0.431</v>
      </c>
      <c r="K63" s="42" t="n">
        <v>0.448</v>
      </c>
      <c r="L63" s="42" t="n">
        <v>0.48</v>
      </c>
      <c r="M63" s="42" t="n">
        <v>0.402</v>
      </c>
      <c r="N63" s="42" t="n">
        <v>0.529</v>
      </c>
      <c r="O63" s="43">
        <f>IFERROR(AVERAGE(J63:N63),"")</f>
        <v/>
      </c>
      <c r="P63" s="42" t="n">
        <v>0.412</v>
      </c>
      <c r="Q63" s="42" t="n">
        <v>0.424</v>
      </c>
      <c r="R63" s="42" t="n">
        <v>0.484</v>
      </c>
      <c r="S63" s="42" t="n">
        <v>0.382</v>
      </c>
      <c r="T63" s="42" t="n">
        <v>0.484</v>
      </c>
      <c r="U63" s="43">
        <f>IFERROR(AVERAGE(P63:T63),"")</f>
        <v/>
      </c>
      <c r="V63" s="42" t="n">
        <v>0.379</v>
      </c>
      <c r="W63" s="42" t="n">
        <v>0.366</v>
      </c>
      <c r="X63" s="42" t="n">
        <v>0.428</v>
      </c>
      <c r="Y63" s="42" t="n">
        <v>0.412</v>
      </c>
      <c r="Z63" s="42" t="n">
        <v>0.434</v>
      </c>
      <c r="AA63" s="43">
        <f>IFERROR(AVERAGE(V63:Z63),"")</f>
        <v/>
      </c>
      <c r="AB63" s="42" t="n">
        <v>0.379</v>
      </c>
      <c r="AC63" s="42" t="n">
        <v>0.366</v>
      </c>
      <c r="AD63" s="42" t="n">
        <v>0.428</v>
      </c>
      <c r="AE63" s="42" t="n">
        <v>0.412</v>
      </c>
      <c r="AF63" s="42" t="n">
        <v>0.434</v>
      </c>
      <c r="AG63" s="43">
        <f>IFERROR(AVERAGE(AB63:AF63),"")</f>
        <v/>
      </c>
      <c r="AH63" s="42">
        <f>IFERROR(AG63-AA63,"")</f>
        <v/>
      </c>
      <c r="AI63" s="42">
        <f>IFERROR(AG63-O63,"")</f>
        <v/>
      </c>
    </row>
    <row r="64">
      <c r="A64" s="41" t="inlineStr">
        <is>
          <t>haberman</t>
        </is>
      </c>
      <c r="B64" s="42" t="inlineStr">
        <is>
          <t>asymmetric</t>
        </is>
      </c>
      <c r="C64" s="42" t="n">
        <v>0.5</v>
      </c>
      <c r="D64" s="42" t="n">
        <v>0.313</v>
      </c>
      <c r="E64" s="42" t="n">
        <v>0.265</v>
      </c>
      <c r="F64" s="42" t="n">
        <v>0.297</v>
      </c>
      <c r="G64" s="42" t="n">
        <v>0.297</v>
      </c>
      <c r="H64" s="42" t="n">
        <v>0.274</v>
      </c>
      <c r="I64" s="43">
        <f>IFERROR(AVERAGE(D64:H64),"")</f>
        <v/>
      </c>
      <c r="J64" s="42" t="n">
        <v>0.32</v>
      </c>
      <c r="K64" s="42" t="n">
        <v>0.307</v>
      </c>
      <c r="L64" s="42" t="n">
        <v>0.317</v>
      </c>
      <c r="M64" s="42" t="n">
        <v>0.291</v>
      </c>
      <c r="N64" s="42" t="n">
        <v>0.297</v>
      </c>
      <c r="O64" s="43">
        <f>IFERROR(AVERAGE(J64:N64),"")</f>
        <v/>
      </c>
      <c r="P64" s="42" t="n"/>
      <c r="Q64" s="42" t="n"/>
      <c r="R64" s="42" t="n"/>
      <c r="S64" s="42" t="n"/>
      <c r="T64" s="42" t="n"/>
      <c r="U64" s="43">
        <f>IFERROR(AVERAGE(P64:T64),"")</f>
        <v/>
      </c>
      <c r="V64" s="42" t="n"/>
      <c r="W64" s="42" t="n"/>
      <c r="X64" s="42" t="n"/>
      <c r="Y64" s="42" t="n"/>
      <c r="Z64" s="42" t="n"/>
      <c r="AA64" s="43">
        <f>IFERROR(AVERAGE(V64:Z64),"")</f>
        <v/>
      </c>
      <c r="AB64" s="42" t="n">
        <v>0.506</v>
      </c>
      <c r="AC64" s="42" t="n">
        <v>0.418</v>
      </c>
      <c r="AD64" s="42" t="n">
        <v>0.448</v>
      </c>
      <c r="AE64" s="42" t="n">
        <v>0.484</v>
      </c>
      <c r="AF64" s="42" t="n">
        <v>0.493</v>
      </c>
      <c r="AG64" s="43">
        <f>IFERROR(AVERAGE(AB64:AF64),"")</f>
        <v/>
      </c>
      <c r="AH64" s="42">
        <f>IFERROR(AG64-AA64,"")</f>
        <v/>
      </c>
      <c r="AI64" s="42">
        <f>IFERROR(AG64-O64,"")</f>
        <v/>
      </c>
    </row>
    <row r="65">
      <c r="A65" s="41" t="inlineStr">
        <is>
          <t>haberman</t>
        </is>
      </c>
      <c r="B65" s="42" t="inlineStr">
        <is>
          <t>boundary</t>
        </is>
      </c>
      <c r="C65" s="42" t="n">
        <v>0.2</v>
      </c>
      <c r="D65" s="42" t="n">
        <v>0.762</v>
      </c>
      <c r="E65" s="42" t="n">
        <v>0.726</v>
      </c>
      <c r="F65" s="42" t="n">
        <v>0.742</v>
      </c>
      <c r="G65" s="42" t="n">
        <v>0.742</v>
      </c>
      <c r="H65" s="42" t="n">
        <v>0.742</v>
      </c>
      <c r="I65" s="43">
        <f>IFERROR(AVERAGE(D65:H65),"")</f>
        <v/>
      </c>
      <c r="J65" s="42" t="n">
        <v>0.748</v>
      </c>
      <c r="K65" s="42" t="n">
        <v>0.729</v>
      </c>
      <c r="L65" s="42" t="n">
        <v>0.735</v>
      </c>
      <c r="M65" s="42" t="n">
        <v>0.748</v>
      </c>
      <c r="N65" s="42" t="n">
        <v>0.742</v>
      </c>
      <c r="O65" s="43">
        <f>IFERROR(AVERAGE(J65:N65),"")</f>
        <v/>
      </c>
      <c r="P65" s="42" t="n"/>
      <c r="Q65" s="42" t="n"/>
      <c r="R65" s="42" t="n"/>
      <c r="S65" s="42" t="n"/>
      <c r="T65" s="42" t="n"/>
      <c r="U65" s="43">
        <f>IFERROR(AVERAGE(P65:T65),"")</f>
        <v/>
      </c>
      <c r="V65" s="42" t="n"/>
      <c r="W65" s="42" t="n"/>
      <c r="X65" s="42" t="n"/>
      <c r="Y65" s="42" t="n"/>
      <c r="Z65" s="42" t="n"/>
      <c r="AA65" s="43">
        <f>IFERROR(AVERAGE(V65:Z65),"")</f>
        <v/>
      </c>
      <c r="AB65" s="42" t="n">
        <v>0.503</v>
      </c>
      <c r="AC65" s="42" t="n">
        <v>0.491</v>
      </c>
      <c r="AD65" s="42" t="n">
        <v>0.493</v>
      </c>
      <c r="AE65" s="42" t="n">
        <v>0.487</v>
      </c>
      <c r="AF65" s="42" t="n">
        <v>0.494</v>
      </c>
      <c r="AG65" s="43">
        <f>IFERROR(AVERAGE(AB65:AF65),"")</f>
        <v/>
      </c>
      <c r="AH65" s="42">
        <f>IFERROR(AG65-AA65,"")</f>
        <v/>
      </c>
      <c r="AI65" s="42">
        <f>IFERROR(AG65-O65,"")</f>
        <v/>
      </c>
    </row>
    <row r="66">
      <c r="A66" s="41" t="inlineStr">
        <is>
          <t>haberman</t>
        </is>
      </c>
      <c r="B66" s="42" t="inlineStr">
        <is>
          <t>boundary</t>
        </is>
      </c>
      <c r="C66" s="42" t="n">
        <v>0.3</v>
      </c>
      <c r="D66" s="42" t="n">
        <v>0.6899999999999999</v>
      </c>
      <c r="E66" s="42" t="n">
        <v>0.6899999999999999</v>
      </c>
      <c r="F66" s="42" t="n">
        <v>0.673</v>
      </c>
      <c r="G66" s="42" t="n">
        <v>0.755</v>
      </c>
      <c r="H66" s="42" t="n">
        <v>0.6929999999999999</v>
      </c>
      <c r="I66" s="43">
        <f>IFERROR(AVERAGE(D66:H66),"")</f>
        <v/>
      </c>
      <c r="J66" s="42" t="n">
        <v>0.68</v>
      </c>
      <c r="K66" s="42" t="n">
        <v>0.719</v>
      </c>
      <c r="L66" s="42" t="n">
        <v>0.6860000000000001</v>
      </c>
      <c r="M66" s="42" t="n">
        <v>0.745</v>
      </c>
      <c r="N66" s="42" t="n">
        <v>0.6929999999999999</v>
      </c>
      <c r="O66" s="43">
        <f>IFERROR(AVERAGE(J66:N66),"")</f>
        <v/>
      </c>
      <c r="P66" s="42" t="n">
        <v>0.629</v>
      </c>
      <c r="Q66" s="42" t="n"/>
      <c r="R66" s="42" t="n">
        <v>0.508</v>
      </c>
      <c r="S66" s="42" t="n"/>
      <c r="T66" s="42" t="n"/>
      <c r="U66" s="43">
        <f>IFERROR(AVERAGE(P66:T66),"")</f>
        <v/>
      </c>
      <c r="V66" s="42" t="n">
        <v>0.597</v>
      </c>
      <c r="W66" s="42" t="n"/>
      <c r="X66" s="42" t="n">
        <v>0.459</v>
      </c>
      <c r="Y66" s="42" t="n"/>
      <c r="Z66" s="42" t="n"/>
      <c r="AA66" s="43">
        <f>IFERROR(AVERAGE(V66:Z66),"")</f>
        <v/>
      </c>
      <c r="AB66" s="42" t="n">
        <v>0.569</v>
      </c>
      <c r="AC66" s="42" t="n">
        <v>0.458</v>
      </c>
      <c r="AD66" s="42" t="n">
        <v>0.49</v>
      </c>
      <c r="AE66" s="42" t="n">
        <v>0.5</v>
      </c>
      <c r="AF66" s="42" t="n">
        <v>0.49</v>
      </c>
      <c r="AG66" s="43">
        <f>IFERROR(AVERAGE(AB66:AF66),"")</f>
        <v/>
      </c>
      <c r="AH66" s="42">
        <f>IFERROR(AG66-AA66,"")</f>
        <v/>
      </c>
      <c r="AI66" s="42">
        <f>IFERROR(AG66-O66,"")</f>
        <v/>
      </c>
    </row>
    <row r="67">
      <c r="A67" s="41" t="inlineStr">
        <is>
          <t>haberman</t>
        </is>
      </c>
      <c r="B67" s="42" t="inlineStr">
        <is>
          <t>boundary</t>
        </is>
      </c>
      <c r="C67" s="42" t="n">
        <v>0.4</v>
      </c>
      <c r="D67" s="42" t="n">
        <v>0.667</v>
      </c>
      <c r="E67" s="42" t="n">
        <v>0.615</v>
      </c>
      <c r="F67" s="42" t="n">
        <v>0.673</v>
      </c>
      <c r="G67" s="42" t="n">
        <v>0.647</v>
      </c>
      <c r="H67" s="42" t="n">
        <v>0.618</v>
      </c>
      <c r="I67" s="43">
        <f>IFERROR(AVERAGE(D67:H67),"")</f>
        <v/>
      </c>
      <c r="J67" s="42" t="n">
        <v>0.64</v>
      </c>
      <c r="K67" s="42" t="n">
        <v>0.611</v>
      </c>
      <c r="L67" s="42" t="n">
        <v>0.706</v>
      </c>
      <c r="M67" s="42" t="n">
        <v>0.637</v>
      </c>
      <c r="N67" s="42" t="n">
        <v>0.647</v>
      </c>
      <c r="O67" s="43">
        <f>IFERROR(AVERAGE(J67:N67),"")</f>
        <v/>
      </c>
      <c r="P67" s="42" t="n">
        <v>0.68</v>
      </c>
      <c r="Q67" s="42" t="n">
        <v>0.628</v>
      </c>
      <c r="R67" s="42" t="n">
        <v>0.654</v>
      </c>
      <c r="S67" s="42" t="n">
        <v>0.614</v>
      </c>
      <c r="T67" s="42" t="n">
        <v>0.647</v>
      </c>
      <c r="U67" s="43">
        <f>IFERROR(AVERAGE(P67:T67),"")</f>
        <v/>
      </c>
      <c r="V67" s="42" t="n">
        <v>0.673</v>
      </c>
      <c r="W67" s="42" t="n">
        <v>0.591</v>
      </c>
      <c r="X67" s="42" t="n">
        <v>0.637</v>
      </c>
      <c r="Y67" s="42" t="n">
        <v>0.647</v>
      </c>
      <c r="Z67" s="42" t="n">
        <v>0.618</v>
      </c>
      <c r="AA67" s="43">
        <f>IFERROR(AVERAGE(V67:Z67),"")</f>
        <v/>
      </c>
      <c r="AB67" s="42" t="n">
        <v>0.673</v>
      </c>
      <c r="AC67" s="42" t="n">
        <v>0.585</v>
      </c>
      <c r="AD67" s="42" t="n">
        <v>0.637</v>
      </c>
      <c r="AE67" s="42" t="n">
        <v>0.647</v>
      </c>
      <c r="AF67" s="42" t="n">
        <v>0.618</v>
      </c>
      <c r="AG67" s="43">
        <f>IFERROR(AVERAGE(AB67:AF67),"")</f>
        <v/>
      </c>
      <c r="AH67" s="42">
        <f>IFERROR(AG67-AA67,"")</f>
        <v/>
      </c>
      <c r="AI67" s="42">
        <f>IFERROR(AG67-O67,"")</f>
        <v/>
      </c>
    </row>
    <row r="68">
      <c r="A68" s="41" t="inlineStr">
        <is>
          <t>haberman</t>
        </is>
      </c>
      <c r="B68" s="42" t="inlineStr">
        <is>
          <t>boundary</t>
        </is>
      </c>
      <c r="C68" s="42" t="n">
        <v>0.5</v>
      </c>
      <c r="D68" s="42" t="n">
        <v>0.487</v>
      </c>
      <c r="E68" s="42" t="n">
        <v>0.487</v>
      </c>
      <c r="F68" s="42" t="n">
        <v>0.497</v>
      </c>
      <c r="G68" s="42" t="n">
        <v>0.5</v>
      </c>
      <c r="H68" s="42" t="n">
        <v>0.441</v>
      </c>
      <c r="I68" s="43">
        <f>IFERROR(AVERAGE(D68:H68),"")</f>
        <v/>
      </c>
      <c r="J68" s="42" t="n">
        <v>0.523</v>
      </c>
      <c r="K68" s="42" t="n">
        <v>0.517</v>
      </c>
      <c r="L68" s="42" t="n">
        <v>0.608</v>
      </c>
      <c r="M68" s="42" t="n">
        <v>0.468</v>
      </c>
      <c r="N68" s="42" t="n">
        <v>0.523</v>
      </c>
      <c r="O68" s="43">
        <f>IFERROR(AVERAGE(J68:N68),"")</f>
        <v/>
      </c>
      <c r="P68" s="42" t="n">
        <v>0.484</v>
      </c>
      <c r="Q68" s="42" t="n">
        <v>0.503</v>
      </c>
      <c r="R68" s="42" t="n">
        <v>0.543</v>
      </c>
      <c r="S68" s="42" t="n">
        <v>0.569</v>
      </c>
      <c r="T68" s="42" t="n">
        <v>0.48</v>
      </c>
      <c r="U68" s="43">
        <f>IFERROR(AVERAGE(P68:T68),"")</f>
        <v/>
      </c>
      <c r="V68" s="42" t="n">
        <v>0.582</v>
      </c>
      <c r="W68" s="42" t="n">
        <v>0.51</v>
      </c>
      <c r="X68" s="42" t="n">
        <v>0.53</v>
      </c>
      <c r="Y68" s="42" t="n">
        <v>0.527</v>
      </c>
      <c r="Z68" s="42" t="n">
        <v>0.486</v>
      </c>
      <c r="AA68" s="43">
        <f>IFERROR(AVERAGE(V68:Z68),"")</f>
        <v/>
      </c>
      <c r="AB68" s="42" t="n">
        <v>0.582</v>
      </c>
      <c r="AC68" s="42" t="n">
        <v>0.51</v>
      </c>
      <c r="AD68" s="42" t="n">
        <v>0.53</v>
      </c>
      <c r="AE68" s="42" t="n">
        <v>0.527</v>
      </c>
      <c r="AF68" s="42" t="n">
        <v>0.486</v>
      </c>
      <c r="AG68" s="43">
        <f>IFERROR(AVERAGE(AB68:AF68),"")</f>
        <v/>
      </c>
      <c r="AH68" s="42">
        <f>IFERROR(AG68-AA68,"")</f>
        <v/>
      </c>
      <c r="AI68" s="42">
        <f>IFERROR(AG68-O68,"")</f>
        <v/>
      </c>
    </row>
    <row r="69">
      <c r="A69" s="41" t="inlineStr">
        <is>
          <t>haberman</t>
        </is>
      </c>
      <c r="B69" s="42" t="inlineStr">
        <is>
          <t>far</t>
        </is>
      </c>
      <c r="C69" s="42" t="n">
        <v>0.2</v>
      </c>
      <c r="D69" s="42" t="n">
        <v>0.722</v>
      </c>
      <c r="E69" s="42" t="n">
        <v>0.748</v>
      </c>
      <c r="F69" s="42" t="n">
        <v>0.745</v>
      </c>
      <c r="G69" s="42" t="n">
        <v>0.709</v>
      </c>
      <c r="H69" s="42" t="n">
        <v>0.729</v>
      </c>
      <c r="I69" s="43">
        <f>IFERROR(AVERAGE(D69:H69),"")</f>
        <v/>
      </c>
      <c r="J69" s="42" t="n">
        <v>0.725</v>
      </c>
      <c r="K69" s="42" t="n">
        <v>0.765</v>
      </c>
      <c r="L69" s="42" t="n">
        <v>0.725</v>
      </c>
      <c r="M69" s="42" t="n">
        <v>0.739</v>
      </c>
      <c r="N69" s="42" t="n">
        <v>0.729</v>
      </c>
      <c r="O69" s="43">
        <f>IFERROR(AVERAGE(J69:N69),"")</f>
        <v/>
      </c>
      <c r="P69" s="42" t="n"/>
      <c r="Q69" s="42" t="n"/>
      <c r="R69" s="42" t="n"/>
      <c r="S69" s="42" t="n"/>
      <c r="T69" s="42" t="n"/>
      <c r="U69" s="43">
        <f>IFERROR(AVERAGE(P69:T69),"")</f>
        <v/>
      </c>
      <c r="V69" s="42" t="n"/>
      <c r="W69" s="42" t="n"/>
      <c r="X69" s="42" t="n"/>
      <c r="Y69" s="42" t="n"/>
      <c r="Z69" s="42" t="n"/>
      <c r="AA69" s="43">
        <f>IFERROR(AVERAGE(V69:Z69),"")</f>
        <v/>
      </c>
      <c r="AB69" s="42" t="n">
        <v>0.49</v>
      </c>
      <c r="AC69" s="42" t="n">
        <v>0.49</v>
      </c>
      <c r="AD69" s="42" t="n">
        <v>0.526</v>
      </c>
      <c r="AE69" s="42" t="n">
        <v>0.477</v>
      </c>
      <c r="AF69" s="42" t="n">
        <v>0.461</v>
      </c>
      <c r="AG69" s="43">
        <f>IFERROR(AVERAGE(AB69:AF69),"")</f>
        <v/>
      </c>
      <c r="AH69" s="42">
        <f>IFERROR(AG69-AA69,"")</f>
        <v/>
      </c>
      <c r="AI69" s="42">
        <f>IFERROR(AG69-O69,"")</f>
        <v/>
      </c>
    </row>
    <row r="70">
      <c r="A70" s="41" t="inlineStr">
        <is>
          <t>haberman</t>
        </is>
      </c>
      <c r="B70" s="42" t="inlineStr">
        <is>
          <t>far</t>
        </is>
      </c>
      <c r="C70" s="42" t="n">
        <v>0.3</v>
      </c>
      <c r="D70" s="42" t="n">
        <v>0.725</v>
      </c>
      <c r="E70" s="42" t="n">
        <v>0.709</v>
      </c>
      <c r="F70" s="42" t="n">
        <v>0.725</v>
      </c>
      <c r="G70" s="42" t="n">
        <v>0.6860000000000001</v>
      </c>
      <c r="H70" s="42" t="n">
        <v>0.748</v>
      </c>
      <c r="I70" s="43">
        <f>IFERROR(AVERAGE(D70:H70),"")</f>
        <v/>
      </c>
      <c r="J70" s="42" t="n">
        <v>0.735</v>
      </c>
      <c r="K70" s="42" t="n">
        <v>0.712</v>
      </c>
      <c r="L70" s="42" t="n">
        <v>0.735</v>
      </c>
      <c r="M70" s="42" t="n">
        <v>0.742</v>
      </c>
      <c r="N70" s="42" t="n">
        <v>0.748</v>
      </c>
      <c r="O70" s="43">
        <f>IFERROR(AVERAGE(J70:N70),"")</f>
        <v/>
      </c>
      <c r="P70" s="42" t="n">
        <v>0.705</v>
      </c>
      <c r="Q70" s="42" t="n">
        <v>0.549</v>
      </c>
      <c r="R70" s="42" t="n"/>
      <c r="S70" s="42" t="n">
        <v>0.82</v>
      </c>
      <c r="T70" s="42" t="n">
        <v>0.68</v>
      </c>
      <c r="U70" s="43">
        <f>IFERROR(AVERAGE(P70:T70),"")</f>
        <v/>
      </c>
      <c r="V70" s="42" t="n">
        <v>0.59</v>
      </c>
      <c r="W70" s="42" t="n">
        <v>0.648</v>
      </c>
      <c r="X70" s="42" t="n"/>
      <c r="Y70" s="42" t="n">
        <v>0.803</v>
      </c>
      <c r="Z70" s="42" t="n">
        <v>0.705</v>
      </c>
      <c r="AA70" s="43">
        <f>IFERROR(AVERAGE(V70:Z70),"")</f>
        <v/>
      </c>
      <c r="AB70" s="42" t="n">
        <v>0.516</v>
      </c>
      <c r="AC70" s="42" t="n">
        <v>0.5590000000000001</v>
      </c>
      <c r="AD70" s="42" t="n">
        <v>0.503</v>
      </c>
      <c r="AE70" s="42" t="n">
        <v>0.5590000000000001</v>
      </c>
      <c r="AF70" s="42" t="n">
        <v>0.5620000000000001</v>
      </c>
      <c r="AG70" s="43">
        <f>IFERROR(AVERAGE(AB70:AF70),"")</f>
        <v/>
      </c>
      <c r="AH70" s="42">
        <f>IFERROR(AG70-AA70,"")</f>
        <v/>
      </c>
      <c r="AI70" s="42">
        <f>IFERROR(AG70-O70,"")</f>
        <v/>
      </c>
    </row>
    <row r="71">
      <c r="A71" s="41" t="inlineStr">
        <is>
          <t>haberman</t>
        </is>
      </c>
      <c r="B71" s="42" t="inlineStr">
        <is>
          <t>far</t>
        </is>
      </c>
      <c r="C71" s="42" t="n">
        <v>0.4</v>
      </c>
      <c r="D71" s="42" t="n">
        <v>0.677</v>
      </c>
      <c r="E71" s="42" t="n">
        <v>0.624</v>
      </c>
      <c r="F71" s="42" t="n">
        <v>0.627</v>
      </c>
      <c r="G71" s="42" t="n">
        <v>0.6830000000000001</v>
      </c>
      <c r="H71" s="42" t="n">
        <v>0.588</v>
      </c>
      <c r="I71" s="43">
        <f>IFERROR(AVERAGE(D71:H71),"")</f>
        <v/>
      </c>
      <c r="J71" s="42" t="n">
        <v>0.745</v>
      </c>
      <c r="K71" s="42" t="n">
        <v>0.65</v>
      </c>
      <c r="L71" s="42" t="n">
        <v>0.627</v>
      </c>
      <c r="M71" s="42" t="n">
        <v>0.634</v>
      </c>
      <c r="N71" s="42" t="n">
        <v>0.578</v>
      </c>
      <c r="O71" s="43">
        <f>IFERROR(AVERAGE(J71:N71),"")</f>
        <v/>
      </c>
      <c r="P71" s="42" t="n">
        <v>0.706</v>
      </c>
      <c r="Q71" s="42" t="n">
        <v>0.618</v>
      </c>
      <c r="R71" s="42" t="n">
        <v>0.631</v>
      </c>
      <c r="S71" s="42" t="n">
        <v>0.694</v>
      </c>
      <c r="T71" s="42" t="n">
        <v>0.49</v>
      </c>
      <c r="U71" s="43">
        <f>IFERROR(AVERAGE(P71:T71),"")</f>
        <v/>
      </c>
      <c r="V71" s="42" t="n">
        <v>0.66</v>
      </c>
      <c r="W71" s="42" t="n">
        <v>0.625</v>
      </c>
      <c r="X71" s="42" t="n">
        <v>0.667</v>
      </c>
      <c r="Y71" s="42" t="n">
        <v>0.674</v>
      </c>
      <c r="Z71" s="42" t="n">
        <v>0.552</v>
      </c>
      <c r="AA71" s="43">
        <f>IFERROR(AVERAGE(V71:Z71),"")</f>
        <v/>
      </c>
      <c r="AB71" s="42" t="n">
        <v>0.66</v>
      </c>
      <c r="AC71" s="42" t="n">
        <v>0.625</v>
      </c>
      <c r="AD71" s="42" t="n">
        <v>0.667</v>
      </c>
      <c r="AE71" s="42" t="n">
        <v>0.654</v>
      </c>
      <c r="AF71" s="42" t="n">
        <v>0.552</v>
      </c>
      <c r="AG71" s="43">
        <f>IFERROR(AVERAGE(AB71:AF71),"")</f>
        <v/>
      </c>
      <c r="AH71" s="42">
        <f>IFERROR(AG71-AA71,"")</f>
        <v/>
      </c>
      <c r="AI71" s="42">
        <f>IFERROR(AG71-O71,"")</f>
        <v/>
      </c>
    </row>
    <row r="72">
      <c r="A72" s="41" t="inlineStr">
        <is>
          <t>haberman</t>
        </is>
      </c>
      <c r="B72" s="42" t="inlineStr">
        <is>
          <t>far</t>
        </is>
      </c>
      <c r="C72" s="42" t="n">
        <v>0.5</v>
      </c>
      <c r="D72" s="42" t="n">
        <v>0.543</v>
      </c>
      <c r="E72" s="42" t="n">
        <v>0.571</v>
      </c>
      <c r="F72" s="42" t="n">
        <v>0.414</v>
      </c>
      <c r="G72" s="42" t="n">
        <v>0.441</v>
      </c>
      <c r="H72" s="42" t="n">
        <v>0.457</v>
      </c>
      <c r="I72" s="43">
        <f>IFERROR(AVERAGE(D72:H72),"")</f>
        <v/>
      </c>
      <c r="J72" s="42" t="n">
        <v>0.506</v>
      </c>
      <c r="K72" s="42" t="n">
        <v>0.5679999999999999</v>
      </c>
      <c r="L72" s="42" t="n">
        <v>0.477</v>
      </c>
      <c r="M72" s="42" t="n">
        <v>0.451</v>
      </c>
      <c r="N72" s="42" t="n">
        <v>0.474</v>
      </c>
      <c r="O72" s="43">
        <f>IFERROR(AVERAGE(J72:N72),"")</f>
        <v/>
      </c>
      <c r="P72" s="42" t="n">
        <v>0.451</v>
      </c>
      <c r="Q72" s="42" t="n">
        <v>0.595</v>
      </c>
      <c r="R72" s="42" t="n">
        <v>0.484</v>
      </c>
      <c r="S72" s="42" t="n">
        <v>0.395</v>
      </c>
      <c r="T72" s="42" t="n">
        <v>0.497</v>
      </c>
      <c r="U72" s="43">
        <f>IFERROR(AVERAGE(P72:T72),"")</f>
        <v/>
      </c>
      <c r="V72" s="42" t="n">
        <v>0.513</v>
      </c>
      <c r="W72" s="42" t="n">
        <v>0.608</v>
      </c>
      <c r="X72" s="42" t="n">
        <v>0.454</v>
      </c>
      <c r="Y72" s="42" t="n">
        <v>0.438</v>
      </c>
      <c r="Z72" s="42" t="n">
        <v>0.445</v>
      </c>
      <c r="AA72" s="43">
        <f>IFERROR(AVERAGE(V72:Z72),"")</f>
        <v/>
      </c>
      <c r="AB72" s="42" t="n">
        <v>0.513</v>
      </c>
      <c r="AC72" s="42" t="n">
        <v>0.608</v>
      </c>
      <c r="AD72" s="42" t="n">
        <v>0.454</v>
      </c>
      <c r="AE72" s="42" t="n">
        <v>0.438</v>
      </c>
      <c r="AF72" s="42" t="n">
        <v>0.445</v>
      </c>
      <c r="AG72" s="43">
        <f>IFERROR(AVERAGE(AB72:AF72),"")</f>
        <v/>
      </c>
      <c r="AH72" s="42">
        <f>IFERROR(AG72-AA72,"")</f>
        <v/>
      </c>
      <c r="AI72" s="42">
        <f>IFERROR(AG72-O72,"")</f>
        <v/>
      </c>
    </row>
    <row r="73">
      <c r="A73" s="41" t="inlineStr">
        <is>
          <t>heart</t>
        </is>
      </c>
      <c r="B73" s="42" t="inlineStr">
        <is>
          <t>(clean)</t>
        </is>
      </c>
      <c r="C73" s="42" t="n">
        <v>0</v>
      </c>
      <c r="D73" s="42" t="n">
        <v>0.794</v>
      </c>
      <c r="E73" s="42" t="n">
        <v>0.8179999999999999</v>
      </c>
      <c r="F73" s="42" t="n">
        <v>0.775</v>
      </c>
      <c r="G73" s="42" t="n">
        <v>0.828</v>
      </c>
      <c r="H73" s="42" t="n">
        <v>0.838</v>
      </c>
      <c r="I73" s="43">
        <f>IFERROR(AVERAGE(D73:H73),"")</f>
        <v/>
      </c>
      <c r="J73" s="42" t="n">
        <v>0.8179999999999999</v>
      </c>
      <c r="K73" s="42" t="n">
        <v>0.822</v>
      </c>
      <c r="L73" s="42" t="n">
        <v>0.795</v>
      </c>
      <c r="M73" s="42" t="n">
        <v>0.798</v>
      </c>
      <c r="N73" s="42" t="n">
        <v>0.8179999999999999</v>
      </c>
      <c r="O73" s="43">
        <f>IFERROR(AVERAGE(J73:N73),"")</f>
        <v/>
      </c>
      <c r="P73" s="42" t="n">
        <v>0.8080000000000001</v>
      </c>
      <c r="Q73" s="42" t="n">
        <v>0.791</v>
      </c>
      <c r="R73" s="42" t="n">
        <v>0.785</v>
      </c>
      <c r="S73" s="42" t="n">
        <v>0.804</v>
      </c>
      <c r="T73" s="42" t="n">
        <v>0.795</v>
      </c>
      <c r="U73" s="43">
        <f>IFERROR(AVERAGE(P73:T73),"")</f>
        <v/>
      </c>
      <c r="V73" s="42" t="n">
        <v>0.785</v>
      </c>
      <c r="W73" s="42" t="n">
        <v>0.791</v>
      </c>
      <c r="X73" s="42" t="n">
        <v>0.792</v>
      </c>
      <c r="Y73" s="42" t="n">
        <v>0.795</v>
      </c>
      <c r="Z73" s="42" t="n">
        <v>0.791</v>
      </c>
      <c r="AA73" s="43">
        <f>IFERROR(AVERAGE(V73:Z73),"")</f>
        <v/>
      </c>
      <c r="AB73" s="42" t="n">
        <v>0.785</v>
      </c>
      <c r="AC73" s="42" t="n">
        <v>0.791</v>
      </c>
      <c r="AD73" s="42" t="n">
        <v>0.792</v>
      </c>
      <c r="AE73" s="42" t="n">
        <v>0.795</v>
      </c>
      <c r="AF73" s="42" t="n">
        <v>0.791</v>
      </c>
      <c r="AG73" s="43">
        <f>IFERROR(AVERAGE(AB73:AF73),"")</f>
        <v/>
      </c>
      <c r="AH73" s="42">
        <f>IFERROR(AG73-AA73,"")</f>
        <v/>
      </c>
      <c r="AI73" s="42">
        <f>IFERROR(AG73-O73,"")</f>
        <v/>
      </c>
    </row>
    <row r="74">
      <c r="A74" s="41" t="inlineStr">
        <is>
          <t>heart</t>
        </is>
      </c>
      <c r="B74" s="42" t="inlineStr">
        <is>
          <t>symmetric</t>
        </is>
      </c>
      <c r="C74" s="42" t="n">
        <v>0.2</v>
      </c>
      <c r="D74" s="42" t="n">
        <v>0.717</v>
      </c>
      <c r="E74" s="42" t="n">
        <v>0.724</v>
      </c>
      <c r="F74" s="42" t="n">
        <v>0.761</v>
      </c>
      <c r="G74" s="42" t="n">
        <v>0.727</v>
      </c>
      <c r="H74" s="42" t="n">
        <v>0.805</v>
      </c>
      <c r="I74" s="43">
        <f>IFERROR(AVERAGE(D74:H74),"")</f>
        <v/>
      </c>
      <c r="J74" s="42" t="n">
        <v>0.727</v>
      </c>
      <c r="K74" s="42" t="n">
        <v>0.771</v>
      </c>
      <c r="L74" s="42" t="n">
        <v>0.741</v>
      </c>
      <c r="M74" s="42" t="n">
        <v>0.764</v>
      </c>
      <c r="N74" s="42" t="n">
        <v>0.794</v>
      </c>
      <c r="O74" s="43">
        <f>IFERROR(AVERAGE(J74:N74),"")</f>
        <v/>
      </c>
      <c r="P74" s="42" t="n">
        <v>0.801</v>
      </c>
      <c r="Q74" s="42" t="n">
        <v>0.764</v>
      </c>
      <c r="R74" s="42" t="n">
        <v>0.785</v>
      </c>
      <c r="S74" s="42" t="n">
        <v>0.8080000000000001</v>
      </c>
      <c r="T74" s="42" t="n">
        <v>0.795</v>
      </c>
      <c r="U74" s="43">
        <f>IFERROR(AVERAGE(P74:T74),"")</f>
        <v/>
      </c>
      <c r="V74" s="42" t="n">
        <v>0.8080000000000001</v>
      </c>
      <c r="W74" s="42" t="n">
        <v>0.778</v>
      </c>
      <c r="X74" s="42" t="n">
        <v>0.798</v>
      </c>
      <c r="Y74" s="42" t="n">
        <v>0.825</v>
      </c>
      <c r="Z74" s="42" t="n">
        <v>0.791</v>
      </c>
      <c r="AA74" s="43">
        <f>IFERROR(AVERAGE(V74:Z74),"")</f>
        <v/>
      </c>
      <c r="AB74" s="42" t="n">
        <v>0.8080000000000001</v>
      </c>
      <c r="AC74" s="42" t="n">
        <v>0.778</v>
      </c>
      <c r="AD74" s="42" t="n">
        <v>0.798</v>
      </c>
      <c r="AE74" s="42" t="n">
        <v>0.825</v>
      </c>
      <c r="AF74" s="42" t="n">
        <v>0.791</v>
      </c>
      <c r="AG74" s="43">
        <f>IFERROR(AVERAGE(AB74:AF74),"")</f>
        <v/>
      </c>
      <c r="AH74" s="42">
        <f>IFERROR(AG74-AA74,"")</f>
        <v/>
      </c>
      <c r="AI74" s="42">
        <f>IFERROR(AG74-O74,"")</f>
        <v/>
      </c>
    </row>
    <row r="75">
      <c r="A75" s="41" t="inlineStr">
        <is>
          <t>heart</t>
        </is>
      </c>
      <c r="B75" s="42" t="inlineStr">
        <is>
          <t>symmetric</t>
        </is>
      </c>
      <c r="C75" s="42" t="n">
        <v>0.3</v>
      </c>
      <c r="D75" s="42" t="n">
        <v>0.741</v>
      </c>
      <c r="E75" s="42" t="n">
        <v>0.6870000000000001</v>
      </c>
      <c r="F75" s="42" t="n">
        <v>0.711</v>
      </c>
      <c r="G75" s="42" t="n">
        <v>0.6899999999999999</v>
      </c>
      <c r="H75" s="42" t="n">
        <v>0.68</v>
      </c>
      <c r="I75" s="43">
        <f>IFERROR(AVERAGE(D75:H75),"")</f>
        <v/>
      </c>
      <c r="J75" s="42" t="n">
        <v>0.72</v>
      </c>
      <c r="K75" s="42" t="n">
        <v>0.704</v>
      </c>
      <c r="L75" s="42" t="n">
        <v>0.788</v>
      </c>
      <c r="M75" s="42" t="n">
        <v>0.724</v>
      </c>
      <c r="N75" s="42" t="n">
        <v>0.727</v>
      </c>
      <c r="O75" s="43">
        <f>IFERROR(AVERAGE(J75:N75),"")</f>
        <v/>
      </c>
      <c r="P75" s="42" t="n">
        <v>0.761</v>
      </c>
      <c r="Q75" s="42" t="n">
        <v>0.697</v>
      </c>
      <c r="R75" s="42" t="n">
        <v>0.761</v>
      </c>
      <c r="S75" s="42" t="n">
        <v>0.747</v>
      </c>
      <c r="T75" s="42" t="n">
        <v>0.768</v>
      </c>
      <c r="U75" s="43">
        <f>IFERROR(AVERAGE(P75:T75),"")</f>
        <v/>
      </c>
      <c r="V75" s="42" t="n">
        <v>0.764</v>
      </c>
      <c r="W75" s="42" t="n">
        <v>0.6840000000000001</v>
      </c>
      <c r="X75" s="42" t="n">
        <v>0.771</v>
      </c>
      <c r="Y75" s="42" t="n">
        <v>0.751</v>
      </c>
      <c r="Z75" s="42" t="n">
        <v>0.754</v>
      </c>
      <c r="AA75" s="43">
        <f>IFERROR(AVERAGE(V75:Z75),"")</f>
        <v/>
      </c>
      <c r="AB75" s="42" t="n">
        <v>0.764</v>
      </c>
      <c r="AC75" s="42" t="n">
        <v>0.6840000000000001</v>
      </c>
      <c r="AD75" s="42" t="n">
        <v>0.771</v>
      </c>
      <c r="AE75" s="42" t="n">
        <v>0.751</v>
      </c>
      <c r="AF75" s="42" t="n">
        <v>0.754</v>
      </c>
      <c r="AG75" s="43">
        <f>IFERROR(AVERAGE(AB75:AF75),"")</f>
        <v/>
      </c>
      <c r="AH75" s="42">
        <f>IFERROR(AG75-AA75,"")</f>
        <v/>
      </c>
      <c r="AI75" s="42">
        <f>IFERROR(AG75-O75,"")</f>
        <v/>
      </c>
    </row>
    <row r="76">
      <c r="A76" s="41" t="inlineStr">
        <is>
          <t>heart</t>
        </is>
      </c>
      <c r="B76" s="42" t="inlineStr">
        <is>
          <t>symmetric</t>
        </is>
      </c>
      <c r="C76" s="42" t="n">
        <v>0.4</v>
      </c>
      <c r="D76" s="42" t="n">
        <v>0.606</v>
      </c>
      <c r="E76" s="42" t="n">
        <v>0.613</v>
      </c>
      <c r="F76" s="42" t="n">
        <v>0.603</v>
      </c>
      <c r="G76" s="42" t="n">
        <v>0.613</v>
      </c>
      <c r="H76" s="42" t="n">
        <v>0.653</v>
      </c>
      <c r="I76" s="43">
        <f>IFERROR(AVERAGE(D76:H76),"")</f>
        <v/>
      </c>
      <c r="J76" s="42" t="n">
        <v>0.556</v>
      </c>
      <c r="K76" s="42" t="n">
        <v>0.626</v>
      </c>
      <c r="L76" s="42" t="n">
        <v>0.587</v>
      </c>
      <c r="M76" s="42" t="n">
        <v>0.633</v>
      </c>
      <c r="N76" s="42" t="n">
        <v>0.673</v>
      </c>
      <c r="O76" s="43">
        <f>IFERROR(AVERAGE(J76:N76),"")</f>
        <v/>
      </c>
      <c r="P76" s="42" t="n">
        <v>0.525</v>
      </c>
      <c r="Q76" s="42" t="n">
        <v>0.596</v>
      </c>
      <c r="R76" s="42" t="n">
        <v>0.582</v>
      </c>
      <c r="S76" s="42" t="n">
        <v>0.632</v>
      </c>
      <c r="T76" s="42" t="n">
        <v>0.661</v>
      </c>
      <c r="U76" s="43">
        <f>IFERROR(AVERAGE(P76:T76),"")</f>
        <v/>
      </c>
      <c r="V76" s="42" t="n">
        <v>0.582</v>
      </c>
      <c r="W76" s="42" t="n">
        <v>0.654</v>
      </c>
      <c r="X76" s="42" t="n">
        <v>0.596</v>
      </c>
      <c r="Y76" s="42" t="n">
        <v>0.646</v>
      </c>
      <c r="Z76" s="42" t="n">
        <v>0.664</v>
      </c>
      <c r="AA76" s="43">
        <f>IFERROR(AVERAGE(V76:Z76),"")</f>
        <v/>
      </c>
      <c r="AB76" s="42" t="n">
        <v>0.582</v>
      </c>
      <c r="AC76" s="42" t="n">
        <v>0.654</v>
      </c>
      <c r="AD76" s="42" t="n">
        <v>0.596</v>
      </c>
      <c r="AE76" s="42" t="n">
        <v>0.646</v>
      </c>
      <c r="AF76" s="42" t="n">
        <v>0.664</v>
      </c>
      <c r="AG76" s="43">
        <f>IFERROR(AVERAGE(AB76:AF76),"")</f>
        <v/>
      </c>
      <c r="AH76" s="42">
        <f>IFERROR(AG76-AA76,"")</f>
        <v/>
      </c>
      <c r="AI76" s="42">
        <f>IFERROR(AG76-O76,"")</f>
        <v/>
      </c>
    </row>
    <row r="77">
      <c r="A77" s="41" t="inlineStr">
        <is>
          <t>heart</t>
        </is>
      </c>
      <c r="B77" s="42" t="inlineStr">
        <is>
          <t>symmetric</t>
        </is>
      </c>
      <c r="C77" s="42" t="n">
        <v>0.5</v>
      </c>
      <c r="D77" s="42" t="n">
        <v>0.441</v>
      </c>
      <c r="E77" s="42" t="n">
        <v>0.434</v>
      </c>
      <c r="F77" s="42" t="n">
        <v>0.555</v>
      </c>
      <c r="G77" s="42" t="n">
        <v>0.478</v>
      </c>
      <c r="H77" s="42" t="n">
        <v>0.522</v>
      </c>
      <c r="I77" s="43">
        <f>IFERROR(AVERAGE(D77:H77),"")</f>
        <v/>
      </c>
      <c r="J77" s="42" t="n">
        <v>0.522</v>
      </c>
      <c r="K77" s="42" t="n">
        <v>0.484</v>
      </c>
      <c r="L77" s="42" t="n">
        <v>0.492</v>
      </c>
      <c r="M77" s="42" t="n">
        <v>0.596</v>
      </c>
      <c r="N77" s="42" t="n">
        <v>0.421</v>
      </c>
      <c r="O77" s="43">
        <f>IFERROR(AVERAGE(J77:N77),"")</f>
        <v/>
      </c>
      <c r="P77" s="42" t="n">
        <v>0.529</v>
      </c>
      <c r="Q77" s="42" t="n">
        <v>0.471</v>
      </c>
      <c r="R77" s="42" t="n">
        <v>0.515</v>
      </c>
      <c r="S77" s="42" t="n">
        <v>0.572</v>
      </c>
      <c r="T77" s="42" t="n">
        <v>0.508</v>
      </c>
      <c r="U77" s="43">
        <f>IFERROR(AVERAGE(P77:T77),"")</f>
        <v/>
      </c>
      <c r="V77" s="42" t="n">
        <v>0.526</v>
      </c>
      <c r="W77" s="42" t="n">
        <v>0.475</v>
      </c>
      <c r="X77" s="42" t="n">
        <v>0.484</v>
      </c>
      <c r="Y77" s="42" t="n">
        <v>0.596</v>
      </c>
      <c r="Z77" s="42" t="n">
        <v>0.496</v>
      </c>
      <c r="AA77" s="43">
        <f>IFERROR(AVERAGE(V77:Z77),"")</f>
        <v/>
      </c>
      <c r="AB77" s="42" t="n">
        <v>0.526</v>
      </c>
      <c r="AC77" s="42" t="n">
        <v>0.475</v>
      </c>
      <c r="AD77" s="42" t="n">
        <v>0.484</v>
      </c>
      <c r="AE77" s="42" t="n">
        <v>0.596</v>
      </c>
      <c r="AF77" s="42" t="n">
        <v>0.496</v>
      </c>
      <c r="AG77" s="43">
        <f>IFERROR(AVERAGE(AB77:AF77),"")</f>
        <v/>
      </c>
      <c r="AH77" s="42">
        <f>IFERROR(AG77-AA77,"")</f>
        <v/>
      </c>
      <c r="AI77" s="42">
        <f>IFERROR(AG77-O77,"")</f>
        <v/>
      </c>
    </row>
    <row r="78">
      <c r="A78" s="41" t="inlineStr">
        <is>
          <t>heart</t>
        </is>
      </c>
      <c r="B78" s="42" t="inlineStr">
        <is>
          <t>asymmetric</t>
        </is>
      </c>
      <c r="C78" s="42" t="n">
        <v>0.2</v>
      </c>
      <c r="D78" s="42" t="n">
        <v>0.757</v>
      </c>
      <c r="E78" s="42" t="n">
        <v>0.747</v>
      </c>
      <c r="F78" s="42" t="n">
        <v>0.761</v>
      </c>
      <c r="G78" s="42" t="n">
        <v>0.747</v>
      </c>
      <c r="H78" s="42" t="n">
        <v>0.781</v>
      </c>
      <c r="I78" s="43">
        <f>IFERROR(AVERAGE(D78:H78),"")</f>
        <v/>
      </c>
      <c r="J78" s="42" t="n">
        <v>0.754</v>
      </c>
      <c r="K78" s="42" t="n">
        <v>0.754</v>
      </c>
      <c r="L78" s="42" t="n">
        <v>0.761</v>
      </c>
      <c r="M78" s="42" t="n">
        <v>0.764</v>
      </c>
      <c r="N78" s="42" t="n">
        <v>0.757</v>
      </c>
      <c r="O78" s="43">
        <f>IFERROR(AVERAGE(J78:N78),"")</f>
        <v/>
      </c>
      <c r="P78" s="42" t="n">
        <v>0.761</v>
      </c>
      <c r="Q78" s="42" t="n">
        <v>0.791</v>
      </c>
      <c r="R78" s="42" t="n">
        <v>0.771</v>
      </c>
      <c r="S78" s="42" t="n">
        <v>0.727</v>
      </c>
      <c r="T78" s="42" t="n">
        <v>0.795</v>
      </c>
      <c r="U78" s="43">
        <f>IFERROR(AVERAGE(P78:T78),"")</f>
        <v/>
      </c>
      <c r="V78" s="42" t="n">
        <v>0.761</v>
      </c>
      <c r="W78" s="42" t="n">
        <v>0.791</v>
      </c>
      <c r="X78" s="42" t="n">
        <v>0.798</v>
      </c>
      <c r="Y78" s="42" t="n">
        <v>0.737</v>
      </c>
      <c r="Z78" s="42" t="n">
        <v>0.791</v>
      </c>
      <c r="AA78" s="43">
        <f>IFERROR(AVERAGE(V78:Z78),"")</f>
        <v/>
      </c>
      <c r="AB78" s="42" t="n">
        <v>0.761</v>
      </c>
      <c r="AC78" s="42" t="n">
        <v>0.791</v>
      </c>
      <c r="AD78" s="42" t="n">
        <v>0.798</v>
      </c>
      <c r="AE78" s="42" t="n">
        <v>0.737</v>
      </c>
      <c r="AF78" s="42" t="n">
        <v>0.791</v>
      </c>
      <c r="AG78" s="43">
        <f>IFERROR(AVERAGE(AB78:AF78),"")</f>
        <v/>
      </c>
      <c r="AH78" s="42">
        <f>IFERROR(AG78-AA78,"")</f>
        <v/>
      </c>
      <c r="AI78" s="42">
        <f>IFERROR(AG78-O78,"")</f>
        <v/>
      </c>
    </row>
    <row r="79">
      <c r="A79" s="41" t="inlineStr">
        <is>
          <t>heart</t>
        </is>
      </c>
      <c r="B79" s="42" t="inlineStr">
        <is>
          <t>asymmetric</t>
        </is>
      </c>
      <c r="C79" s="42" t="n">
        <v>0.3</v>
      </c>
      <c r="D79" s="42" t="n">
        <v>0.717</v>
      </c>
      <c r="E79" s="42" t="n">
        <v>0.737</v>
      </c>
      <c r="F79" s="42" t="n">
        <v>0.718</v>
      </c>
      <c r="G79" s="42" t="n">
        <v>0.74</v>
      </c>
      <c r="H79" s="42" t="n">
        <v>0.781</v>
      </c>
      <c r="I79" s="43">
        <f>IFERROR(AVERAGE(D79:H79),"")</f>
        <v/>
      </c>
      <c r="J79" s="42" t="n">
        <v>0.737</v>
      </c>
      <c r="K79" s="42" t="n">
        <v>0.717</v>
      </c>
      <c r="L79" s="42" t="n">
        <v>0.791</v>
      </c>
      <c r="M79" s="42" t="n">
        <v>0.717</v>
      </c>
      <c r="N79" s="42" t="n">
        <v>0.727</v>
      </c>
      <c r="O79" s="43">
        <f>IFERROR(AVERAGE(J79:N79),"")</f>
        <v/>
      </c>
      <c r="P79" s="42" t="n"/>
      <c r="Q79" s="42" t="n"/>
      <c r="R79" s="42" t="n"/>
      <c r="S79" s="42" t="n"/>
      <c r="T79" s="42" t="n"/>
      <c r="U79" s="43">
        <f>IFERROR(AVERAGE(P79:T79),"")</f>
        <v/>
      </c>
      <c r="V79" s="42" t="n"/>
      <c r="W79" s="42" t="n"/>
      <c r="X79" s="42" t="n"/>
      <c r="Y79" s="42" t="n"/>
      <c r="Z79" s="42" t="n"/>
      <c r="AA79" s="43">
        <f>IFERROR(AVERAGE(V79:Z79),"")</f>
        <v/>
      </c>
      <c r="AB79" s="42" t="n">
        <v>0.747</v>
      </c>
      <c r="AC79" s="42" t="n">
        <v>0.741</v>
      </c>
      <c r="AD79" s="42" t="n">
        <v>0.711</v>
      </c>
      <c r="AE79" s="42" t="n">
        <v>0.754</v>
      </c>
      <c r="AF79" s="42" t="n">
        <v>0.747</v>
      </c>
      <c r="AG79" s="43">
        <f>IFERROR(AVERAGE(AB79:AF79),"")</f>
        <v/>
      </c>
      <c r="AH79" s="42">
        <f>IFERROR(AG79-AA79,"")</f>
        <v/>
      </c>
      <c r="AI79" s="42">
        <f>IFERROR(AG79-O79,"")</f>
        <v/>
      </c>
    </row>
    <row r="80">
      <c r="A80" s="41" t="inlineStr">
        <is>
          <t>heart</t>
        </is>
      </c>
      <c r="B80" s="42" t="inlineStr">
        <is>
          <t>asymmetric</t>
        </is>
      </c>
      <c r="C80" s="42" t="n">
        <v>0.4</v>
      </c>
      <c r="D80" s="42" t="n">
        <v>0.68</v>
      </c>
      <c r="E80" s="42" t="n">
        <v>0.673</v>
      </c>
      <c r="F80" s="42" t="n">
        <v>0.664</v>
      </c>
      <c r="G80" s="42" t="n">
        <v>0.704</v>
      </c>
      <c r="H80" s="42" t="n">
        <v>0.694</v>
      </c>
      <c r="I80" s="43">
        <f>IFERROR(AVERAGE(D80:H80),"")</f>
        <v/>
      </c>
      <c r="J80" s="42" t="n">
        <v>0.677</v>
      </c>
      <c r="K80" s="42" t="n">
        <v>0.674</v>
      </c>
      <c r="L80" s="42" t="n">
        <v>0.7</v>
      </c>
      <c r="M80" s="42" t="n">
        <v>0.707</v>
      </c>
      <c r="N80" s="42" t="n">
        <v>0.72</v>
      </c>
      <c r="O80" s="43">
        <f>IFERROR(AVERAGE(J80:N80),"")</f>
        <v/>
      </c>
      <c r="P80" s="42" t="n"/>
      <c r="Q80" s="42" t="n"/>
      <c r="R80" s="42" t="n"/>
      <c r="S80" s="42" t="n"/>
      <c r="T80" s="42" t="n"/>
      <c r="U80" s="43">
        <f>IFERROR(AVERAGE(P80:T80),"")</f>
        <v/>
      </c>
      <c r="V80" s="42" t="n"/>
      <c r="W80" s="42" t="n"/>
      <c r="X80" s="42" t="n"/>
      <c r="Y80" s="42" t="n"/>
      <c r="Z80" s="42" t="n"/>
      <c r="AA80" s="43">
        <f>IFERROR(AVERAGE(V80:Z80),"")</f>
        <v/>
      </c>
      <c r="AB80" s="42" t="n">
        <v>0.741</v>
      </c>
      <c r="AC80" s="42" t="n">
        <v>0.741</v>
      </c>
      <c r="AD80" s="42" t="n">
        <v>0.731</v>
      </c>
      <c r="AE80" s="42" t="n">
        <v>0.747</v>
      </c>
      <c r="AF80" s="42" t="n">
        <v>0.747</v>
      </c>
      <c r="AG80" s="43">
        <f>IFERROR(AVERAGE(AB80:AF80),"")</f>
        <v/>
      </c>
      <c r="AH80" s="42">
        <f>IFERROR(AG80-AA80,"")</f>
        <v/>
      </c>
      <c r="AI80" s="42">
        <f>IFERROR(AG80-O80,"")</f>
        <v/>
      </c>
    </row>
    <row r="81">
      <c r="A81" s="41" t="inlineStr">
        <is>
          <t>heart</t>
        </is>
      </c>
      <c r="B81" s="42" t="inlineStr">
        <is>
          <t>asymmetric</t>
        </is>
      </c>
      <c r="C81" s="42" t="n">
        <v>0.5</v>
      </c>
      <c r="D81" s="42" t="n">
        <v>0.582</v>
      </c>
      <c r="E81" s="42" t="n">
        <v>0.596</v>
      </c>
      <c r="F81" s="42" t="n">
        <v>0.67</v>
      </c>
      <c r="G81" s="42" t="n">
        <v>0.659</v>
      </c>
      <c r="H81" s="42" t="n">
        <v>0.643</v>
      </c>
      <c r="I81" s="43">
        <f>IFERROR(AVERAGE(D81:H81),"")</f>
        <v/>
      </c>
      <c r="J81" s="42" t="n">
        <v>0.63</v>
      </c>
      <c r="K81" s="42" t="n">
        <v>0.616</v>
      </c>
      <c r="L81" s="42" t="n">
        <v>0.606</v>
      </c>
      <c r="M81" s="42" t="n">
        <v>0.636</v>
      </c>
      <c r="N81" s="42" t="n">
        <v>0.619</v>
      </c>
      <c r="O81" s="43">
        <f>IFERROR(AVERAGE(J81:N81),"")</f>
        <v/>
      </c>
      <c r="P81" s="42" t="n"/>
      <c r="Q81" s="42" t="n"/>
      <c r="R81" s="42" t="n"/>
      <c r="S81" s="42" t="n"/>
      <c r="T81" s="42" t="n"/>
      <c r="U81" s="43">
        <f>IFERROR(AVERAGE(P81:T81),"")</f>
        <v/>
      </c>
      <c r="V81" s="42" t="n"/>
      <c r="W81" s="42" t="n"/>
      <c r="X81" s="42" t="n"/>
      <c r="Y81" s="42" t="n"/>
      <c r="Z81" s="42" t="n"/>
      <c r="AA81" s="43">
        <f>IFERROR(AVERAGE(V81:Z81),"")</f>
        <v/>
      </c>
      <c r="AB81" s="42" t="n">
        <v>0.758</v>
      </c>
      <c r="AC81" s="42" t="n">
        <v>0.724</v>
      </c>
      <c r="AD81" s="42" t="n">
        <v>0.751</v>
      </c>
      <c r="AE81" s="42" t="n">
        <v>0.724</v>
      </c>
      <c r="AF81" s="42" t="n">
        <v>0.734</v>
      </c>
      <c r="AG81" s="43">
        <f>IFERROR(AVERAGE(AB81:AF81),"")</f>
        <v/>
      </c>
      <c r="AH81" s="42">
        <f>IFERROR(AG81-AA81,"")</f>
        <v/>
      </c>
      <c r="AI81" s="42">
        <f>IFERROR(AG81-O81,"")</f>
        <v/>
      </c>
    </row>
    <row r="82">
      <c r="A82" s="41" t="inlineStr">
        <is>
          <t>heart</t>
        </is>
      </c>
      <c r="B82" s="42" t="inlineStr">
        <is>
          <t>boundary</t>
        </is>
      </c>
      <c r="C82" s="42" t="n">
        <v>0.2</v>
      </c>
      <c r="D82" s="42" t="n">
        <v>0.794</v>
      </c>
      <c r="E82" s="42" t="n">
        <v>0.734</v>
      </c>
      <c r="F82" s="42" t="n">
        <v>0.741</v>
      </c>
      <c r="G82" s="42" t="n">
        <v>0.784</v>
      </c>
      <c r="H82" s="42" t="n">
        <v>0.791</v>
      </c>
      <c r="I82" s="43">
        <f>IFERROR(AVERAGE(D82:H82),"")</f>
        <v/>
      </c>
      <c r="J82" s="42" t="n">
        <v>0.8110000000000001</v>
      </c>
      <c r="K82" s="42" t="n">
        <v>0.788</v>
      </c>
      <c r="L82" s="42" t="n">
        <v>0.805</v>
      </c>
      <c r="M82" s="42" t="n">
        <v>0.805</v>
      </c>
      <c r="N82" s="42" t="n">
        <v>0.835</v>
      </c>
      <c r="O82" s="43">
        <f>IFERROR(AVERAGE(J82:N82),"")</f>
        <v/>
      </c>
      <c r="P82" s="42" t="n">
        <v>0.794</v>
      </c>
      <c r="Q82" s="42" t="n">
        <v>0.791</v>
      </c>
      <c r="R82" s="42" t="n">
        <v>0.785</v>
      </c>
      <c r="S82" s="42" t="n">
        <v>0.798</v>
      </c>
      <c r="T82" s="42" t="n">
        <v>0.795</v>
      </c>
      <c r="U82" s="43">
        <f>IFERROR(AVERAGE(P82:T82),"")</f>
        <v/>
      </c>
      <c r="V82" s="42" t="n">
        <v>0.795</v>
      </c>
      <c r="W82" s="42" t="n">
        <v>0.791</v>
      </c>
      <c r="X82" s="42" t="n">
        <v>0.792</v>
      </c>
      <c r="Y82" s="42" t="n">
        <v>0.791</v>
      </c>
      <c r="Z82" s="42" t="n">
        <v>0.791</v>
      </c>
      <c r="AA82" s="43">
        <f>IFERROR(AVERAGE(V82:Z82),"")</f>
        <v/>
      </c>
      <c r="AB82" s="42" t="n">
        <v>0.795</v>
      </c>
      <c r="AC82" s="42" t="n">
        <v>0.791</v>
      </c>
      <c r="AD82" s="42" t="n">
        <v>0.792</v>
      </c>
      <c r="AE82" s="42" t="n">
        <v>0.791</v>
      </c>
      <c r="AF82" s="42" t="n">
        <v>0.791</v>
      </c>
      <c r="AG82" s="43">
        <f>IFERROR(AVERAGE(AB82:AF82),"")</f>
        <v/>
      </c>
      <c r="AH82" s="42">
        <f>IFERROR(AG82-AA82,"")</f>
        <v/>
      </c>
      <c r="AI82" s="42">
        <f>IFERROR(AG82-O82,"")</f>
        <v/>
      </c>
    </row>
    <row r="83">
      <c r="A83" s="41" t="inlineStr">
        <is>
          <t>heart</t>
        </is>
      </c>
      <c r="B83" s="42" t="inlineStr">
        <is>
          <t>boundary</t>
        </is>
      </c>
      <c r="C83" s="42" t="n">
        <v>0.3</v>
      </c>
      <c r="D83" s="42" t="n">
        <v>0.737</v>
      </c>
      <c r="E83" s="42" t="n">
        <v>0.738</v>
      </c>
      <c r="F83" s="42" t="n">
        <v>0.704</v>
      </c>
      <c r="G83" s="42" t="n">
        <v>0.774</v>
      </c>
      <c r="H83" s="42" t="n">
        <v>0.744</v>
      </c>
      <c r="I83" s="43">
        <f>IFERROR(AVERAGE(D83:H83),"")</f>
        <v/>
      </c>
      <c r="J83" s="42" t="n">
        <v>0.784</v>
      </c>
      <c r="K83" s="42" t="n">
        <v>0.755</v>
      </c>
      <c r="L83" s="42" t="n">
        <v>0.761</v>
      </c>
      <c r="M83" s="42" t="n">
        <v>0.805</v>
      </c>
      <c r="N83" s="42" t="n">
        <v>0.757</v>
      </c>
      <c r="O83" s="43">
        <f>IFERROR(AVERAGE(J83:N83),"")</f>
        <v/>
      </c>
      <c r="P83" s="42" t="n">
        <v>0.805</v>
      </c>
      <c r="Q83" s="42" t="n">
        <v>0.791</v>
      </c>
      <c r="R83" s="42" t="n">
        <v>0.785</v>
      </c>
      <c r="S83" s="42" t="n">
        <v>0.794</v>
      </c>
      <c r="T83" s="42" t="n">
        <v>0.795</v>
      </c>
      <c r="U83" s="43">
        <f>IFERROR(AVERAGE(P83:T83),"")</f>
        <v/>
      </c>
      <c r="V83" s="42" t="n">
        <v>0.774</v>
      </c>
      <c r="W83" s="42" t="n">
        <v>0.791</v>
      </c>
      <c r="X83" s="42" t="n">
        <v>0.792</v>
      </c>
      <c r="Y83" s="42" t="n">
        <v>0.774</v>
      </c>
      <c r="Z83" s="42" t="n">
        <v>0.791</v>
      </c>
      <c r="AA83" s="43">
        <f>IFERROR(AVERAGE(V83:Z83),"")</f>
        <v/>
      </c>
      <c r="AB83" s="42" t="n">
        <v>0.774</v>
      </c>
      <c r="AC83" s="42" t="n">
        <v>0.791</v>
      </c>
      <c r="AD83" s="42" t="n">
        <v>0.792</v>
      </c>
      <c r="AE83" s="42" t="n">
        <v>0.774</v>
      </c>
      <c r="AF83" s="42" t="n">
        <v>0.791</v>
      </c>
      <c r="AG83" s="43">
        <f>IFERROR(AVERAGE(AB83:AF83),"")</f>
        <v/>
      </c>
      <c r="AH83" s="42">
        <f>IFERROR(AG83-AA83,"")</f>
        <v/>
      </c>
      <c r="AI83" s="42">
        <f>IFERROR(AG83-O83,"")</f>
        <v/>
      </c>
    </row>
    <row r="84">
      <c r="A84" s="41" t="inlineStr">
        <is>
          <t>heart</t>
        </is>
      </c>
      <c r="B84" s="42" t="inlineStr">
        <is>
          <t>boundary</t>
        </is>
      </c>
      <c r="C84" s="42" t="n">
        <v>0.4</v>
      </c>
      <c r="D84" s="42" t="n">
        <v>0.707</v>
      </c>
      <c r="E84" s="42" t="n">
        <v>0.721</v>
      </c>
      <c r="F84" s="42" t="n">
        <v>0.6840000000000001</v>
      </c>
      <c r="G84" s="42" t="n">
        <v>0.6899999999999999</v>
      </c>
      <c r="H84" s="42" t="n">
        <v>0.623</v>
      </c>
      <c r="I84" s="43">
        <f>IFERROR(AVERAGE(D84:H84),"")</f>
        <v/>
      </c>
      <c r="J84" s="42" t="n">
        <v>0.734</v>
      </c>
      <c r="K84" s="42" t="n">
        <v>0.667</v>
      </c>
      <c r="L84" s="42" t="n">
        <v>0.6870000000000001</v>
      </c>
      <c r="M84" s="42" t="n">
        <v>0.6899999999999999</v>
      </c>
      <c r="N84" s="42" t="n">
        <v>0.67</v>
      </c>
      <c r="O84" s="43">
        <f>IFERROR(AVERAGE(J84:N84),"")</f>
        <v/>
      </c>
      <c r="P84" s="42" t="n">
        <v>0.6860000000000001</v>
      </c>
      <c r="Q84" s="42" t="n">
        <v>0.745</v>
      </c>
      <c r="R84" s="42" t="n">
        <v>0.643</v>
      </c>
      <c r="S84" s="42" t="n">
        <v>0.636</v>
      </c>
      <c r="T84" s="42" t="n">
        <v>0.643</v>
      </c>
      <c r="U84" s="43">
        <f>IFERROR(AVERAGE(P84:T84),"")</f>
        <v/>
      </c>
      <c r="V84" s="42" t="n">
        <v>0.66</v>
      </c>
      <c r="W84" s="42" t="n">
        <v>0.698</v>
      </c>
      <c r="X84" s="42" t="n">
        <v>0.623</v>
      </c>
      <c r="Y84" s="42" t="n">
        <v>0.66</v>
      </c>
      <c r="Z84" s="42" t="n">
        <v>0.595</v>
      </c>
      <c r="AA84" s="43">
        <f>IFERROR(AVERAGE(V84:Z84),"")</f>
        <v/>
      </c>
      <c r="AB84" s="42" t="n">
        <v>0.66</v>
      </c>
      <c r="AC84" s="42" t="n">
        <v>0.698</v>
      </c>
      <c r="AD84" s="42" t="n">
        <v>0.623</v>
      </c>
      <c r="AE84" s="42" t="n">
        <v>0.66</v>
      </c>
      <c r="AF84" s="42" t="n">
        <v>0.595</v>
      </c>
      <c r="AG84" s="43">
        <f>IFERROR(AVERAGE(AB84:AF84),"")</f>
        <v/>
      </c>
      <c r="AH84" s="42">
        <f>IFERROR(AG84-AA84,"")</f>
        <v/>
      </c>
      <c r="AI84" s="42">
        <f>IFERROR(AG84-O84,"")</f>
        <v/>
      </c>
    </row>
    <row r="85">
      <c r="A85" s="41" t="inlineStr">
        <is>
          <t>heart</t>
        </is>
      </c>
      <c r="B85" s="42" t="inlineStr">
        <is>
          <t>boundary</t>
        </is>
      </c>
      <c r="C85" s="42" t="n">
        <v>0.5</v>
      </c>
      <c r="D85" s="42" t="n">
        <v>0.549</v>
      </c>
      <c r="E85" s="42" t="n">
        <v>0.518</v>
      </c>
      <c r="F85" s="42" t="n">
        <v>0.484</v>
      </c>
      <c r="G85" s="42" t="n">
        <v>0.482</v>
      </c>
      <c r="H85" s="42" t="n">
        <v>0.488</v>
      </c>
      <c r="I85" s="43">
        <f>IFERROR(AVERAGE(D85:H85),"")</f>
        <v/>
      </c>
      <c r="J85" s="42" t="n">
        <v>0.546</v>
      </c>
      <c r="K85" s="42" t="n">
        <v>0.448</v>
      </c>
      <c r="L85" s="42" t="n">
        <v>0.524</v>
      </c>
      <c r="M85" s="42" t="n">
        <v>0.518</v>
      </c>
      <c r="N85" s="42" t="n">
        <v>0.495</v>
      </c>
      <c r="O85" s="43">
        <f>IFERROR(AVERAGE(J85:N85),"")</f>
        <v/>
      </c>
      <c r="P85" s="42" t="n">
        <v>0.529</v>
      </c>
      <c r="Q85" s="42" t="n">
        <v>0.492</v>
      </c>
      <c r="R85" s="42" t="n">
        <v>0.461</v>
      </c>
      <c r="S85" s="42" t="n">
        <v>0.515</v>
      </c>
      <c r="T85" s="42" t="n">
        <v>0.482</v>
      </c>
      <c r="U85" s="43">
        <f>IFERROR(AVERAGE(P85:T85),"")</f>
        <v/>
      </c>
      <c r="V85" s="42" t="n">
        <v>0.572</v>
      </c>
      <c r="W85" s="42" t="n">
        <v>0.464</v>
      </c>
      <c r="X85" s="42" t="n">
        <v>0.505</v>
      </c>
      <c r="Y85" s="42" t="n">
        <v>0.434</v>
      </c>
      <c r="Z85" s="42" t="n">
        <v>0.515</v>
      </c>
      <c r="AA85" s="43">
        <f>IFERROR(AVERAGE(V85:Z85),"")</f>
        <v/>
      </c>
      <c r="AB85" s="42" t="n">
        <v>0.572</v>
      </c>
      <c r="AC85" s="42" t="n">
        <v>0.464</v>
      </c>
      <c r="AD85" s="42" t="n">
        <v>0.505</v>
      </c>
      <c r="AE85" s="42" t="n">
        <v>0.434</v>
      </c>
      <c r="AF85" s="42" t="n">
        <v>0.515</v>
      </c>
      <c r="AG85" s="43">
        <f>IFERROR(AVERAGE(AB85:AF85),"")</f>
        <v/>
      </c>
      <c r="AH85" s="42">
        <f>IFERROR(AG85-AA85,"")</f>
        <v/>
      </c>
      <c r="AI85" s="42">
        <f>IFERROR(AG85-O85,"")</f>
        <v/>
      </c>
    </row>
    <row r="86">
      <c r="A86" s="41" t="inlineStr">
        <is>
          <t>heart</t>
        </is>
      </c>
      <c r="B86" s="42" t="inlineStr">
        <is>
          <t>far</t>
        </is>
      </c>
      <c r="C86" s="42" t="n">
        <v>0.2</v>
      </c>
      <c r="D86" s="42" t="n">
        <v>0.737</v>
      </c>
      <c r="E86" s="42" t="n">
        <v>0.704</v>
      </c>
      <c r="F86" s="42" t="n">
        <v>0.728</v>
      </c>
      <c r="G86" s="42" t="n">
        <v>0.734</v>
      </c>
      <c r="H86" s="42" t="n">
        <v>0.721</v>
      </c>
      <c r="I86" s="43">
        <f>IFERROR(AVERAGE(D86:H86),"")</f>
        <v/>
      </c>
      <c r="J86" s="42" t="n">
        <v>0.731</v>
      </c>
      <c r="K86" s="42" t="n">
        <v>0.737</v>
      </c>
      <c r="L86" s="42" t="n">
        <v>0.761</v>
      </c>
      <c r="M86" s="42" t="n">
        <v>0.754</v>
      </c>
      <c r="N86" s="42" t="n">
        <v>0.747</v>
      </c>
      <c r="O86" s="43">
        <f>IFERROR(AVERAGE(J86:N86),"")</f>
        <v/>
      </c>
      <c r="P86" s="42" t="n">
        <v>0.771</v>
      </c>
      <c r="Q86" s="42" t="n">
        <v>0.791</v>
      </c>
      <c r="R86" s="42" t="n">
        <v>0.782</v>
      </c>
      <c r="S86" s="42" t="n">
        <v>0.741</v>
      </c>
      <c r="T86" s="42" t="n">
        <v>0.795</v>
      </c>
      <c r="U86" s="43">
        <f>IFERROR(AVERAGE(P86:T86),"")</f>
        <v/>
      </c>
      <c r="V86" s="42" t="n">
        <v>0.724</v>
      </c>
      <c r="W86" s="42" t="n">
        <v>0.791</v>
      </c>
      <c r="X86" s="42" t="n">
        <v>0.778</v>
      </c>
      <c r="Y86" s="42" t="n">
        <v>0.747</v>
      </c>
      <c r="Z86" s="42" t="n">
        <v>0.791</v>
      </c>
      <c r="AA86" s="43">
        <f>IFERROR(AVERAGE(V86:Z86),"")</f>
        <v/>
      </c>
      <c r="AB86" s="42" t="n">
        <v>0.724</v>
      </c>
      <c r="AC86" s="42" t="n">
        <v>0.791</v>
      </c>
      <c r="AD86" s="42" t="n">
        <v>0.778</v>
      </c>
      <c r="AE86" s="42" t="n">
        <v>0.747</v>
      </c>
      <c r="AF86" s="42" t="n">
        <v>0.791</v>
      </c>
      <c r="AG86" s="43">
        <f>IFERROR(AVERAGE(AB86:AF86),"")</f>
        <v/>
      </c>
      <c r="AH86" s="42">
        <f>IFERROR(AG86-AA86,"")</f>
        <v/>
      </c>
      <c r="AI86" s="42">
        <f>IFERROR(AG86-O86,"")</f>
        <v/>
      </c>
    </row>
    <row r="87">
      <c r="A87" s="41" t="inlineStr">
        <is>
          <t>heart</t>
        </is>
      </c>
      <c r="B87" s="42" t="inlineStr">
        <is>
          <t>far</t>
        </is>
      </c>
      <c r="C87" s="42" t="n">
        <v>0.3</v>
      </c>
      <c r="D87" s="42" t="n">
        <v>0.636</v>
      </c>
      <c r="E87" s="42" t="n">
        <v>0.647</v>
      </c>
      <c r="F87" s="42" t="n">
        <v>0.633</v>
      </c>
      <c r="G87" s="42" t="n">
        <v>0.6860000000000001</v>
      </c>
      <c r="H87" s="42" t="n">
        <v>0.663</v>
      </c>
      <c r="I87" s="43">
        <f>IFERROR(AVERAGE(D87:H87),"")</f>
        <v/>
      </c>
      <c r="J87" s="42" t="n">
        <v>0.731</v>
      </c>
      <c r="K87" s="42" t="n">
        <v>0.637</v>
      </c>
      <c r="L87" s="42" t="n">
        <v>0.741</v>
      </c>
      <c r="M87" s="42" t="n">
        <v>0.6870000000000001</v>
      </c>
      <c r="N87" s="42" t="n">
        <v>0.727</v>
      </c>
      <c r="O87" s="43">
        <f>IFERROR(AVERAGE(J87:N87),"")</f>
        <v/>
      </c>
      <c r="P87" s="42" t="n">
        <v>0.784</v>
      </c>
      <c r="Q87" s="42" t="n">
        <v>0.664</v>
      </c>
      <c r="R87" s="42" t="n">
        <v>0.714</v>
      </c>
      <c r="S87" s="42" t="n">
        <v>0.6830000000000001</v>
      </c>
      <c r="T87" s="42" t="n">
        <v>0.681</v>
      </c>
      <c r="U87" s="43">
        <f>IFERROR(AVERAGE(P87:T87),"")</f>
        <v/>
      </c>
      <c r="V87" s="42" t="n">
        <v>0.761</v>
      </c>
      <c r="W87" s="42" t="n">
        <v>0.643</v>
      </c>
      <c r="X87" s="42" t="n">
        <v>0.677</v>
      </c>
      <c r="Y87" s="42" t="n">
        <v>0.663</v>
      </c>
      <c r="Z87" s="42" t="n">
        <v>0.6870000000000001</v>
      </c>
      <c r="AA87" s="43">
        <f>IFERROR(AVERAGE(V87:Z87),"")</f>
        <v/>
      </c>
      <c r="AB87" s="42" t="n">
        <v>0.761</v>
      </c>
      <c r="AC87" s="42" t="n">
        <v>0.643</v>
      </c>
      <c r="AD87" s="42" t="n">
        <v>0.677</v>
      </c>
      <c r="AE87" s="42" t="n">
        <v>0.663</v>
      </c>
      <c r="AF87" s="42" t="n">
        <v>0.6870000000000001</v>
      </c>
      <c r="AG87" s="43">
        <f>IFERROR(AVERAGE(AB87:AF87),"")</f>
        <v/>
      </c>
      <c r="AH87" s="42">
        <f>IFERROR(AG87-AA87,"")</f>
        <v/>
      </c>
      <c r="AI87" s="42">
        <f>IFERROR(AG87-O87,"")</f>
        <v/>
      </c>
    </row>
    <row r="88">
      <c r="A88" s="41" t="inlineStr">
        <is>
          <t>heart</t>
        </is>
      </c>
      <c r="B88" s="42" t="inlineStr">
        <is>
          <t>far</t>
        </is>
      </c>
      <c r="C88" s="42" t="n">
        <v>0.4</v>
      </c>
      <c r="D88" s="42" t="n">
        <v>0.67</v>
      </c>
      <c r="E88" s="42" t="n">
        <v>0.589</v>
      </c>
      <c r="F88" s="42" t="n">
        <v>0.597</v>
      </c>
      <c r="G88" s="42" t="n">
        <v>0.545</v>
      </c>
      <c r="H88" s="42" t="n">
        <v>0.623</v>
      </c>
      <c r="I88" s="43">
        <f>IFERROR(AVERAGE(D88:H88),"")</f>
        <v/>
      </c>
      <c r="J88" s="42" t="n">
        <v>0.666</v>
      </c>
      <c r="K88" s="42" t="n">
        <v>0.569</v>
      </c>
      <c r="L88" s="42" t="n">
        <v>0.569</v>
      </c>
      <c r="M88" s="42" t="n">
        <v>0.63</v>
      </c>
      <c r="N88" s="42" t="n">
        <v>0.677</v>
      </c>
      <c r="O88" s="43">
        <f>IFERROR(AVERAGE(J88:N88),"")</f>
        <v/>
      </c>
      <c r="P88" s="42" t="n">
        <v>0.596</v>
      </c>
      <c r="Q88" s="42" t="n">
        <v>0.579</v>
      </c>
      <c r="R88" s="42" t="n">
        <v>0.652</v>
      </c>
      <c r="S88" s="42" t="n">
        <v>0.599</v>
      </c>
      <c r="T88" s="42" t="n">
        <v>0.6899999999999999</v>
      </c>
      <c r="U88" s="43">
        <f>IFERROR(AVERAGE(P88:T88),"")</f>
        <v/>
      </c>
      <c r="V88" s="42" t="n">
        <v>0.579</v>
      </c>
      <c r="W88" s="42" t="n">
        <v>0.626</v>
      </c>
      <c r="X88" s="42" t="n">
        <v>0.627</v>
      </c>
      <c r="Y88" s="42" t="n">
        <v>0.599</v>
      </c>
      <c r="Z88" s="42" t="n">
        <v>0.68</v>
      </c>
      <c r="AA88" s="43">
        <f>IFERROR(AVERAGE(V88:Z88),"")</f>
        <v/>
      </c>
      <c r="AB88" s="42" t="n">
        <v>0.579</v>
      </c>
      <c r="AC88" s="42" t="n">
        <v>0.626</v>
      </c>
      <c r="AD88" s="42" t="n">
        <v>0.637</v>
      </c>
      <c r="AE88" s="42" t="n">
        <v>0.599</v>
      </c>
      <c r="AF88" s="42" t="n">
        <v>0.68</v>
      </c>
      <c r="AG88" s="43">
        <f>IFERROR(AVERAGE(AB88:AF88),"")</f>
        <v/>
      </c>
      <c r="AH88" s="42">
        <f>IFERROR(AG88-AA88,"")</f>
        <v/>
      </c>
      <c r="AI88" s="42">
        <f>IFERROR(AG88-O88,"")</f>
        <v/>
      </c>
    </row>
    <row r="89">
      <c r="A89" s="41" t="inlineStr">
        <is>
          <t>heart</t>
        </is>
      </c>
      <c r="B89" s="42" t="inlineStr">
        <is>
          <t>far</t>
        </is>
      </c>
      <c r="C89" s="42" t="n">
        <v>0.5</v>
      </c>
      <c r="D89" s="42" t="n">
        <v>0.431</v>
      </c>
      <c r="E89" s="42" t="n">
        <v>0.509</v>
      </c>
      <c r="F89" s="42" t="n">
        <v>0.512</v>
      </c>
      <c r="G89" s="42" t="n">
        <v>0.518</v>
      </c>
      <c r="H89" s="42" t="n">
        <v>0.5620000000000001</v>
      </c>
      <c r="I89" s="43">
        <f>IFERROR(AVERAGE(D89:H89),"")</f>
        <v/>
      </c>
      <c r="J89" s="42" t="n">
        <v>0.448</v>
      </c>
      <c r="K89" s="42" t="n">
        <v>0.438</v>
      </c>
      <c r="L89" s="42" t="n">
        <v>0.502</v>
      </c>
      <c r="M89" s="42" t="n">
        <v>0.485</v>
      </c>
      <c r="N89" s="42" t="n">
        <v>0.458</v>
      </c>
      <c r="O89" s="43">
        <f>IFERROR(AVERAGE(J89:N89),"")</f>
        <v/>
      </c>
      <c r="P89" s="42" t="n">
        <v>0.571</v>
      </c>
      <c r="Q89" s="42" t="n">
        <v>0.492</v>
      </c>
      <c r="R89" s="42" t="n">
        <v>0.505</v>
      </c>
      <c r="S89" s="42" t="n">
        <v>0.501</v>
      </c>
      <c r="T89" s="42" t="n">
        <v>0.542</v>
      </c>
      <c r="U89" s="43">
        <f>IFERROR(AVERAGE(P89:T89),"")</f>
        <v/>
      </c>
      <c r="V89" s="42" t="n">
        <v>0.471</v>
      </c>
      <c r="W89" s="42" t="n">
        <v>0.475</v>
      </c>
      <c r="X89" s="42" t="n">
        <v>0.542</v>
      </c>
      <c r="Y89" s="42" t="n">
        <v>0.541</v>
      </c>
      <c r="Z89" s="42" t="n">
        <v>0.572</v>
      </c>
      <c r="AA89" s="43">
        <f>IFERROR(AVERAGE(V89:Z89),"")</f>
        <v/>
      </c>
      <c r="AB89" s="42" t="n">
        <v>0.461</v>
      </c>
      <c r="AC89" s="42" t="n">
        <v>0.475</v>
      </c>
      <c r="AD89" s="42" t="n">
        <v>0.542</v>
      </c>
      <c r="AE89" s="42" t="n">
        <v>0.541</v>
      </c>
      <c r="AF89" s="42" t="n">
        <v>0.572</v>
      </c>
      <c r="AG89" s="43">
        <f>IFERROR(AVERAGE(AB89:AF89),"")</f>
        <v/>
      </c>
      <c r="AH89" s="42">
        <f>IFERROR(AG89-AA89,"")</f>
        <v/>
      </c>
      <c r="AI89" s="42">
        <f>IFERROR(AG89-O89,"")</f>
        <v/>
      </c>
    </row>
    <row r="90">
      <c r="A90" s="41" t="inlineStr">
        <is>
          <t>ionosphere</t>
        </is>
      </c>
      <c r="B90" s="42" t="inlineStr">
        <is>
          <t>(clean)</t>
        </is>
      </c>
      <c r="C90" s="42" t="n">
        <v>0</v>
      </c>
      <c r="D90" s="42" t="n">
        <v>0.8149999999999999</v>
      </c>
      <c r="E90" s="42" t="n">
        <v>0.775</v>
      </c>
      <c r="F90" s="42" t="n">
        <v>0.758</v>
      </c>
      <c r="G90" s="42" t="n">
        <v>0.729</v>
      </c>
      <c r="H90" s="42" t="n">
        <v>0.855</v>
      </c>
      <c r="I90" s="43">
        <f>IFERROR(AVERAGE(D90:H90),"")</f>
        <v/>
      </c>
      <c r="J90" s="42" t="n">
        <v>0.846</v>
      </c>
      <c r="K90" s="42" t="n">
        <v>0.8179999999999999</v>
      </c>
      <c r="L90" s="42" t="n">
        <v>0.832</v>
      </c>
      <c r="M90" s="42" t="n">
        <v>0.8090000000000001</v>
      </c>
      <c r="N90" s="42" t="n">
        <v>0.804</v>
      </c>
      <c r="O90" s="43">
        <f>IFERROR(AVERAGE(J90:N90),"")</f>
        <v/>
      </c>
      <c r="P90" s="42" t="n"/>
      <c r="Q90" s="42" t="n"/>
      <c r="R90" s="42" t="n"/>
      <c r="S90" s="42" t="n"/>
      <c r="T90" s="42" t="n"/>
      <c r="U90" s="43">
        <f>IFERROR(AVERAGE(P90:T90),"")</f>
        <v/>
      </c>
      <c r="V90" s="42" t="n"/>
      <c r="W90" s="42" t="n"/>
      <c r="X90" s="42" t="n"/>
      <c r="Y90" s="42" t="n"/>
      <c r="Z90" s="42" t="n"/>
      <c r="AA90" s="43">
        <f>IFERROR(AVERAGE(V90:Z90),"")</f>
        <v/>
      </c>
      <c r="AB90" s="42" t="n">
        <v>0.6919999999999999</v>
      </c>
      <c r="AC90" s="42" t="n">
        <v>0.706</v>
      </c>
      <c r="AD90" s="42" t="n">
        <v>0.6919999999999999</v>
      </c>
      <c r="AE90" s="42" t="n">
        <v>0.704</v>
      </c>
      <c r="AF90" s="42" t="n">
        <v>0.675</v>
      </c>
      <c r="AG90" s="43">
        <f>IFERROR(AVERAGE(AB90:AF90),"")</f>
        <v/>
      </c>
      <c r="AH90" s="42">
        <f>IFERROR(AG90-AA90,"")</f>
        <v/>
      </c>
      <c r="AI90" s="42">
        <f>IFERROR(AG90-O90,"")</f>
        <v/>
      </c>
    </row>
    <row r="91">
      <c r="A91" s="41" t="inlineStr">
        <is>
          <t>ionosphere</t>
        </is>
      </c>
      <c r="B91" s="42" t="inlineStr">
        <is>
          <t>symmetric</t>
        </is>
      </c>
      <c r="C91" s="42" t="n">
        <v>0.2</v>
      </c>
      <c r="D91" s="42" t="n">
        <v>0.832</v>
      </c>
      <c r="E91" s="42" t="n">
        <v>0.749</v>
      </c>
      <c r="F91" s="42" t="n">
        <v>0.789</v>
      </c>
      <c r="G91" s="42" t="n">
        <v>0.789</v>
      </c>
      <c r="H91" s="42" t="n">
        <v>0.786</v>
      </c>
      <c r="I91" s="43">
        <f>IFERROR(AVERAGE(D91:H91),"")</f>
        <v/>
      </c>
      <c r="J91" s="42" t="n">
        <v>0.772</v>
      </c>
      <c r="K91" s="42" t="n">
        <v>0.775</v>
      </c>
      <c r="L91" s="42" t="n">
        <v>0.821</v>
      </c>
      <c r="M91" s="42" t="n">
        <v>0.806</v>
      </c>
      <c r="N91" s="42" t="n">
        <v>0.786</v>
      </c>
      <c r="O91" s="43">
        <f>IFERROR(AVERAGE(J91:N91),"")</f>
        <v/>
      </c>
      <c r="P91" s="42" t="n">
        <v>0.8070000000000001</v>
      </c>
      <c r="Q91" s="42" t="n">
        <v>0.82</v>
      </c>
      <c r="R91" s="42" t="n">
        <v>0.787</v>
      </c>
      <c r="S91" s="42" t="n">
        <v>0.857</v>
      </c>
      <c r="T91" s="42" t="n">
        <v>0.768</v>
      </c>
      <c r="U91" s="43">
        <f>IFERROR(AVERAGE(P91:T91),"")</f>
        <v/>
      </c>
      <c r="V91" s="42" t="n">
        <v>0.771</v>
      </c>
      <c r="W91" s="42" t="n">
        <v>0.749</v>
      </c>
      <c r="X91" s="42" t="n">
        <v>0.733</v>
      </c>
      <c r="Y91" s="42" t="n">
        <v>0.8139999999999999</v>
      </c>
      <c r="Z91" s="42" t="n">
        <v>0.6870000000000001</v>
      </c>
      <c r="AA91" s="43">
        <f>IFERROR(AVERAGE(V91:Z91),"")</f>
        <v/>
      </c>
      <c r="AB91" s="42" t="n">
        <v>0.645</v>
      </c>
      <c r="AC91" s="42" t="n">
        <v>0.749</v>
      </c>
      <c r="AD91" s="42" t="n">
        <v>0.715</v>
      </c>
      <c r="AE91" s="42" t="n">
        <v>0.658</v>
      </c>
      <c r="AF91" s="42" t="n">
        <v>0.681</v>
      </c>
      <c r="AG91" s="43">
        <f>IFERROR(AVERAGE(AB91:AF91),"")</f>
        <v/>
      </c>
      <c r="AH91" s="42">
        <f>IFERROR(AG91-AA91,"")</f>
        <v/>
      </c>
      <c r="AI91" s="42">
        <f>IFERROR(AG91-O91,"")</f>
        <v/>
      </c>
    </row>
    <row r="92">
      <c r="A92" s="41" t="inlineStr">
        <is>
          <t>ionosphere</t>
        </is>
      </c>
      <c r="B92" s="42" t="inlineStr">
        <is>
          <t>symmetric</t>
        </is>
      </c>
      <c r="C92" s="42" t="n">
        <v>0.3</v>
      </c>
      <c r="D92" s="42" t="n">
        <v>0.752</v>
      </c>
      <c r="E92" s="42" t="n">
        <v>0.715</v>
      </c>
      <c r="F92" s="42" t="n">
        <v>0.798</v>
      </c>
      <c r="G92" s="42" t="n">
        <v>0.709</v>
      </c>
      <c r="H92" s="42" t="n">
        <v>0.735</v>
      </c>
      <c r="I92" s="43">
        <f>IFERROR(AVERAGE(D92:H92),"")</f>
        <v/>
      </c>
      <c r="J92" s="42" t="n">
        <v>0.732</v>
      </c>
      <c r="K92" s="42" t="n">
        <v>0.732</v>
      </c>
      <c r="L92" s="42" t="n">
        <v>0.778</v>
      </c>
      <c r="M92" s="42" t="n">
        <v>0.758</v>
      </c>
      <c r="N92" s="42" t="n">
        <v>0.758</v>
      </c>
      <c r="O92" s="43">
        <f>IFERROR(AVERAGE(J92:N92),"")</f>
        <v/>
      </c>
      <c r="P92" s="42" t="n">
        <v>0.8120000000000001</v>
      </c>
      <c r="Q92" s="42" t="n">
        <v>0.789</v>
      </c>
      <c r="R92" s="42" t="n">
        <v>0.721</v>
      </c>
      <c r="S92" s="42" t="n">
        <v>0.782</v>
      </c>
      <c r="T92" s="42" t="n">
        <v>0.766</v>
      </c>
      <c r="U92" s="43">
        <f>IFERROR(AVERAGE(P92:T92),"")</f>
        <v/>
      </c>
      <c r="V92" s="42" t="n">
        <v>0.769</v>
      </c>
      <c r="W92" s="42" t="n">
        <v>0.709</v>
      </c>
      <c r="X92" s="42" t="n">
        <v>0.712</v>
      </c>
      <c r="Y92" s="42" t="n">
        <v>0.714</v>
      </c>
      <c r="Z92" s="42" t="n">
        <v>0.715</v>
      </c>
      <c r="AA92" s="43">
        <f>IFERROR(AVERAGE(V92:Z92),"")</f>
        <v/>
      </c>
      <c r="AB92" s="42" t="n">
        <v>0.769</v>
      </c>
      <c r="AC92" s="42" t="n">
        <v>0.709</v>
      </c>
      <c r="AD92" s="42" t="n">
        <v>0.712</v>
      </c>
      <c r="AE92" s="42" t="n">
        <v>0.698</v>
      </c>
      <c r="AF92" s="42" t="n">
        <v>0.715</v>
      </c>
      <c r="AG92" s="43">
        <f>IFERROR(AVERAGE(AB92:AF92),"")</f>
        <v/>
      </c>
      <c r="AH92" s="42">
        <f>IFERROR(AG92-AA92,"")</f>
        <v/>
      </c>
      <c r="AI92" s="42">
        <f>IFERROR(AG92-O92,"")</f>
        <v/>
      </c>
    </row>
    <row r="93">
      <c r="A93" s="41" t="inlineStr">
        <is>
          <t>ionosphere</t>
        </is>
      </c>
      <c r="B93" s="42" t="inlineStr">
        <is>
          <t>symmetric</t>
        </is>
      </c>
      <c r="C93" s="42" t="n">
        <v>0.4</v>
      </c>
      <c r="D93" s="42" t="n">
        <v>0.6870000000000001</v>
      </c>
      <c r="E93" s="42" t="n">
        <v>0.627</v>
      </c>
      <c r="F93" s="42" t="n">
        <v>0.601</v>
      </c>
      <c r="G93" s="42" t="n">
        <v>0.635</v>
      </c>
      <c r="H93" s="42" t="n">
        <v>0.664</v>
      </c>
      <c r="I93" s="43">
        <f>IFERROR(AVERAGE(D93:H93),"")</f>
        <v/>
      </c>
      <c r="J93" s="42" t="n">
        <v>0.641</v>
      </c>
      <c r="K93" s="42" t="n">
        <v>0.589</v>
      </c>
      <c r="L93" s="42" t="n">
        <v>0.744</v>
      </c>
      <c r="M93" s="42" t="n">
        <v>0.641</v>
      </c>
      <c r="N93" s="42" t="n">
        <v>0.67</v>
      </c>
      <c r="O93" s="43">
        <f>IFERROR(AVERAGE(J93:N93),"")</f>
        <v/>
      </c>
      <c r="P93" s="42" t="n">
        <v>0.675</v>
      </c>
      <c r="Q93" s="42" t="n">
        <v>0.641</v>
      </c>
      <c r="R93" s="42" t="n">
        <v>0.712</v>
      </c>
      <c r="S93" s="42" t="n">
        <v>0.639</v>
      </c>
      <c r="T93" s="42" t="n">
        <v>0.681</v>
      </c>
      <c r="U93" s="43">
        <f>IFERROR(AVERAGE(P93:T93),"")</f>
        <v/>
      </c>
      <c r="V93" s="42" t="n">
        <v>0.585</v>
      </c>
      <c r="W93" s="42" t="n">
        <v>0.549</v>
      </c>
      <c r="X93" s="42" t="n">
        <v>0.709</v>
      </c>
      <c r="Y93" s="42" t="n">
        <v>0.6840000000000001</v>
      </c>
      <c r="Z93" s="42" t="n">
        <v>0.704</v>
      </c>
      <c r="AA93" s="43">
        <f>IFERROR(AVERAGE(V93:Z93),"")</f>
        <v/>
      </c>
      <c r="AB93" s="42" t="n">
        <v>0.585</v>
      </c>
      <c r="AC93" s="42" t="n">
        <v>0.549</v>
      </c>
      <c r="AD93" s="42" t="n">
        <v>0.709</v>
      </c>
      <c r="AE93" s="42" t="n">
        <v>0.6840000000000001</v>
      </c>
      <c r="AF93" s="42" t="n">
        <v>0.704</v>
      </c>
      <c r="AG93" s="43">
        <f>IFERROR(AVERAGE(AB93:AF93),"")</f>
        <v/>
      </c>
      <c r="AH93" s="42">
        <f>IFERROR(AG93-AA93,"")</f>
        <v/>
      </c>
      <c r="AI93" s="42">
        <f>IFERROR(AG93-O93,"")</f>
        <v/>
      </c>
    </row>
    <row r="94">
      <c r="A94" s="41" t="inlineStr">
        <is>
          <t>ionosphere</t>
        </is>
      </c>
      <c r="B94" s="42" t="inlineStr">
        <is>
          <t>symmetric</t>
        </is>
      </c>
      <c r="C94" s="42" t="n">
        <v>0.5</v>
      </c>
      <c r="D94" s="42" t="n">
        <v>0.493</v>
      </c>
      <c r="E94" s="42" t="n">
        <v>0.556</v>
      </c>
      <c r="F94" s="42" t="n">
        <v>0.501</v>
      </c>
      <c r="G94" s="42" t="n">
        <v>0.536</v>
      </c>
      <c r="H94" s="42" t="n">
        <v>0.524</v>
      </c>
      <c r="I94" s="43">
        <f>IFERROR(AVERAGE(D94:H94),"")</f>
        <v/>
      </c>
      <c r="J94" s="42" t="n">
        <v>0.556</v>
      </c>
      <c r="K94" s="42" t="n">
        <v>0.5639999999999999</v>
      </c>
      <c r="L94" s="42" t="n">
        <v>0.501</v>
      </c>
      <c r="M94" s="42" t="n">
        <v>0.553</v>
      </c>
      <c r="N94" s="42" t="n">
        <v>0.499</v>
      </c>
      <c r="O94" s="43">
        <f>IFERROR(AVERAGE(J94:N94),"")</f>
        <v/>
      </c>
      <c r="P94" s="42" t="n">
        <v>0.521</v>
      </c>
      <c r="Q94" s="42" t="n">
        <v>0.572</v>
      </c>
      <c r="R94" s="42" t="n">
        <v>0.5590000000000001</v>
      </c>
      <c r="S94" s="42" t="n">
        <v>0.493</v>
      </c>
      <c r="T94" s="42" t="n">
        <v>0.467</v>
      </c>
      <c r="U94" s="43">
        <f>IFERROR(AVERAGE(P94:T94),"")</f>
        <v/>
      </c>
      <c r="V94" s="42" t="n">
        <v>0.496</v>
      </c>
      <c r="W94" s="42" t="n">
        <v>0.516</v>
      </c>
      <c r="X94" s="42" t="n">
        <v>0.587</v>
      </c>
      <c r="Y94" s="42" t="n">
        <v>0.513</v>
      </c>
      <c r="Z94" s="42" t="n">
        <v>0.487</v>
      </c>
      <c r="AA94" s="43">
        <f>IFERROR(AVERAGE(V94:Z94),"")</f>
        <v/>
      </c>
      <c r="AB94" s="42" t="n">
        <v>0.496</v>
      </c>
      <c r="AC94" s="42" t="n">
        <v>0.516</v>
      </c>
      <c r="AD94" s="42" t="n">
        <v>0.587</v>
      </c>
      <c r="AE94" s="42" t="n">
        <v>0.513</v>
      </c>
      <c r="AF94" s="42" t="n">
        <v>0.487</v>
      </c>
      <c r="AG94" s="43">
        <f>IFERROR(AVERAGE(AB94:AF94),"")</f>
        <v/>
      </c>
      <c r="AH94" s="42">
        <f>IFERROR(AG94-AA94,"")</f>
        <v/>
      </c>
      <c r="AI94" s="42">
        <f>IFERROR(AG94-O94,"")</f>
        <v/>
      </c>
    </row>
    <row r="95">
      <c r="A95" s="41" t="inlineStr">
        <is>
          <t>ionosphere</t>
        </is>
      </c>
      <c r="B95" s="42" t="inlineStr">
        <is>
          <t>asymmetric</t>
        </is>
      </c>
      <c r="C95" s="42" t="n">
        <v>0.2</v>
      </c>
      <c r="D95" s="42" t="n">
        <v>0.786</v>
      </c>
      <c r="E95" s="42" t="n">
        <v>0.786</v>
      </c>
      <c r="F95" s="42" t="n">
        <v>0.6840000000000001</v>
      </c>
      <c r="G95" s="42" t="n">
        <v>0.738</v>
      </c>
      <c r="H95" s="42" t="n">
        <v>0.8120000000000001</v>
      </c>
      <c r="I95" s="43">
        <f>IFERROR(AVERAGE(D95:H95),"")</f>
        <v/>
      </c>
      <c r="J95" s="42" t="n">
        <v>0.803</v>
      </c>
      <c r="K95" s="42" t="n">
        <v>0.803</v>
      </c>
      <c r="L95" s="42" t="n">
        <v>0.732</v>
      </c>
      <c r="M95" s="42" t="n">
        <v>0.795</v>
      </c>
      <c r="N95" s="42" t="n">
        <v>0.775</v>
      </c>
      <c r="O95" s="43">
        <f>IFERROR(AVERAGE(J95:N95),"")</f>
        <v/>
      </c>
      <c r="P95" s="42" t="n"/>
      <c r="Q95" s="42" t="n"/>
      <c r="R95" s="42" t="n"/>
      <c r="S95" s="42" t="n"/>
      <c r="T95" s="42" t="n"/>
      <c r="U95" s="43">
        <f>IFERROR(AVERAGE(P95:T95),"")</f>
        <v/>
      </c>
      <c r="V95" s="42" t="n"/>
      <c r="W95" s="42" t="n"/>
      <c r="X95" s="42" t="n"/>
      <c r="Y95" s="42" t="n"/>
      <c r="Z95" s="42" t="n"/>
      <c r="AA95" s="43">
        <f>IFERROR(AVERAGE(V95:Z95),"")</f>
        <v/>
      </c>
      <c r="AB95" s="42" t="n">
        <v>0.675</v>
      </c>
      <c r="AC95" s="42" t="n">
        <v>0.712</v>
      </c>
      <c r="AD95" s="42" t="n">
        <v>0.6899999999999999</v>
      </c>
      <c r="AE95" s="42" t="n">
        <v>0.695</v>
      </c>
      <c r="AF95" s="42" t="n">
        <v>0.6889999999999999</v>
      </c>
      <c r="AG95" s="43">
        <f>IFERROR(AVERAGE(AB95:AF95),"")</f>
        <v/>
      </c>
      <c r="AH95" s="42">
        <f>IFERROR(AG95-AA95,"")</f>
        <v/>
      </c>
      <c r="AI95" s="42">
        <f>IFERROR(AG95-O95,"")</f>
        <v/>
      </c>
    </row>
    <row r="96">
      <c r="A96" s="41" t="inlineStr">
        <is>
          <t>ionosphere</t>
        </is>
      </c>
      <c r="B96" s="42" t="inlineStr">
        <is>
          <t>asymmetric</t>
        </is>
      </c>
      <c r="C96" s="42" t="n">
        <v>0.3</v>
      </c>
      <c r="D96" s="42" t="n">
        <v>0.8120000000000001</v>
      </c>
      <c r="E96" s="42" t="n">
        <v>0.792</v>
      </c>
      <c r="F96" s="42" t="n">
        <v>0.73</v>
      </c>
      <c r="G96" s="42" t="n">
        <v>0.735</v>
      </c>
      <c r="H96" s="42" t="n">
        <v>0.792</v>
      </c>
      <c r="I96" s="43">
        <f>IFERROR(AVERAGE(D96:H96),"")</f>
        <v/>
      </c>
      <c r="J96" s="42" t="n">
        <v>0.786</v>
      </c>
      <c r="K96" s="42" t="n">
        <v>0.798</v>
      </c>
      <c r="L96" s="42" t="n">
        <v>0.786</v>
      </c>
      <c r="M96" s="42" t="n">
        <v>0.789</v>
      </c>
      <c r="N96" s="42" t="n">
        <v>0.795</v>
      </c>
      <c r="O96" s="43">
        <f>IFERROR(AVERAGE(J96:N96),"")</f>
        <v/>
      </c>
      <c r="P96" s="42" t="n"/>
      <c r="Q96" s="42" t="n"/>
      <c r="R96" s="42" t="n"/>
      <c r="S96" s="42" t="n"/>
      <c r="T96" s="42" t="n"/>
      <c r="U96" s="43">
        <f>IFERROR(AVERAGE(P96:T96),"")</f>
        <v/>
      </c>
      <c r="V96" s="42" t="n"/>
      <c r="W96" s="42" t="n"/>
      <c r="X96" s="42" t="n"/>
      <c r="Y96" s="42" t="n"/>
      <c r="Z96" s="42" t="n"/>
      <c r="AA96" s="43">
        <f>IFERROR(AVERAGE(V96:Z96),"")</f>
        <v/>
      </c>
      <c r="AB96" s="42" t="n">
        <v>0.732</v>
      </c>
      <c r="AC96" s="42" t="n">
        <v>0.735</v>
      </c>
      <c r="AD96" s="42" t="n">
        <v>0.695</v>
      </c>
      <c r="AE96" s="42" t="n">
        <v>0.701</v>
      </c>
      <c r="AF96" s="42" t="n">
        <v>0.635</v>
      </c>
      <c r="AG96" s="43">
        <f>IFERROR(AVERAGE(AB96:AF96),"")</f>
        <v/>
      </c>
      <c r="AH96" s="42">
        <f>IFERROR(AG96-AA96,"")</f>
        <v/>
      </c>
      <c r="AI96" s="42">
        <f>IFERROR(AG96-O96,"")</f>
        <v/>
      </c>
    </row>
    <row r="97">
      <c r="A97" s="41" t="inlineStr">
        <is>
          <t>ionosphere</t>
        </is>
      </c>
      <c r="B97" s="42" t="inlineStr">
        <is>
          <t>asymmetric</t>
        </is>
      </c>
      <c r="C97" s="42" t="n">
        <v>0.4</v>
      </c>
      <c r="D97" s="42" t="n">
        <v>0.724</v>
      </c>
      <c r="E97" s="42" t="n">
        <v>0.755</v>
      </c>
      <c r="F97" s="42" t="n">
        <v>0.723</v>
      </c>
      <c r="G97" s="42" t="n">
        <v>0.783</v>
      </c>
      <c r="H97" s="42" t="n">
        <v>0.752</v>
      </c>
      <c r="I97" s="43">
        <f>IFERROR(AVERAGE(D97:H97),"")</f>
        <v/>
      </c>
      <c r="J97" s="42" t="n">
        <v>0.752</v>
      </c>
      <c r="K97" s="42" t="n">
        <v>0.801</v>
      </c>
      <c r="L97" s="42" t="n">
        <v>0.755</v>
      </c>
      <c r="M97" s="42" t="n">
        <v>0.786</v>
      </c>
      <c r="N97" s="42" t="n">
        <v>0.755</v>
      </c>
      <c r="O97" s="43">
        <f>IFERROR(AVERAGE(J97:N97),"")</f>
        <v/>
      </c>
      <c r="P97" s="42" t="n"/>
      <c r="Q97" s="42" t="n"/>
      <c r="R97" s="42" t="n"/>
      <c r="S97" s="42" t="n"/>
      <c r="T97" s="42" t="n"/>
      <c r="U97" s="43">
        <f>IFERROR(AVERAGE(P97:T97),"")</f>
        <v/>
      </c>
      <c r="V97" s="42" t="n"/>
      <c r="W97" s="42" t="n"/>
      <c r="X97" s="42" t="n"/>
      <c r="Y97" s="42" t="n"/>
      <c r="Z97" s="42" t="n"/>
      <c r="AA97" s="43">
        <f>IFERROR(AVERAGE(V97:Z97),"")</f>
        <v/>
      </c>
      <c r="AB97" s="42" t="n">
        <v>0.71</v>
      </c>
      <c r="AC97" s="42" t="n">
        <v>0.6840000000000001</v>
      </c>
      <c r="AD97" s="42" t="n">
        <v>0.746</v>
      </c>
      <c r="AE97" s="42" t="n">
        <v>0.755</v>
      </c>
      <c r="AF97" s="42" t="n">
        <v>0.701</v>
      </c>
      <c r="AG97" s="43">
        <f>IFERROR(AVERAGE(AB97:AF97),"")</f>
        <v/>
      </c>
      <c r="AH97" s="42">
        <f>IFERROR(AG97-AA97,"")</f>
        <v/>
      </c>
      <c r="AI97" s="42">
        <f>IFERROR(AG97-O97,"")</f>
        <v/>
      </c>
    </row>
    <row r="98">
      <c r="A98" s="41" t="inlineStr">
        <is>
          <t>ionosphere</t>
        </is>
      </c>
      <c r="B98" s="42" t="inlineStr">
        <is>
          <t>asymmetric</t>
        </is>
      </c>
      <c r="C98" s="42" t="n">
        <v>0.5</v>
      </c>
      <c r="D98" s="42" t="n">
        <v>0.721</v>
      </c>
      <c r="E98" s="42" t="n">
        <v>0.718</v>
      </c>
      <c r="F98" s="42" t="n">
        <v>0.744</v>
      </c>
      <c r="G98" s="42" t="n">
        <v>0.729</v>
      </c>
      <c r="H98" s="42" t="n">
        <v>0.721</v>
      </c>
      <c r="I98" s="43">
        <f>IFERROR(AVERAGE(D98:H98),"")</f>
        <v/>
      </c>
      <c r="J98" s="42" t="n">
        <v>0.755</v>
      </c>
      <c r="K98" s="42" t="n">
        <v>0.755</v>
      </c>
      <c r="L98" s="42" t="n">
        <v>0.772</v>
      </c>
      <c r="M98" s="42" t="n">
        <v>0.735</v>
      </c>
      <c r="N98" s="42" t="n">
        <v>0.769</v>
      </c>
      <c r="O98" s="43">
        <f>IFERROR(AVERAGE(J98:N98),"")</f>
        <v/>
      </c>
      <c r="P98" s="42" t="n"/>
      <c r="Q98" s="42" t="n"/>
      <c r="R98" s="42" t="n"/>
      <c r="S98" s="42" t="n"/>
      <c r="T98" s="42" t="n"/>
      <c r="U98" s="43">
        <f>IFERROR(AVERAGE(P98:T98),"")</f>
        <v/>
      </c>
      <c r="V98" s="42" t="n"/>
      <c r="W98" s="42" t="n"/>
      <c r="X98" s="42" t="n"/>
      <c r="Y98" s="42" t="n"/>
      <c r="Z98" s="42" t="n"/>
      <c r="AA98" s="43">
        <f>IFERROR(AVERAGE(V98:Z98),"")</f>
        <v/>
      </c>
      <c r="AB98" s="42" t="n">
        <v>0.701</v>
      </c>
      <c r="AC98" s="42" t="n">
        <v>0.729</v>
      </c>
      <c r="AD98" s="42" t="n">
        <v>0.724</v>
      </c>
      <c r="AE98" s="42" t="n">
        <v>0.709</v>
      </c>
      <c r="AF98" s="42" t="n">
        <v>0.65</v>
      </c>
      <c r="AG98" s="43">
        <f>IFERROR(AVERAGE(AB98:AF98),"")</f>
        <v/>
      </c>
      <c r="AH98" s="42">
        <f>IFERROR(AG98-AA98,"")</f>
        <v/>
      </c>
      <c r="AI98" s="42">
        <f>IFERROR(AG98-O98,"")</f>
        <v/>
      </c>
    </row>
    <row r="99">
      <c r="A99" s="41" t="inlineStr">
        <is>
          <t>ionosphere</t>
        </is>
      </c>
      <c r="B99" s="42" t="inlineStr">
        <is>
          <t>boundary</t>
        </is>
      </c>
      <c r="C99" s="42" t="n">
        <v>0.2</v>
      </c>
      <c r="D99" s="42" t="n">
        <v>0.824</v>
      </c>
      <c r="E99" s="42" t="n">
        <v>0.8179999999999999</v>
      </c>
      <c r="F99" s="42" t="n">
        <v>0.778</v>
      </c>
      <c r="G99" s="42" t="n">
        <v>0.832</v>
      </c>
      <c r="H99" s="42" t="n">
        <v>0.8120000000000001</v>
      </c>
      <c r="I99" s="43">
        <f>IFERROR(AVERAGE(D99:H99),"")</f>
        <v/>
      </c>
      <c r="J99" s="42" t="n">
        <v>0.798</v>
      </c>
      <c r="K99" s="42" t="n">
        <v>0.789</v>
      </c>
      <c r="L99" s="42" t="n">
        <v>0.784</v>
      </c>
      <c r="M99" s="42" t="n">
        <v>0.803</v>
      </c>
      <c r="N99" s="42" t="n">
        <v>0.835</v>
      </c>
      <c r="O99" s="43">
        <f>IFERROR(AVERAGE(J99:N99),"")</f>
        <v/>
      </c>
      <c r="P99" s="42" t="n"/>
      <c r="Q99" s="42" t="n">
        <v>0.746</v>
      </c>
      <c r="R99" s="42" t="n">
        <v>0.8070000000000001</v>
      </c>
      <c r="S99" s="42" t="n"/>
      <c r="T99" s="42" t="n">
        <v>0.886</v>
      </c>
      <c r="U99" s="43">
        <f>IFERROR(AVERAGE(P99:T99),"")</f>
        <v/>
      </c>
      <c r="V99" s="42" t="n"/>
      <c r="W99" s="42" t="n">
        <v>0.732</v>
      </c>
      <c r="X99" s="42" t="n">
        <v>0.736</v>
      </c>
      <c r="Y99" s="42" t="n"/>
      <c r="Z99" s="42" t="n">
        <v>0.9</v>
      </c>
      <c r="AA99" s="43">
        <f>IFERROR(AVERAGE(V99:Z99),"")</f>
        <v/>
      </c>
      <c r="AB99" s="42" t="n">
        <v>0.655</v>
      </c>
      <c r="AC99" s="42" t="n">
        <v>0.664</v>
      </c>
      <c r="AD99" s="42" t="n">
        <v>0.664</v>
      </c>
      <c r="AE99" s="42" t="n">
        <v>0.664</v>
      </c>
      <c r="AF99" s="42" t="n">
        <v>0.6919999999999999</v>
      </c>
      <c r="AG99" s="43">
        <f>IFERROR(AVERAGE(AB99:AF99),"")</f>
        <v/>
      </c>
      <c r="AH99" s="42">
        <f>IFERROR(AG99-AA99,"")</f>
        <v/>
      </c>
      <c r="AI99" s="42">
        <f>IFERROR(AG99-O99,"")</f>
        <v/>
      </c>
    </row>
    <row r="100">
      <c r="A100" s="41" t="inlineStr">
        <is>
          <t>ionosphere</t>
        </is>
      </c>
      <c r="B100" s="42" t="inlineStr">
        <is>
          <t>boundary</t>
        </is>
      </c>
      <c r="C100" s="42" t="n">
        <v>0.3</v>
      </c>
      <c r="D100" s="42" t="n">
        <v>0.758</v>
      </c>
      <c r="E100" s="42" t="n">
        <v>0.752</v>
      </c>
      <c r="F100" s="42" t="n">
        <v>0.786</v>
      </c>
      <c r="G100" s="42" t="n">
        <v>0.769</v>
      </c>
      <c r="H100" s="42" t="n">
        <v>0.718</v>
      </c>
      <c r="I100" s="43">
        <f>IFERROR(AVERAGE(D100:H100),"")</f>
        <v/>
      </c>
      <c r="J100" s="42" t="n">
        <v>0.784</v>
      </c>
      <c r="K100" s="42" t="n">
        <v>0.775</v>
      </c>
      <c r="L100" s="42" t="n">
        <v>0.758</v>
      </c>
      <c r="M100" s="42" t="n">
        <v>0.783</v>
      </c>
      <c r="N100" s="42" t="n">
        <v>0.726</v>
      </c>
      <c r="O100" s="43">
        <f>IFERROR(AVERAGE(J100:N100),"")</f>
        <v/>
      </c>
      <c r="P100" s="42" t="n">
        <v>0.783</v>
      </c>
      <c r="Q100" s="42" t="n">
        <v>0.797</v>
      </c>
      <c r="R100" s="42" t="n">
        <v>0.786</v>
      </c>
      <c r="S100" s="42" t="n">
        <v>0.752</v>
      </c>
      <c r="T100" s="42" t="n">
        <v>0.724</v>
      </c>
      <c r="U100" s="43">
        <f>IFERROR(AVERAGE(P100:T100),"")</f>
        <v/>
      </c>
      <c r="V100" s="42" t="n">
        <v>0.762</v>
      </c>
      <c r="W100" s="42" t="n">
        <v>0.765</v>
      </c>
      <c r="X100" s="42" t="n">
        <v>0.718</v>
      </c>
      <c r="Y100" s="42" t="n">
        <v>0.732</v>
      </c>
      <c r="Z100" s="42" t="n">
        <v>0.724</v>
      </c>
      <c r="AA100" s="43">
        <f>IFERROR(AVERAGE(V100:Z100),"")</f>
        <v/>
      </c>
      <c r="AB100" s="42" t="n">
        <v>0.6899999999999999</v>
      </c>
      <c r="AC100" s="42" t="n">
        <v>0.738</v>
      </c>
      <c r="AD100" s="42" t="n">
        <v>0.718</v>
      </c>
      <c r="AE100" s="42" t="n">
        <v>0.732</v>
      </c>
      <c r="AF100" s="42" t="n">
        <v>0.724</v>
      </c>
      <c r="AG100" s="43">
        <f>IFERROR(AVERAGE(AB100:AF100),"")</f>
        <v/>
      </c>
      <c r="AH100" s="42">
        <f>IFERROR(AG100-AA100,"")</f>
        <v/>
      </c>
      <c r="AI100" s="42">
        <f>IFERROR(AG100-O100,"")</f>
        <v/>
      </c>
    </row>
    <row r="101">
      <c r="A101" s="41" t="inlineStr">
        <is>
          <t>ionosphere</t>
        </is>
      </c>
      <c r="B101" s="42" t="inlineStr">
        <is>
          <t>boundary</t>
        </is>
      </c>
      <c r="C101" s="42" t="n">
        <v>0.4</v>
      </c>
      <c r="D101" s="42" t="n">
        <v>0.747</v>
      </c>
      <c r="E101" s="42" t="n">
        <v>0.647</v>
      </c>
      <c r="F101" s="42" t="n">
        <v>0.647</v>
      </c>
      <c r="G101" s="42" t="n">
        <v>0.678</v>
      </c>
      <c r="H101" s="42" t="n">
        <v>0.71</v>
      </c>
      <c r="I101" s="43">
        <f>IFERROR(AVERAGE(D101:H101),"")</f>
        <v/>
      </c>
      <c r="J101" s="42" t="n">
        <v>0.724</v>
      </c>
      <c r="K101" s="42" t="n">
        <v>0.664</v>
      </c>
      <c r="L101" s="42" t="n">
        <v>0.707</v>
      </c>
      <c r="M101" s="42" t="n">
        <v>0.609</v>
      </c>
      <c r="N101" s="42" t="n">
        <v>0.741</v>
      </c>
      <c r="O101" s="43">
        <f>IFERROR(AVERAGE(J101:N101),"")</f>
        <v/>
      </c>
      <c r="P101" s="42" t="n">
        <v>0.672</v>
      </c>
      <c r="Q101" s="42" t="n">
        <v>0.621</v>
      </c>
      <c r="R101" s="42" t="n">
        <v>0.578</v>
      </c>
      <c r="S101" s="42" t="n">
        <v>0.6870000000000001</v>
      </c>
      <c r="T101" s="42" t="n">
        <v>0.613</v>
      </c>
      <c r="U101" s="43">
        <f>IFERROR(AVERAGE(P101:T101),"")</f>
        <v/>
      </c>
      <c r="V101" s="42" t="n">
        <v>0.633</v>
      </c>
      <c r="W101" s="42" t="n">
        <v>0.65</v>
      </c>
      <c r="X101" s="42" t="n">
        <v>0.521</v>
      </c>
      <c r="Y101" s="42" t="n">
        <v>0.5639999999999999</v>
      </c>
      <c r="Z101" s="42" t="n">
        <v>0.5669999999999999</v>
      </c>
      <c r="AA101" s="43">
        <f>IFERROR(AVERAGE(V101:Z101),"")</f>
        <v/>
      </c>
      <c r="AB101" s="42" t="n">
        <v>0.633</v>
      </c>
      <c r="AC101" s="42" t="n">
        <v>0.65</v>
      </c>
      <c r="AD101" s="42" t="n">
        <v>0.521</v>
      </c>
      <c r="AE101" s="42" t="n">
        <v>0.5639999999999999</v>
      </c>
      <c r="AF101" s="42" t="n">
        <v>0.5669999999999999</v>
      </c>
      <c r="AG101" s="43">
        <f>IFERROR(AVERAGE(AB101:AF101),"")</f>
        <v/>
      </c>
      <c r="AH101" s="42">
        <f>IFERROR(AG101-AA101,"")</f>
        <v/>
      </c>
      <c r="AI101" s="42">
        <f>IFERROR(AG101-O101,"")</f>
        <v/>
      </c>
    </row>
    <row r="102">
      <c r="A102" s="41" t="inlineStr">
        <is>
          <t>ionosphere</t>
        </is>
      </c>
      <c r="B102" s="42" t="inlineStr">
        <is>
          <t>boundary</t>
        </is>
      </c>
      <c r="C102" s="42" t="n">
        <v>0.5</v>
      </c>
      <c r="D102" s="42" t="n">
        <v>0.527</v>
      </c>
      <c r="E102" s="42" t="n">
        <v>0.499</v>
      </c>
      <c r="F102" s="42" t="n">
        <v>0.493</v>
      </c>
      <c r="G102" s="42" t="n">
        <v>0.51</v>
      </c>
      <c r="H102" s="42" t="n">
        <v>0.513</v>
      </c>
      <c r="I102" s="43">
        <f>IFERROR(AVERAGE(D102:H102),"")</f>
        <v/>
      </c>
      <c r="J102" s="42" t="n">
        <v>0.521</v>
      </c>
      <c r="K102" s="42" t="n">
        <v>0.419</v>
      </c>
      <c r="L102" s="42" t="n">
        <v>0.519</v>
      </c>
      <c r="M102" s="42" t="n">
        <v>0.5639999999999999</v>
      </c>
      <c r="N102" s="42" t="n">
        <v>0.524</v>
      </c>
      <c r="O102" s="43">
        <f>IFERROR(AVERAGE(J102:N102),"")</f>
        <v/>
      </c>
      <c r="P102" s="42" t="n">
        <v>0.496</v>
      </c>
      <c r="Q102" s="42" t="n">
        <v>0.444</v>
      </c>
      <c r="R102" s="42" t="n">
        <v>0.515</v>
      </c>
      <c r="S102" s="42" t="n">
        <v>0.51</v>
      </c>
      <c r="T102" s="42" t="n">
        <v>0.459</v>
      </c>
      <c r="U102" s="43">
        <f>IFERROR(AVERAGE(P102:T102),"")</f>
        <v/>
      </c>
      <c r="V102" s="42" t="n">
        <v>0.501</v>
      </c>
      <c r="W102" s="42" t="n">
        <v>0.478</v>
      </c>
      <c r="X102" s="42" t="n">
        <v>0.515</v>
      </c>
      <c r="Y102" s="42" t="n">
        <v>0.504</v>
      </c>
      <c r="Z102" s="42" t="n">
        <v>0.45</v>
      </c>
      <c r="AA102" s="43">
        <f>IFERROR(AVERAGE(V102:Z102),"")</f>
        <v/>
      </c>
      <c r="AB102" s="42" t="n">
        <v>0.501</v>
      </c>
      <c r="AC102" s="42" t="n">
        <v>0.478</v>
      </c>
      <c r="AD102" s="42" t="n">
        <v>0.515</v>
      </c>
      <c r="AE102" s="42" t="n">
        <v>0.504</v>
      </c>
      <c r="AF102" s="42" t="n">
        <v>0.45</v>
      </c>
      <c r="AG102" s="43">
        <f>IFERROR(AVERAGE(AB102:AF102),"")</f>
        <v/>
      </c>
      <c r="AH102" s="42">
        <f>IFERROR(AG102-AA102,"")</f>
        <v/>
      </c>
      <c r="AI102" s="42">
        <f>IFERROR(AG102-O102,"")</f>
        <v/>
      </c>
    </row>
    <row r="103">
      <c r="A103" s="41" t="inlineStr">
        <is>
          <t>ionosphere</t>
        </is>
      </c>
      <c r="B103" s="42" t="inlineStr">
        <is>
          <t>far</t>
        </is>
      </c>
      <c r="C103" s="42" t="n">
        <v>0.2</v>
      </c>
      <c r="D103" s="42" t="n">
        <v>0.678</v>
      </c>
      <c r="E103" s="42" t="n">
        <v>0.718</v>
      </c>
      <c r="F103" s="42" t="n">
        <v>0.698</v>
      </c>
      <c r="G103" s="42" t="n">
        <v>0.607</v>
      </c>
      <c r="H103" s="42" t="n">
        <v>0.741</v>
      </c>
      <c r="I103" s="43">
        <f>IFERROR(AVERAGE(D103:H103),"")</f>
        <v/>
      </c>
      <c r="J103" s="42" t="n">
        <v>0.712</v>
      </c>
      <c r="K103" s="42" t="n">
        <v>0.741</v>
      </c>
      <c r="L103" s="42" t="n">
        <v>0.738</v>
      </c>
      <c r="M103" s="42" t="n">
        <v>0.701</v>
      </c>
      <c r="N103" s="42" t="n">
        <v>0.726</v>
      </c>
      <c r="O103" s="43">
        <f>IFERROR(AVERAGE(J103:N103),"")</f>
        <v/>
      </c>
      <c r="P103" s="42" t="n"/>
      <c r="Q103" s="42" t="n"/>
      <c r="R103" s="42" t="n"/>
      <c r="S103" s="42" t="n"/>
      <c r="T103" s="42" t="n"/>
      <c r="U103" s="43">
        <f>IFERROR(AVERAGE(P103:T103),"")</f>
        <v/>
      </c>
      <c r="V103" s="42" t="n"/>
      <c r="W103" s="42" t="n"/>
      <c r="X103" s="42" t="n"/>
      <c r="Y103" s="42" t="n"/>
      <c r="Z103" s="42" t="n"/>
      <c r="AA103" s="43">
        <f>IFERROR(AVERAGE(V103:Z103),"")</f>
        <v/>
      </c>
      <c r="AB103" s="42" t="n">
        <v>0.675</v>
      </c>
      <c r="AC103" s="42" t="n">
        <v>0.666</v>
      </c>
      <c r="AD103" s="42" t="n">
        <v>0.678</v>
      </c>
      <c r="AE103" s="42" t="n">
        <v>0.644</v>
      </c>
      <c r="AF103" s="42" t="n">
        <v>0.669</v>
      </c>
      <c r="AG103" s="43">
        <f>IFERROR(AVERAGE(AB103:AF103),"")</f>
        <v/>
      </c>
      <c r="AH103" s="42">
        <f>IFERROR(AG103-AA103,"")</f>
        <v/>
      </c>
      <c r="AI103" s="42">
        <f>IFERROR(AG103-O103,"")</f>
        <v/>
      </c>
    </row>
    <row r="104">
      <c r="A104" s="41" t="inlineStr">
        <is>
          <t>ionosphere</t>
        </is>
      </c>
      <c r="B104" s="42" t="inlineStr">
        <is>
          <t>far</t>
        </is>
      </c>
      <c r="C104" s="42" t="n">
        <v>0.3</v>
      </c>
      <c r="D104" s="42" t="n">
        <v>0.621</v>
      </c>
      <c r="E104" s="42" t="n">
        <v>0.672</v>
      </c>
      <c r="F104" s="42" t="n">
        <v>0.652</v>
      </c>
      <c r="G104" s="42" t="n">
        <v>0.638</v>
      </c>
      <c r="H104" s="42" t="n">
        <v>0.604</v>
      </c>
      <c r="I104" s="43">
        <f>IFERROR(AVERAGE(D104:H104),"")</f>
        <v/>
      </c>
      <c r="J104" s="42" t="n">
        <v>0.673</v>
      </c>
      <c r="K104" s="42" t="n">
        <v>0.709</v>
      </c>
      <c r="L104" s="42" t="n">
        <v>0.704</v>
      </c>
      <c r="M104" s="42" t="n">
        <v>0.698</v>
      </c>
      <c r="N104" s="42" t="n">
        <v>0.678</v>
      </c>
      <c r="O104" s="43">
        <f>IFERROR(AVERAGE(J104:N104),"")</f>
        <v/>
      </c>
      <c r="P104" s="42" t="n"/>
      <c r="Q104" s="42" t="n"/>
      <c r="R104" s="42" t="n"/>
      <c r="S104" s="42" t="n"/>
      <c r="T104" s="42" t="n">
        <v>0.704</v>
      </c>
      <c r="U104" s="43">
        <f>IFERROR(AVERAGE(P104:T104),"")</f>
        <v/>
      </c>
      <c r="V104" s="42" t="n"/>
      <c r="W104" s="42" t="n"/>
      <c r="X104" s="42" t="n"/>
      <c r="Y104" s="42" t="n"/>
      <c r="Z104" s="42" t="n">
        <v>0.662</v>
      </c>
      <c r="AA104" s="43">
        <f>IFERROR(AVERAGE(V104:Z104),"")</f>
        <v/>
      </c>
      <c r="AB104" s="42" t="n">
        <v>0.629</v>
      </c>
      <c r="AC104" s="42" t="n">
        <v>0.638</v>
      </c>
      <c r="AD104" s="42" t="n">
        <v>0.6830000000000001</v>
      </c>
      <c r="AE104" s="42" t="n">
        <v>0.673</v>
      </c>
      <c r="AF104" s="42" t="n">
        <v>0.627</v>
      </c>
      <c r="AG104" s="43">
        <f>IFERROR(AVERAGE(AB104:AF104),"")</f>
        <v/>
      </c>
      <c r="AH104" s="42">
        <f>IFERROR(AG104-AA104,"")</f>
        <v/>
      </c>
      <c r="AI104" s="42">
        <f>IFERROR(AG104-O104,"")</f>
        <v/>
      </c>
    </row>
    <row r="105">
      <c r="A105" s="41" t="inlineStr">
        <is>
          <t>ionosphere</t>
        </is>
      </c>
      <c r="B105" s="42" t="inlineStr">
        <is>
          <t>far</t>
        </is>
      </c>
      <c r="C105" s="42" t="n">
        <v>0.4</v>
      </c>
      <c r="D105" s="42" t="n">
        <v>0.607</v>
      </c>
      <c r="E105" s="42" t="n">
        <v>0.524</v>
      </c>
      <c r="F105" s="42" t="n">
        <v>0.612</v>
      </c>
      <c r="G105" s="42" t="n">
        <v>0.592</v>
      </c>
      <c r="H105" s="42" t="n">
        <v>0.533</v>
      </c>
      <c r="I105" s="43">
        <f>IFERROR(AVERAGE(D105:H105),"")</f>
        <v/>
      </c>
      <c r="J105" s="42" t="n">
        <v>0.59</v>
      </c>
      <c r="K105" s="42" t="n">
        <v>0.618</v>
      </c>
      <c r="L105" s="42" t="n">
        <v>0.627</v>
      </c>
      <c r="M105" s="42" t="n">
        <v>0.635</v>
      </c>
      <c r="N105" s="42" t="n">
        <v>0.658</v>
      </c>
      <c r="O105" s="43">
        <f>IFERROR(AVERAGE(J105:N105),"")</f>
        <v/>
      </c>
      <c r="P105" s="42" t="n">
        <v>0.6840000000000001</v>
      </c>
      <c r="Q105" s="42" t="n">
        <v>0.703</v>
      </c>
      <c r="R105" s="42" t="n">
        <v>0.633</v>
      </c>
      <c r="S105" s="42" t="n">
        <v>0.675</v>
      </c>
      <c r="T105" s="42" t="n">
        <v>0.644</v>
      </c>
      <c r="U105" s="43">
        <f>IFERROR(AVERAGE(P105:T105),"")</f>
        <v/>
      </c>
      <c r="V105" s="42" t="n">
        <v>0.647</v>
      </c>
      <c r="W105" s="42" t="n">
        <v>0.701</v>
      </c>
      <c r="X105" s="42" t="n">
        <v>0.619</v>
      </c>
      <c r="Y105" s="42" t="n">
        <v>0.65</v>
      </c>
      <c r="Z105" s="42" t="n">
        <v>0.641</v>
      </c>
      <c r="AA105" s="43">
        <f>IFERROR(AVERAGE(V105:Z105),"")</f>
        <v/>
      </c>
      <c r="AB105" s="42" t="n">
        <v>0.647</v>
      </c>
      <c r="AC105" s="42" t="n">
        <v>0.701</v>
      </c>
      <c r="AD105" s="42" t="n">
        <v>0.638</v>
      </c>
      <c r="AE105" s="42" t="n">
        <v>0.641</v>
      </c>
      <c r="AF105" s="42" t="n">
        <v>0.641</v>
      </c>
      <c r="AG105" s="43">
        <f>IFERROR(AVERAGE(AB105:AF105),"")</f>
        <v/>
      </c>
      <c r="AH105" s="42">
        <f>IFERROR(AG105-AA105,"")</f>
        <v/>
      </c>
      <c r="AI105" s="42">
        <f>IFERROR(AG105-O105,"")</f>
        <v/>
      </c>
    </row>
    <row r="106">
      <c r="A106" s="41" t="inlineStr">
        <is>
          <t>ionosphere</t>
        </is>
      </c>
      <c r="B106" s="42" t="inlineStr">
        <is>
          <t>far</t>
        </is>
      </c>
      <c r="C106" s="42" t="n">
        <v>0.5</v>
      </c>
      <c r="D106" s="42" t="n">
        <v>0.55</v>
      </c>
      <c r="E106" s="42" t="n">
        <v>0.53</v>
      </c>
      <c r="F106" s="42" t="n">
        <v>0.581</v>
      </c>
      <c r="G106" s="42" t="n">
        <v>0.419</v>
      </c>
      <c r="H106" s="42" t="n">
        <v>0.524</v>
      </c>
      <c r="I106" s="43">
        <f>IFERROR(AVERAGE(D106:H106),"")</f>
        <v/>
      </c>
      <c r="J106" s="42" t="n">
        <v>0.547</v>
      </c>
      <c r="K106" s="42" t="n">
        <v>0.499</v>
      </c>
      <c r="L106" s="42" t="n">
        <v>0.604</v>
      </c>
      <c r="M106" s="42" t="n">
        <v>0.475</v>
      </c>
      <c r="N106" s="42" t="n">
        <v>0.393</v>
      </c>
      <c r="O106" s="43">
        <f>IFERROR(AVERAGE(J106:N106),"")</f>
        <v/>
      </c>
      <c r="P106" s="42" t="n">
        <v>0.456</v>
      </c>
      <c r="Q106" s="42" t="n">
        <v>0.493</v>
      </c>
      <c r="R106" s="42" t="n">
        <v>0.482</v>
      </c>
      <c r="S106" s="42" t="n">
        <v>0.521</v>
      </c>
      <c r="T106" s="42" t="n">
        <v>0.49</v>
      </c>
      <c r="U106" s="43">
        <f>IFERROR(AVERAGE(P106:T106),"")</f>
        <v/>
      </c>
      <c r="V106" s="42" t="n">
        <v>0.533</v>
      </c>
      <c r="W106" s="42" t="n">
        <v>0.447</v>
      </c>
      <c r="X106" s="42" t="n">
        <v>0.5610000000000001</v>
      </c>
      <c r="Y106" s="42" t="n">
        <v>0.519</v>
      </c>
      <c r="Z106" s="42" t="n">
        <v>0.553</v>
      </c>
      <c r="AA106" s="43">
        <f>IFERROR(AVERAGE(V106:Z106),"")</f>
        <v/>
      </c>
      <c r="AB106" s="42" t="n">
        <v>0.533</v>
      </c>
      <c r="AC106" s="42" t="n">
        <v>0.447</v>
      </c>
      <c r="AD106" s="42" t="n">
        <v>0.5610000000000001</v>
      </c>
      <c r="AE106" s="42" t="n">
        <v>0.519</v>
      </c>
      <c r="AF106" s="42" t="n">
        <v>0.553</v>
      </c>
      <c r="AG106" s="43">
        <f>IFERROR(AVERAGE(AB106:AF106),"")</f>
        <v/>
      </c>
      <c r="AH106" s="42">
        <f>IFERROR(AG106-AA106,"")</f>
        <v/>
      </c>
      <c r="AI106" s="42">
        <f>IFERROR(AG106-O106,"")</f>
        <v/>
      </c>
    </row>
    <row r="107">
      <c r="A107" s="41" t="inlineStr">
        <is>
          <t>sonar</t>
        </is>
      </c>
      <c r="B107" s="42" t="inlineStr">
        <is>
          <t>(clean)</t>
        </is>
      </c>
      <c r="C107" s="42" t="n">
        <v>0</v>
      </c>
      <c r="D107" s="42" t="n">
        <v>0.712</v>
      </c>
      <c r="E107" s="42" t="n">
        <v>0.726</v>
      </c>
      <c r="F107" s="42" t="n">
        <v>0.726</v>
      </c>
      <c r="G107" s="42" t="n">
        <v>0.711</v>
      </c>
      <c r="H107" s="42" t="n">
        <v>0.6879999999999999</v>
      </c>
      <c r="I107" s="43">
        <f>IFERROR(AVERAGE(D107:H107),"")</f>
        <v/>
      </c>
      <c r="J107" s="42" t="n">
        <v>0.736</v>
      </c>
      <c r="K107" s="42" t="n">
        <v>0.6919999999999999</v>
      </c>
      <c r="L107" s="42" t="n">
        <v>0.721</v>
      </c>
      <c r="M107" s="42" t="n">
        <v>0.711</v>
      </c>
      <c r="N107" s="42" t="n">
        <v>0.716</v>
      </c>
      <c r="O107" s="43">
        <f>IFERROR(AVERAGE(J107:N107),"")</f>
        <v/>
      </c>
      <c r="P107" s="42" t="n">
        <v>0.572</v>
      </c>
      <c r="Q107" s="42" t="n">
        <v>0.625</v>
      </c>
      <c r="R107" s="42" t="n">
        <v>0.654</v>
      </c>
      <c r="S107" s="42" t="n">
        <v>0.635</v>
      </c>
      <c r="T107" s="42" t="n">
        <v>0.707</v>
      </c>
      <c r="U107" s="43">
        <f>IFERROR(AVERAGE(P107:T107),"")</f>
        <v/>
      </c>
      <c r="V107" s="42" t="n">
        <v>0.5669999999999999</v>
      </c>
      <c r="W107" s="42" t="n">
        <v>0.611</v>
      </c>
      <c r="X107" s="42" t="n">
        <v>0.577</v>
      </c>
      <c r="Y107" s="42" t="n">
        <v>0.577</v>
      </c>
      <c r="Z107" s="42" t="n">
        <v>0.621</v>
      </c>
      <c r="AA107" s="43">
        <f>IFERROR(AVERAGE(V107:Z107),"")</f>
        <v/>
      </c>
      <c r="AB107" s="42" t="n">
        <v>0.5669999999999999</v>
      </c>
      <c r="AC107" s="42" t="n">
        <v>0.611</v>
      </c>
      <c r="AD107" s="42" t="n">
        <v>0.577</v>
      </c>
      <c r="AE107" s="42" t="n">
        <v>0.577</v>
      </c>
      <c r="AF107" s="42" t="n">
        <v>0.621</v>
      </c>
      <c r="AG107" s="43">
        <f>IFERROR(AVERAGE(AB107:AF107),"")</f>
        <v/>
      </c>
      <c r="AH107" s="42">
        <f>IFERROR(AG107-AA107,"")</f>
        <v/>
      </c>
      <c r="AI107" s="42">
        <f>IFERROR(AG107-O107,"")</f>
        <v/>
      </c>
    </row>
    <row r="108">
      <c r="A108" s="41" t="inlineStr">
        <is>
          <t>sonar</t>
        </is>
      </c>
      <c r="B108" s="42" t="inlineStr">
        <is>
          <t>symmetric</t>
        </is>
      </c>
      <c r="C108" s="42" t="n">
        <v>0.2</v>
      </c>
      <c r="D108" s="42" t="n">
        <v>0.61</v>
      </c>
      <c r="E108" s="42" t="n">
        <v>0.577</v>
      </c>
      <c r="F108" s="42" t="n">
        <v>0.582</v>
      </c>
      <c r="G108" s="42" t="n">
        <v>0.624</v>
      </c>
      <c r="H108" s="42" t="n">
        <v>0.601</v>
      </c>
      <c r="I108" s="43">
        <f>IFERROR(AVERAGE(D108:H108),"")</f>
        <v/>
      </c>
      <c r="J108" s="42" t="n">
        <v>0.663</v>
      </c>
      <c r="K108" s="42" t="n">
        <v>0.649</v>
      </c>
      <c r="L108" s="42" t="n">
        <v>0.64</v>
      </c>
      <c r="M108" s="42" t="n">
        <v>0.6919999999999999</v>
      </c>
      <c r="N108" s="42" t="n">
        <v>0.649</v>
      </c>
      <c r="O108" s="43">
        <f>IFERROR(AVERAGE(J108:N108),"")</f>
        <v/>
      </c>
      <c r="P108" s="42" t="n">
        <v>0.677</v>
      </c>
      <c r="Q108" s="42" t="n">
        <v>0.635</v>
      </c>
      <c r="R108" s="42" t="n">
        <v>0.6870000000000001</v>
      </c>
      <c r="S108" s="42" t="n">
        <v>0.673</v>
      </c>
      <c r="T108" s="42" t="n">
        <v>0.721</v>
      </c>
      <c r="U108" s="43">
        <f>IFERROR(AVERAGE(P108:T108),"")</f>
        <v/>
      </c>
      <c r="V108" s="42" t="n">
        <v>0.644</v>
      </c>
      <c r="W108" s="42" t="n">
        <v>0.596</v>
      </c>
      <c r="X108" s="42" t="n">
        <v>0.609</v>
      </c>
      <c r="Y108" s="42" t="n">
        <v>0.591</v>
      </c>
      <c r="Z108" s="42" t="n">
        <v>0.712</v>
      </c>
      <c r="AA108" s="43">
        <f>IFERROR(AVERAGE(V108:Z108),"")</f>
        <v/>
      </c>
      <c r="AB108" s="42" t="n">
        <v>0.644</v>
      </c>
      <c r="AC108" s="42" t="n">
        <v>0.596</v>
      </c>
      <c r="AD108" s="42" t="n">
        <v>0.609</v>
      </c>
      <c r="AE108" s="42" t="n">
        <v>0.591</v>
      </c>
      <c r="AF108" s="42" t="n">
        <v>0.712</v>
      </c>
      <c r="AG108" s="43">
        <f>IFERROR(AVERAGE(AB108:AF108),"")</f>
        <v/>
      </c>
      <c r="AH108" s="42">
        <f>IFERROR(AG108-AA108,"")</f>
        <v/>
      </c>
      <c r="AI108" s="42">
        <f>IFERROR(AG108-O108,"")</f>
        <v/>
      </c>
    </row>
    <row r="109">
      <c r="A109" s="41" t="inlineStr">
        <is>
          <t>sonar</t>
        </is>
      </c>
      <c r="B109" s="42" t="inlineStr">
        <is>
          <t>symmetric</t>
        </is>
      </c>
      <c r="C109" s="42" t="n">
        <v>0.3</v>
      </c>
      <c r="D109" s="42" t="n">
        <v>0.5620000000000001</v>
      </c>
      <c r="E109" s="42" t="n">
        <v>0.578</v>
      </c>
      <c r="F109" s="42" t="n">
        <v>0.5580000000000001</v>
      </c>
      <c r="G109" s="42" t="n">
        <v>0.577</v>
      </c>
      <c r="H109" s="42" t="n">
        <v>0.51</v>
      </c>
      <c r="I109" s="43">
        <f>IFERROR(AVERAGE(D109:H109),"")</f>
        <v/>
      </c>
      <c r="J109" s="42" t="n">
        <v>0.649</v>
      </c>
      <c r="K109" s="42" t="n">
        <v>0.63</v>
      </c>
      <c r="L109" s="42" t="n">
        <v>0.5669999999999999</v>
      </c>
      <c r="M109" s="42" t="n">
        <v>0.572</v>
      </c>
      <c r="N109" s="42" t="n">
        <v>0.62</v>
      </c>
      <c r="O109" s="43">
        <f>IFERROR(AVERAGE(J109:N109),"")</f>
        <v/>
      </c>
      <c r="P109" s="42" t="n">
        <v>0.62</v>
      </c>
      <c r="Q109" s="42" t="n">
        <v>0.625</v>
      </c>
      <c r="R109" s="42" t="n">
        <v>0.644</v>
      </c>
      <c r="S109" s="42" t="n">
        <v>0.615</v>
      </c>
      <c r="T109" s="42" t="n">
        <v>0.62</v>
      </c>
      <c r="U109" s="43">
        <f>IFERROR(AVERAGE(P109:T109),"")</f>
        <v/>
      </c>
      <c r="V109" s="42" t="n">
        <v>0.577</v>
      </c>
      <c r="W109" s="42" t="n">
        <v>0.581</v>
      </c>
      <c r="X109" s="42" t="n">
        <v>0.591</v>
      </c>
      <c r="Y109" s="42" t="n">
        <v>0.5679999999999999</v>
      </c>
      <c r="Z109" s="42" t="n">
        <v>0.649</v>
      </c>
      <c r="AA109" s="43">
        <f>IFERROR(AVERAGE(V109:Z109),"")</f>
        <v/>
      </c>
      <c r="AB109" s="42" t="n">
        <v>0.577</v>
      </c>
      <c r="AC109" s="42" t="n">
        <v>0.581</v>
      </c>
      <c r="AD109" s="42" t="n">
        <v>0.591</v>
      </c>
      <c r="AE109" s="42" t="n">
        <v>0.5679999999999999</v>
      </c>
      <c r="AF109" s="42" t="n">
        <v>0.649</v>
      </c>
      <c r="AG109" s="43">
        <f>IFERROR(AVERAGE(AB109:AF109),"")</f>
        <v/>
      </c>
      <c r="AH109" s="42">
        <f>IFERROR(AG109-AA109,"")</f>
        <v/>
      </c>
      <c r="AI109" s="42">
        <f>IFERROR(AG109-O109,"")</f>
        <v/>
      </c>
    </row>
    <row r="110">
      <c r="A110" s="41" t="inlineStr">
        <is>
          <t>sonar</t>
        </is>
      </c>
      <c r="B110" s="42" t="inlineStr">
        <is>
          <t>symmetric</t>
        </is>
      </c>
      <c r="C110" s="42" t="n">
        <v>0.4</v>
      </c>
      <c r="D110" s="42" t="n">
        <v>0.553</v>
      </c>
      <c r="E110" s="42" t="n">
        <v>0.514</v>
      </c>
      <c r="F110" s="42" t="n">
        <v>0.534</v>
      </c>
      <c r="G110" s="42" t="n">
        <v>0.5669999999999999</v>
      </c>
      <c r="H110" s="42" t="n">
        <v>0.519</v>
      </c>
      <c r="I110" s="43">
        <f>IFERROR(AVERAGE(D110:H110),"")</f>
        <v/>
      </c>
      <c r="J110" s="42" t="n">
        <v>0.505</v>
      </c>
      <c r="K110" s="42" t="n">
        <v>0.5</v>
      </c>
      <c r="L110" s="42" t="n">
        <v>0.529</v>
      </c>
      <c r="M110" s="42" t="n">
        <v>0.548</v>
      </c>
      <c r="N110" s="42" t="n">
        <v>0.62</v>
      </c>
      <c r="O110" s="43">
        <f>IFERROR(AVERAGE(J110:N110),"")</f>
        <v/>
      </c>
      <c r="P110" s="42" t="n">
        <v>0.548</v>
      </c>
      <c r="Q110" s="42" t="n">
        <v>0.481</v>
      </c>
      <c r="R110" s="42" t="n">
        <v>0.6</v>
      </c>
      <c r="S110" s="42" t="n">
        <v>0.529</v>
      </c>
      <c r="T110" s="42" t="n">
        <v>0.5580000000000001</v>
      </c>
      <c r="U110" s="43">
        <f>IFERROR(AVERAGE(P110:T110),"")</f>
        <v/>
      </c>
      <c r="V110" s="42" t="n">
        <v>0.529</v>
      </c>
      <c r="W110" s="42" t="n">
        <v>0.5</v>
      </c>
      <c r="X110" s="42" t="n">
        <v>0.596</v>
      </c>
      <c r="Y110" s="42" t="n">
        <v>0.48</v>
      </c>
      <c r="Z110" s="42" t="n">
        <v>0.543</v>
      </c>
      <c r="AA110" s="43">
        <f>IFERROR(AVERAGE(V110:Z110),"")</f>
        <v/>
      </c>
      <c r="AB110" s="42" t="n">
        <v>0.529</v>
      </c>
      <c r="AC110" s="42" t="n">
        <v>0.5</v>
      </c>
      <c r="AD110" s="42" t="n">
        <v>0.596</v>
      </c>
      <c r="AE110" s="42" t="n">
        <v>0.48</v>
      </c>
      <c r="AF110" s="42" t="n">
        <v>0.543</v>
      </c>
      <c r="AG110" s="43">
        <f>IFERROR(AVERAGE(AB110:AF110),"")</f>
        <v/>
      </c>
      <c r="AH110" s="42">
        <f>IFERROR(AG110-AA110,"")</f>
        <v/>
      </c>
      <c r="AI110" s="42">
        <f>IFERROR(AG110-O110,"")</f>
        <v/>
      </c>
    </row>
    <row r="111">
      <c r="A111" s="41" t="inlineStr">
        <is>
          <t>sonar</t>
        </is>
      </c>
      <c r="B111" s="42" t="inlineStr">
        <is>
          <t>symmetric</t>
        </is>
      </c>
      <c r="C111" s="42" t="n">
        <v>0.5</v>
      </c>
      <c r="D111" s="42" t="n">
        <v>0.466</v>
      </c>
      <c r="E111" s="42" t="n">
        <v>0.52</v>
      </c>
      <c r="F111" s="42" t="n">
        <v>0.509</v>
      </c>
      <c r="G111" s="42" t="n">
        <v>0.5</v>
      </c>
      <c r="H111" s="42" t="n">
        <v>0.573</v>
      </c>
      <c r="I111" s="43">
        <f>IFERROR(AVERAGE(D111:H111),"")</f>
        <v/>
      </c>
      <c r="J111" s="42" t="n">
        <v>0.447</v>
      </c>
      <c r="K111" s="42" t="n">
        <v>0.5669999999999999</v>
      </c>
      <c r="L111" s="42" t="n">
        <v>0.524</v>
      </c>
      <c r="M111" s="42" t="n">
        <v>0.519</v>
      </c>
      <c r="N111" s="42" t="n">
        <v>0.5669999999999999</v>
      </c>
      <c r="O111" s="43">
        <f>IFERROR(AVERAGE(J111:N111),"")</f>
        <v/>
      </c>
      <c r="P111" s="42" t="n">
        <v>0.5570000000000001</v>
      </c>
      <c r="Q111" s="42" t="n">
        <v>0.576</v>
      </c>
      <c r="R111" s="42" t="n">
        <v>0.543</v>
      </c>
      <c r="S111" s="42" t="n">
        <v>0.486</v>
      </c>
      <c r="T111" s="42" t="n">
        <v>0.547</v>
      </c>
      <c r="U111" s="43">
        <f>IFERROR(AVERAGE(P111:T111),"")</f>
        <v/>
      </c>
      <c r="V111" s="42" t="n">
        <v>0.544</v>
      </c>
      <c r="W111" s="42" t="n">
        <v>0.5570000000000001</v>
      </c>
      <c r="X111" s="42" t="n">
        <v>0.534</v>
      </c>
      <c r="Y111" s="42" t="n">
        <v>0.534</v>
      </c>
      <c r="Z111" s="42" t="n">
        <v>0.538</v>
      </c>
      <c r="AA111" s="43">
        <f>IFERROR(AVERAGE(V111:Z111),"")</f>
        <v/>
      </c>
      <c r="AB111" s="42" t="n">
        <v>0.544</v>
      </c>
      <c r="AC111" s="42" t="n">
        <v>0.5570000000000001</v>
      </c>
      <c r="AD111" s="42" t="n">
        <v>0.534</v>
      </c>
      <c r="AE111" s="42" t="n">
        <v>0.534</v>
      </c>
      <c r="AF111" s="42" t="n">
        <v>0.538</v>
      </c>
      <c r="AG111" s="43">
        <f>IFERROR(AVERAGE(AB111:AF111),"")</f>
        <v/>
      </c>
      <c r="AH111" s="42">
        <f>IFERROR(AG111-AA111,"")</f>
        <v/>
      </c>
      <c r="AI111" s="42">
        <f>IFERROR(AG111-O111,"")</f>
        <v/>
      </c>
    </row>
    <row r="112">
      <c r="A112" s="41" t="inlineStr">
        <is>
          <t>sonar</t>
        </is>
      </c>
      <c r="B112" s="42" t="inlineStr">
        <is>
          <t>asymmetric</t>
        </is>
      </c>
      <c r="C112" s="42" t="n">
        <v>0.2</v>
      </c>
      <c r="D112" s="42" t="n">
        <v>0.634</v>
      </c>
      <c r="E112" s="42" t="n">
        <v>0.592</v>
      </c>
      <c r="F112" s="42" t="n">
        <v>0.606</v>
      </c>
      <c r="G112" s="42" t="n">
        <v>0.659</v>
      </c>
      <c r="H112" s="42" t="n">
        <v>0.544</v>
      </c>
      <c r="I112" s="43">
        <f>IFERROR(AVERAGE(D112:H112),"")</f>
        <v/>
      </c>
      <c r="J112" s="42" t="n">
        <v>0.639</v>
      </c>
      <c r="K112" s="42" t="n">
        <v>0.63</v>
      </c>
      <c r="L112" s="42" t="n">
        <v>0.634</v>
      </c>
      <c r="M112" s="42" t="n">
        <v>0.624</v>
      </c>
      <c r="N112" s="42" t="n">
        <v>0.611</v>
      </c>
      <c r="O112" s="43">
        <f>IFERROR(AVERAGE(J112:N112),"")</f>
        <v/>
      </c>
      <c r="P112" s="42" t="n">
        <v>0.668</v>
      </c>
      <c r="Q112" s="42" t="n">
        <v>0.644</v>
      </c>
      <c r="R112" s="42" t="n">
        <v>0.673</v>
      </c>
      <c r="S112" s="42" t="n">
        <v>0.629</v>
      </c>
      <c r="T112" s="42" t="n">
        <v>0.596</v>
      </c>
      <c r="U112" s="43">
        <f>IFERROR(AVERAGE(P112:T112),"")</f>
        <v/>
      </c>
      <c r="V112" s="42" t="n">
        <v>0.663</v>
      </c>
      <c r="W112" s="42" t="n">
        <v>0.654</v>
      </c>
      <c r="X112" s="42" t="n">
        <v>0.659</v>
      </c>
      <c r="Y112" s="42" t="n">
        <v>0.61</v>
      </c>
      <c r="Z112" s="42" t="n">
        <v>0.591</v>
      </c>
      <c r="AA112" s="43">
        <f>IFERROR(AVERAGE(V112:Z112),"")</f>
        <v/>
      </c>
      <c r="AB112" s="42" t="n">
        <v>0.663</v>
      </c>
      <c r="AC112" s="42" t="n">
        <v>0.654</v>
      </c>
      <c r="AD112" s="42" t="n">
        <v>0.659</v>
      </c>
      <c r="AE112" s="42" t="n">
        <v>0.61</v>
      </c>
      <c r="AF112" s="42" t="n">
        <v>0.591</v>
      </c>
      <c r="AG112" s="43">
        <f>IFERROR(AVERAGE(AB112:AF112),"")</f>
        <v/>
      </c>
      <c r="AH112" s="42">
        <f>IFERROR(AG112-AA112,"")</f>
        <v/>
      </c>
      <c r="AI112" s="42">
        <f>IFERROR(AG112-O112,"")</f>
        <v/>
      </c>
    </row>
    <row r="113">
      <c r="A113" s="41" t="inlineStr">
        <is>
          <t>sonar</t>
        </is>
      </c>
      <c r="B113" s="42" t="inlineStr">
        <is>
          <t>asymmetric</t>
        </is>
      </c>
      <c r="C113" s="42" t="n">
        <v>0.3</v>
      </c>
      <c r="D113" s="42" t="n">
        <v>0.5629999999999999</v>
      </c>
      <c r="E113" s="42" t="n">
        <v>0.591</v>
      </c>
      <c r="F113" s="42" t="n">
        <v>0.601</v>
      </c>
      <c r="G113" s="42" t="n">
        <v>0.6</v>
      </c>
      <c r="H113" s="42" t="n">
        <v>0.554</v>
      </c>
      <c r="I113" s="43">
        <f>IFERROR(AVERAGE(D113:H113),"")</f>
        <v/>
      </c>
      <c r="J113" s="42" t="n">
        <v>0.644</v>
      </c>
      <c r="K113" s="42" t="n">
        <v>0.644</v>
      </c>
      <c r="L113" s="42" t="n">
        <v>0.678</v>
      </c>
      <c r="M113" s="42" t="n">
        <v>0.6870000000000001</v>
      </c>
      <c r="N113" s="42" t="n">
        <v>0.572</v>
      </c>
      <c r="O113" s="43">
        <f>IFERROR(AVERAGE(J113:N113),"")</f>
        <v/>
      </c>
      <c r="P113" s="42" t="n"/>
      <c r="Q113" s="42" t="n"/>
      <c r="R113" s="42" t="n"/>
      <c r="S113" s="42" t="n"/>
      <c r="T113" s="42" t="n"/>
      <c r="U113" s="43">
        <f>IFERROR(AVERAGE(P113:T113),"")</f>
        <v/>
      </c>
      <c r="V113" s="42" t="n"/>
      <c r="W113" s="42" t="n"/>
      <c r="X113" s="42" t="n"/>
      <c r="Y113" s="42" t="n"/>
      <c r="Z113" s="42" t="n"/>
      <c r="AA113" s="43">
        <f>IFERROR(AVERAGE(V113:Z113),"")</f>
        <v/>
      </c>
      <c r="AB113" s="42" t="n">
        <v>0.63</v>
      </c>
      <c r="AC113" s="42" t="n">
        <v>0.611</v>
      </c>
      <c r="AD113" s="42" t="n">
        <v>0.644</v>
      </c>
      <c r="AE113" s="42" t="n">
        <v>0.649</v>
      </c>
      <c r="AF113" s="42" t="n">
        <v>0.605</v>
      </c>
      <c r="AG113" s="43">
        <f>IFERROR(AVERAGE(AB113:AF113),"")</f>
        <v/>
      </c>
      <c r="AH113" s="42">
        <f>IFERROR(AG113-AA113,"")</f>
        <v/>
      </c>
      <c r="AI113" s="42">
        <f>IFERROR(AG113-O113,"")</f>
        <v/>
      </c>
    </row>
    <row r="114">
      <c r="A114" s="41" t="inlineStr">
        <is>
          <t>sonar</t>
        </is>
      </c>
      <c r="B114" s="42" t="inlineStr">
        <is>
          <t>asymmetric</t>
        </is>
      </c>
      <c r="C114" s="42" t="n">
        <v>0.4</v>
      </c>
      <c r="D114" s="42" t="n">
        <v>0.5620000000000001</v>
      </c>
      <c r="E114" s="42" t="n">
        <v>0.602</v>
      </c>
      <c r="F114" s="42" t="n">
        <v>0.572</v>
      </c>
      <c r="G114" s="42" t="n">
        <v>0.5620000000000001</v>
      </c>
      <c r="H114" s="42" t="n">
        <v>0.554</v>
      </c>
      <c r="I114" s="43">
        <f>IFERROR(AVERAGE(D114:H114),"")</f>
        <v/>
      </c>
      <c r="J114" s="42" t="n">
        <v>0.601</v>
      </c>
      <c r="K114" s="42" t="n">
        <v>0.5580000000000001</v>
      </c>
      <c r="L114" s="42" t="n">
        <v>0.62</v>
      </c>
      <c r="M114" s="42" t="n">
        <v>0.586</v>
      </c>
      <c r="N114" s="42" t="n">
        <v>0.606</v>
      </c>
      <c r="O114" s="43">
        <f>IFERROR(AVERAGE(J114:N114),"")</f>
        <v/>
      </c>
      <c r="P114" s="42" t="n"/>
      <c r="Q114" s="42" t="n"/>
      <c r="R114" s="42" t="n"/>
      <c r="S114" s="42" t="n"/>
      <c r="T114" s="42" t="n"/>
      <c r="U114" s="43">
        <f>IFERROR(AVERAGE(P114:T114),"")</f>
        <v/>
      </c>
      <c r="V114" s="42" t="n"/>
      <c r="W114" s="42" t="n"/>
      <c r="X114" s="42" t="n"/>
      <c r="Y114" s="42" t="n"/>
      <c r="Z114" s="42" t="n"/>
      <c r="AA114" s="43">
        <f>IFERROR(AVERAGE(V114:Z114),"")</f>
        <v/>
      </c>
      <c r="AB114" s="42" t="n">
        <v>0.62</v>
      </c>
      <c r="AC114" s="42" t="n">
        <v>0.591</v>
      </c>
      <c r="AD114" s="42" t="n">
        <v>0.672</v>
      </c>
      <c r="AE114" s="42" t="n">
        <v>0.611</v>
      </c>
      <c r="AF114" s="42" t="n">
        <v>0.62</v>
      </c>
      <c r="AG114" s="43">
        <f>IFERROR(AVERAGE(AB114:AF114),"")</f>
        <v/>
      </c>
      <c r="AH114" s="42">
        <f>IFERROR(AG114-AA114,"")</f>
        <v/>
      </c>
      <c r="AI114" s="42">
        <f>IFERROR(AG114-O114,"")</f>
        <v/>
      </c>
    </row>
    <row r="115">
      <c r="A115" s="41" t="inlineStr">
        <is>
          <t>sonar</t>
        </is>
      </c>
      <c r="B115" s="42" t="inlineStr">
        <is>
          <t>asymmetric</t>
        </is>
      </c>
      <c r="C115" s="42" t="n">
        <v>0.5</v>
      </c>
      <c r="D115" s="42" t="n">
        <v>0.529</v>
      </c>
      <c r="E115" s="42" t="n">
        <v>0.533</v>
      </c>
      <c r="F115" s="42" t="n">
        <v>0.515</v>
      </c>
      <c r="G115" s="42" t="n">
        <v>0.5</v>
      </c>
      <c r="H115" s="42" t="n">
        <v>0.553</v>
      </c>
      <c r="I115" s="43">
        <f>IFERROR(AVERAGE(D115:H115),"")</f>
        <v/>
      </c>
      <c r="J115" s="42" t="n">
        <v>0.572</v>
      </c>
      <c r="K115" s="42" t="n">
        <v>0.582</v>
      </c>
      <c r="L115" s="42" t="n">
        <v>0.5669999999999999</v>
      </c>
      <c r="M115" s="42" t="n">
        <v>0.595</v>
      </c>
      <c r="N115" s="42" t="n">
        <v>0.577</v>
      </c>
      <c r="O115" s="43">
        <f>IFERROR(AVERAGE(J115:N115),"")</f>
        <v/>
      </c>
      <c r="P115" s="42" t="n"/>
      <c r="Q115" s="42" t="n"/>
      <c r="R115" s="42" t="n"/>
      <c r="S115" s="42" t="n"/>
      <c r="T115" s="42" t="n"/>
      <c r="U115" s="43">
        <f>IFERROR(AVERAGE(P115:T115),"")</f>
        <v/>
      </c>
      <c r="V115" s="42" t="n"/>
      <c r="W115" s="42" t="n"/>
      <c r="X115" s="42" t="n"/>
      <c r="Y115" s="42" t="n"/>
      <c r="Z115" s="42" t="n"/>
      <c r="AA115" s="43">
        <f>IFERROR(AVERAGE(V115:Z115),"")</f>
        <v/>
      </c>
      <c r="AB115" s="42" t="n">
        <v>0.596</v>
      </c>
      <c r="AC115" s="42" t="n">
        <v>0.591</v>
      </c>
      <c r="AD115" s="42" t="n">
        <v>0.534</v>
      </c>
      <c r="AE115" s="42" t="n">
        <v>0.672</v>
      </c>
      <c r="AF115" s="42" t="n">
        <v>0.615</v>
      </c>
      <c r="AG115" s="43">
        <f>IFERROR(AVERAGE(AB115:AF115),"")</f>
        <v/>
      </c>
      <c r="AH115" s="42">
        <f>IFERROR(AG115-AA115,"")</f>
        <v/>
      </c>
      <c r="AI115" s="42">
        <f>IFERROR(AG115-O115,"")</f>
        <v/>
      </c>
    </row>
    <row r="116">
      <c r="A116" s="41" t="inlineStr">
        <is>
          <t>sonar</t>
        </is>
      </c>
      <c r="B116" s="42" t="inlineStr">
        <is>
          <t>boundary</t>
        </is>
      </c>
      <c r="C116" s="42" t="n">
        <v>0.2</v>
      </c>
      <c r="D116" s="42" t="n">
        <v>0.625</v>
      </c>
      <c r="E116" s="42" t="n">
        <v>0.62</v>
      </c>
      <c r="F116" s="42" t="n">
        <v>0.664</v>
      </c>
      <c r="G116" s="42" t="n">
        <v>0.697</v>
      </c>
      <c r="H116" s="42" t="n">
        <v>0.61</v>
      </c>
      <c r="I116" s="43">
        <f>IFERROR(AVERAGE(D116:H116),"")</f>
        <v/>
      </c>
      <c r="J116" s="42" t="n">
        <v>0.707</v>
      </c>
      <c r="K116" s="42" t="n">
        <v>0.6879999999999999</v>
      </c>
      <c r="L116" s="42" t="n">
        <v>0.784</v>
      </c>
      <c r="M116" s="42" t="n">
        <v>0.711</v>
      </c>
      <c r="N116" s="42" t="n">
        <v>0.707</v>
      </c>
      <c r="O116" s="43">
        <f>IFERROR(AVERAGE(J116:N116),"")</f>
        <v/>
      </c>
      <c r="P116" s="42" t="n">
        <v>0.586</v>
      </c>
      <c r="Q116" s="42" t="n">
        <v>0.663</v>
      </c>
      <c r="R116" s="42" t="n">
        <v>0.731</v>
      </c>
      <c r="S116" s="42" t="n">
        <v>0.625</v>
      </c>
      <c r="T116" s="42" t="n">
        <v>0.649</v>
      </c>
      <c r="U116" s="43">
        <f>IFERROR(AVERAGE(P116:T116),"")</f>
        <v/>
      </c>
      <c r="V116" s="42" t="n">
        <v>0.601</v>
      </c>
      <c r="W116" s="42" t="n">
        <v>0.61</v>
      </c>
      <c r="X116" s="42" t="n">
        <v>0.677</v>
      </c>
      <c r="Y116" s="42" t="n">
        <v>0.533</v>
      </c>
      <c r="Z116" s="42" t="n">
        <v>0.629</v>
      </c>
      <c r="AA116" s="43">
        <f>IFERROR(AVERAGE(V116:Z116),"")</f>
        <v/>
      </c>
      <c r="AB116" s="42" t="n">
        <v>0.601</v>
      </c>
      <c r="AC116" s="42" t="n">
        <v>0.61</v>
      </c>
      <c r="AD116" s="42" t="n">
        <v>0.677</v>
      </c>
      <c r="AE116" s="42" t="n">
        <v>0.533</v>
      </c>
      <c r="AF116" s="42" t="n">
        <v>0.629</v>
      </c>
      <c r="AG116" s="43">
        <f>IFERROR(AVERAGE(AB116:AF116),"")</f>
        <v/>
      </c>
      <c r="AH116" s="42">
        <f>IFERROR(AG116-AA116,"")</f>
        <v/>
      </c>
      <c r="AI116" s="42">
        <f>IFERROR(AG116-O116,"")</f>
        <v/>
      </c>
    </row>
    <row r="117">
      <c r="A117" s="41" t="inlineStr">
        <is>
          <t>sonar</t>
        </is>
      </c>
      <c r="B117" s="42" t="inlineStr">
        <is>
          <t>boundary</t>
        </is>
      </c>
      <c r="C117" s="42" t="n">
        <v>0.3</v>
      </c>
      <c r="D117" s="42" t="n">
        <v>0.606</v>
      </c>
      <c r="E117" s="42" t="n">
        <v>0.581</v>
      </c>
      <c r="F117" s="42" t="n">
        <v>0.6830000000000001</v>
      </c>
      <c r="G117" s="42" t="n">
        <v>0.6870000000000001</v>
      </c>
      <c r="H117" s="42" t="n">
        <v>0.664</v>
      </c>
      <c r="I117" s="43">
        <f>IFERROR(AVERAGE(D117:H117),"")</f>
        <v/>
      </c>
      <c r="J117" s="42" t="n">
        <v>0.624</v>
      </c>
      <c r="K117" s="42" t="n">
        <v>0.615</v>
      </c>
      <c r="L117" s="42" t="n">
        <v>0.664</v>
      </c>
      <c r="M117" s="42" t="n">
        <v>0.644</v>
      </c>
      <c r="N117" s="42" t="n">
        <v>0.677</v>
      </c>
      <c r="O117" s="43">
        <f>IFERROR(AVERAGE(J117:N117),"")</f>
        <v/>
      </c>
      <c r="P117" s="42" t="n">
        <v>0.591</v>
      </c>
      <c r="Q117" s="42" t="n">
        <v>0.664</v>
      </c>
      <c r="R117" s="42" t="n">
        <v>0.658</v>
      </c>
      <c r="S117" s="42" t="n">
        <v>0.606</v>
      </c>
      <c r="T117" s="42" t="n">
        <v>0.635</v>
      </c>
      <c r="U117" s="43">
        <f>IFERROR(AVERAGE(P117:T117),"")</f>
        <v/>
      </c>
      <c r="V117" s="42" t="n">
        <v>0.547</v>
      </c>
      <c r="W117" s="42" t="n">
        <v>0.6830000000000001</v>
      </c>
      <c r="X117" s="42" t="n">
        <v>0.653</v>
      </c>
      <c r="Y117" s="42" t="n">
        <v>0.591</v>
      </c>
      <c r="Z117" s="42" t="n">
        <v>0.616</v>
      </c>
      <c r="AA117" s="43">
        <f>IFERROR(AVERAGE(V117:Z117),"")</f>
        <v/>
      </c>
      <c r="AB117" s="42" t="n">
        <v>0.547</v>
      </c>
      <c r="AC117" s="42" t="n">
        <v>0.6830000000000001</v>
      </c>
      <c r="AD117" s="42" t="n">
        <v>0.653</v>
      </c>
      <c r="AE117" s="42" t="n">
        <v>0.591</v>
      </c>
      <c r="AF117" s="42" t="n">
        <v>0.616</v>
      </c>
      <c r="AG117" s="43">
        <f>IFERROR(AVERAGE(AB117:AF117),"")</f>
        <v/>
      </c>
      <c r="AH117" s="42">
        <f>IFERROR(AG117-AA117,"")</f>
        <v/>
      </c>
      <c r="AI117" s="42">
        <f>IFERROR(AG117-O117,"")</f>
        <v/>
      </c>
    </row>
    <row r="118">
      <c r="A118" s="41" t="inlineStr">
        <is>
          <t>sonar</t>
        </is>
      </c>
      <c r="B118" s="42" t="inlineStr">
        <is>
          <t>boundary</t>
        </is>
      </c>
      <c r="C118" s="42" t="n">
        <v>0.4</v>
      </c>
      <c r="D118" s="42" t="n">
        <v>0.548</v>
      </c>
      <c r="E118" s="42" t="n">
        <v>0.548</v>
      </c>
      <c r="F118" s="42" t="n">
        <v>0.577</v>
      </c>
      <c r="G118" s="42" t="n">
        <v>0.611</v>
      </c>
      <c r="H118" s="42" t="n">
        <v>0.602</v>
      </c>
      <c r="I118" s="43">
        <f>IFERROR(AVERAGE(D118:H118),"")</f>
        <v/>
      </c>
      <c r="J118" s="42" t="n">
        <v>0.606</v>
      </c>
      <c r="K118" s="42" t="n">
        <v>0.625</v>
      </c>
      <c r="L118" s="42" t="n">
        <v>0.601</v>
      </c>
      <c r="M118" s="42" t="n">
        <v>0.649</v>
      </c>
      <c r="N118" s="42" t="n">
        <v>0.658</v>
      </c>
      <c r="O118" s="43">
        <f>IFERROR(AVERAGE(J118:N118),"")</f>
        <v/>
      </c>
      <c r="P118" s="42" t="n">
        <v>0.629</v>
      </c>
      <c r="Q118" s="42" t="n">
        <v>0.634</v>
      </c>
      <c r="R118" s="42" t="n">
        <v>0.581</v>
      </c>
      <c r="S118" s="42" t="n">
        <v>0.639</v>
      </c>
      <c r="T118" s="42" t="n">
        <v>0.62</v>
      </c>
      <c r="U118" s="43">
        <f>IFERROR(AVERAGE(P118:T118),"")</f>
        <v/>
      </c>
      <c r="V118" s="42" t="n">
        <v>0.548</v>
      </c>
      <c r="W118" s="42" t="n">
        <v>0.605</v>
      </c>
      <c r="X118" s="42" t="n">
        <v>0.552</v>
      </c>
      <c r="Y118" s="42" t="n">
        <v>0.629</v>
      </c>
      <c r="Z118" s="42" t="n">
        <v>0.606</v>
      </c>
      <c r="AA118" s="43">
        <f>IFERROR(AVERAGE(V118:Z118),"")</f>
        <v/>
      </c>
      <c r="AB118" s="42" t="n">
        <v>0.548</v>
      </c>
      <c r="AC118" s="42" t="n">
        <v>0.605</v>
      </c>
      <c r="AD118" s="42" t="n">
        <v>0.552</v>
      </c>
      <c r="AE118" s="42" t="n">
        <v>0.629</v>
      </c>
      <c r="AF118" s="42" t="n">
        <v>0.606</v>
      </c>
      <c r="AG118" s="43">
        <f>IFERROR(AVERAGE(AB118:AF118),"")</f>
        <v/>
      </c>
      <c r="AH118" s="42">
        <f>IFERROR(AG118-AA118,"")</f>
        <v/>
      </c>
      <c r="AI118" s="42">
        <f>IFERROR(AG118-O118,"")</f>
        <v/>
      </c>
    </row>
    <row r="119">
      <c r="A119" s="41" t="inlineStr">
        <is>
          <t>sonar</t>
        </is>
      </c>
      <c r="B119" s="42" t="inlineStr">
        <is>
          <t>boundary</t>
        </is>
      </c>
      <c r="C119" s="42" t="n">
        <v>0.5</v>
      </c>
      <c r="D119" s="42" t="n">
        <v>0.505</v>
      </c>
      <c r="E119" s="42" t="n">
        <v>0.553</v>
      </c>
      <c r="F119" s="42" t="n">
        <v>0.509</v>
      </c>
      <c r="G119" s="42" t="n">
        <v>0.475</v>
      </c>
      <c r="H119" s="42" t="n">
        <v>0.49</v>
      </c>
      <c r="I119" s="43">
        <f>IFERROR(AVERAGE(D119:H119),"")</f>
        <v/>
      </c>
      <c r="J119" s="42" t="n">
        <v>0.51</v>
      </c>
      <c r="K119" s="42" t="n">
        <v>0.481</v>
      </c>
      <c r="L119" s="42" t="n">
        <v>0.523</v>
      </c>
      <c r="M119" s="42" t="n">
        <v>0.48</v>
      </c>
      <c r="N119" s="42" t="n">
        <v>0.495</v>
      </c>
      <c r="O119" s="43">
        <f>IFERROR(AVERAGE(J119:N119),"")</f>
        <v/>
      </c>
      <c r="P119" s="42" t="n">
        <v>0.482</v>
      </c>
      <c r="Q119" s="42" t="n">
        <v>0.456</v>
      </c>
      <c r="R119" s="42" t="n">
        <v>0.476</v>
      </c>
      <c r="S119" s="42" t="n">
        <v>0.433</v>
      </c>
      <c r="T119" s="42" t="n">
        <v>0.466</v>
      </c>
      <c r="U119" s="43">
        <f>IFERROR(AVERAGE(P119:T119),"")</f>
        <v/>
      </c>
      <c r="V119" s="42" t="n">
        <v>0.51</v>
      </c>
      <c r="W119" s="42" t="n">
        <v>0.475</v>
      </c>
      <c r="X119" s="42" t="n">
        <v>0.5</v>
      </c>
      <c r="Y119" s="42" t="n">
        <v>0.447</v>
      </c>
      <c r="Z119" s="42" t="n">
        <v>0.577</v>
      </c>
      <c r="AA119" s="43">
        <f>IFERROR(AVERAGE(V119:Z119),"")</f>
        <v/>
      </c>
      <c r="AB119" s="42" t="n">
        <v>0.51</v>
      </c>
      <c r="AC119" s="42" t="n">
        <v>0.475</v>
      </c>
      <c r="AD119" s="42" t="n">
        <v>0.5</v>
      </c>
      <c r="AE119" s="42" t="n">
        <v>0.447</v>
      </c>
      <c r="AF119" s="42" t="n">
        <v>0.577</v>
      </c>
      <c r="AG119" s="43">
        <f>IFERROR(AVERAGE(AB119:AF119),"")</f>
        <v/>
      </c>
      <c r="AH119" s="42">
        <f>IFERROR(AG119-AA119,"")</f>
        <v/>
      </c>
      <c r="AI119" s="42">
        <f>IFERROR(AG119-O119,"")</f>
        <v/>
      </c>
    </row>
    <row r="120">
      <c r="A120" s="41" t="inlineStr">
        <is>
          <t>sonar</t>
        </is>
      </c>
      <c r="B120" s="42" t="inlineStr">
        <is>
          <t>far</t>
        </is>
      </c>
      <c r="C120" s="42" t="n">
        <v>0.2</v>
      </c>
      <c r="D120" s="42" t="n">
        <v>0.591</v>
      </c>
      <c r="E120" s="42" t="n">
        <v>0.602</v>
      </c>
      <c r="F120" s="42" t="n">
        <v>0.601</v>
      </c>
      <c r="G120" s="42" t="n">
        <v>0.543</v>
      </c>
      <c r="H120" s="42" t="n">
        <v>0.649</v>
      </c>
      <c r="I120" s="43">
        <f>IFERROR(AVERAGE(D120:H120),"")</f>
        <v/>
      </c>
      <c r="J120" s="42" t="n">
        <v>0.63</v>
      </c>
      <c r="K120" s="42" t="n">
        <v>0.645</v>
      </c>
      <c r="L120" s="42" t="n">
        <v>0.716</v>
      </c>
      <c r="M120" s="42" t="n">
        <v>0.677</v>
      </c>
      <c r="N120" s="42" t="n">
        <v>0.659</v>
      </c>
      <c r="O120" s="43">
        <f>IFERROR(AVERAGE(J120:N120),"")</f>
        <v/>
      </c>
      <c r="P120" s="42" t="n">
        <v>0.597</v>
      </c>
      <c r="Q120" s="42" t="n">
        <v>0.649</v>
      </c>
      <c r="R120" s="42" t="n">
        <v>0.634</v>
      </c>
      <c r="S120" s="42" t="n">
        <v>0.606</v>
      </c>
      <c r="T120" s="42" t="n">
        <v>0.663</v>
      </c>
      <c r="U120" s="43">
        <f>IFERROR(AVERAGE(P120:T120),"")</f>
        <v/>
      </c>
      <c r="V120" s="42" t="n">
        <v>0.634</v>
      </c>
      <c r="W120" s="42" t="n">
        <v>0.63</v>
      </c>
      <c r="X120" s="42" t="n">
        <v>0.576</v>
      </c>
      <c r="Y120" s="42" t="n">
        <v>0.639</v>
      </c>
      <c r="Z120" s="42" t="n">
        <v>0.649</v>
      </c>
      <c r="AA120" s="43">
        <f>IFERROR(AVERAGE(V120:Z120),"")</f>
        <v/>
      </c>
      <c r="AB120" s="42" t="n">
        <v>0.634</v>
      </c>
      <c r="AC120" s="42" t="n">
        <v>0.63</v>
      </c>
      <c r="AD120" s="42" t="n">
        <v>0.576</v>
      </c>
      <c r="AE120" s="42" t="n">
        <v>0.639</v>
      </c>
      <c r="AF120" s="42" t="n">
        <v>0.649</v>
      </c>
      <c r="AG120" s="43">
        <f>IFERROR(AVERAGE(AB120:AF120),"")</f>
        <v/>
      </c>
      <c r="AH120" s="42">
        <f>IFERROR(AG120-AA120,"")</f>
        <v/>
      </c>
      <c r="AI120" s="42">
        <f>IFERROR(AG120-O120,"")</f>
        <v/>
      </c>
    </row>
    <row r="121">
      <c r="A121" s="41" t="inlineStr">
        <is>
          <t>sonar</t>
        </is>
      </c>
      <c r="B121" s="42" t="inlineStr">
        <is>
          <t>far</t>
        </is>
      </c>
      <c r="C121" s="42" t="n">
        <v>0.3</v>
      </c>
      <c r="D121" s="42" t="n">
        <v>0.5679999999999999</v>
      </c>
      <c r="E121" s="42" t="n">
        <v>0.572</v>
      </c>
      <c r="F121" s="42" t="n">
        <v>0.5</v>
      </c>
      <c r="G121" s="42" t="n">
        <v>0.5629999999999999</v>
      </c>
      <c r="H121" s="42" t="n">
        <v>0.51</v>
      </c>
      <c r="I121" s="43">
        <f>IFERROR(AVERAGE(D121:H121),"")</f>
        <v/>
      </c>
      <c r="J121" s="42" t="n">
        <v>0.639</v>
      </c>
      <c r="K121" s="42" t="n">
        <v>0.616</v>
      </c>
      <c r="L121" s="42" t="n">
        <v>0.649</v>
      </c>
      <c r="M121" s="42" t="n">
        <v>0.678</v>
      </c>
      <c r="N121" s="42" t="n">
        <v>0.591</v>
      </c>
      <c r="O121" s="43">
        <f>IFERROR(AVERAGE(J121:N121),"")</f>
        <v/>
      </c>
      <c r="P121" s="42" t="n">
        <v>0.64</v>
      </c>
      <c r="Q121" s="42" t="n">
        <v>0.591</v>
      </c>
      <c r="R121" s="42" t="n">
        <v>0.576</v>
      </c>
      <c r="S121" s="42" t="n">
        <v>0.533</v>
      </c>
      <c r="T121" s="42" t="n">
        <v>0.552</v>
      </c>
      <c r="U121" s="43">
        <f>IFERROR(AVERAGE(P121:T121),"")</f>
        <v/>
      </c>
      <c r="V121" s="42" t="n">
        <v>0.616</v>
      </c>
      <c r="W121" s="42" t="n">
        <v>0.572</v>
      </c>
      <c r="X121" s="42" t="n">
        <v>0.576</v>
      </c>
      <c r="Y121" s="42" t="n">
        <v>0.529</v>
      </c>
      <c r="Z121" s="42" t="n">
        <v>0.5620000000000001</v>
      </c>
      <c r="AA121" s="43">
        <f>IFERROR(AVERAGE(V121:Z121),"")</f>
        <v/>
      </c>
      <c r="AB121" s="42" t="n">
        <v>0.6</v>
      </c>
      <c r="AC121" s="42" t="n">
        <v>0.572</v>
      </c>
      <c r="AD121" s="42" t="n">
        <v>0.576</v>
      </c>
      <c r="AE121" s="42" t="n">
        <v>0.529</v>
      </c>
      <c r="AF121" s="42" t="n">
        <v>0.5620000000000001</v>
      </c>
      <c r="AG121" s="43">
        <f>IFERROR(AVERAGE(AB121:AF121),"")</f>
        <v/>
      </c>
      <c r="AH121" s="42">
        <f>IFERROR(AG121-AA121,"")</f>
        <v/>
      </c>
      <c r="AI121" s="42">
        <f>IFERROR(AG121-O121,"")</f>
        <v/>
      </c>
    </row>
    <row r="122">
      <c r="A122" s="41" t="inlineStr">
        <is>
          <t>sonar</t>
        </is>
      </c>
      <c r="B122" s="42" t="inlineStr">
        <is>
          <t>far</t>
        </is>
      </c>
      <c r="C122" s="42" t="n">
        <v>0.4</v>
      </c>
      <c r="D122" s="42" t="n">
        <v>0.499</v>
      </c>
      <c r="E122" s="42" t="n">
        <v>0.524</v>
      </c>
      <c r="F122" s="42" t="n">
        <v>0.577</v>
      </c>
      <c r="G122" s="42" t="n">
        <v>0.539</v>
      </c>
      <c r="H122" s="42" t="n">
        <v>0.573</v>
      </c>
      <c r="I122" s="43">
        <f>IFERROR(AVERAGE(D122:H122),"")</f>
        <v/>
      </c>
      <c r="J122" s="42" t="n">
        <v>0.615</v>
      </c>
      <c r="K122" s="42" t="n">
        <v>0.523</v>
      </c>
      <c r="L122" s="42" t="n">
        <v>0.596</v>
      </c>
      <c r="M122" s="42" t="n">
        <v>0.592</v>
      </c>
      <c r="N122" s="42" t="n">
        <v>0.606</v>
      </c>
      <c r="O122" s="43">
        <f>IFERROR(AVERAGE(J122:N122),"")</f>
        <v/>
      </c>
      <c r="P122" s="42" t="n">
        <v>0.624</v>
      </c>
      <c r="Q122" s="42" t="n">
        <v>0.588</v>
      </c>
      <c r="R122" s="42" t="n">
        <v>0.514</v>
      </c>
      <c r="S122" s="42" t="n">
        <v>0.548</v>
      </c>
      <c r="T122" s="42" t="n">
        <v>0.576</v>
      </c>
      <c r="U122" s="43">
        <f>IFERROR(AVERAGE(P122:T122),"")</f>
        <v/>
      </c>
      <c r="V122" s="42" t="n">
        <v>0.629</v>
      </c>
      <c r="W122" s="42" t="n">
        <v>0.576</v>
      </c>
      <c r="X122" s="42" t="n">
        <v>0.514</v>
      </c>
      <c r="Y122" s="42" t="n">
        <v>0.5580000000000001</v>
      </c>
      <c r="Z122" s="42" t="n">
        <v>0.586</v>
      </c>
      <c r="AA122" s="43">
        <f>IFERROR(AVERAGE(V122:Z122),"")</f>
        <v/>
      </c>
      <c r="AB122" s="42" t="n">
        <v>0.629</v>
      </c>
      <c r="AC122" s="42" t="n">
        <v>0.539</v>
      </c>
      <c r="AD122" s="42" t="n">
        <v>0.514</v>
      </c>
      <c r="AE122" s="42" t="n">
        <v>0.5580000000000001</v>
      </c>
      <c r="AF122" s="42" t="n">
        <v>0.586</v>
      </c>
      <c r="AG122" s="43">
        <f>IFERROR(AVERAGE(AB122:AF122),"")</f>
        <v/>
      </c>
      <c r="AH122" s="42">
        <f>IFERROR(AG122-AA122,"")</f>
        <v/>
      </c>
      <c r="AI122" s="42">
        <f>IFERROR(AG122-O122,"")</f>
        <v/>
      </c>
    </row>
    <row r="123">
      <c r="A123" s="41" t="inlineStr">
        <is>
          <t>sonar</t>
        </is>
      </c>
      <c r="B123" s="42" t="inlineStr">
        <is>
          <t>far</t>
        </is>
      </c>
      <c r="C123" s="42" t="n">
        <v>0.5</v>
      </c>
      <c r="D123" s="42" t="n">
        <v>0.485</v>
      </c>
      <c r="E123" s="42" t="n">
        <v>0.529</v>
      </c>
      <c r="F123" s="42" t="n">
        <v>0.519</v>
      </c>
      <c r="G123" s="42" t="n">
        <v>0.529</v>
      </c>
      <c r="H123" s="42" t="n">
        <v>0.496</v>
      </c>
      <c r="I123" s="43">
        <f>IFERROR(AVERAGE(D123:H123),"")</f>
        <v/>
      </c>
      <c r="J123" s="42" t="n">
        <v>0.519</v>
      </c>
      <c r="K123" s="42" t="n">
        <v>0.5580000000000001</v>
      </c>
      <c r="L123" s="42" t="n">
        <v>0.543</v>
      </c>
      <c r="M123" s="42" t="n">
        <v>0.5580000000000001</v>
      </c>
      <c r="N123" s="42" t="n">
        <v>0.499</v>
      </c>
      <c r="O123" s="43">
        <f>IFERROR(AVERAGE(J123:N123),"")</f>
        <v/>
      </c>
      <c r="P123" s="42" t="n">
        <v>0.544</v>
      </c>
      <c r="Q123" s="42" t="n">
        <v>0.548</v>
      </c>
      <c r="R123" s="42" t="n">
        <v>0.447</v>
      </c>
      <c r="S123" s="42" t="n">
        <v>0.505</v>
      </c>
      <c r="T123" s="42" t="n">
        <v>0.433</v>
      </c>
      <c r="U123" s="43">
        <f>IFERROR(AVERAGE(P123:T123),"")</f>
        <v/>
      </c>
      <c r="V123" s="42" t="n">
        <v>0.524</v>
      </c>
      <c r="W123" s="42" t="n">
        <v>0.481</v>
      </c>
      <c r="X123" s="42" t="n">
        <v>0.419</v>
      </c>
      <c r="Y123" s="42" t="n">
        <v>0.486</v>
      </c>
      <c r="Z123" s="42" t="n">
        <v>0.429</v>
      </c>
      <c r="AA123" s="43">
        <f>IFERROR(AVERAGE(V123:Z123),"")</f>
        <v/>
      </c>
      <c r="AB123" s="42" t="n">
        <v>0.524</v>
      </c>
      <c r="AC123" s="42" t="n">
        <v>0.481</v>
      </c>
      <c r="AD123" s="42" t="n">
        <v>0.419</v>
      </c>
      <c r="AE123" s="42" t="n">
        <v>0.486</v>
      </c>
      <c r="AF123" s="42" t="n">
        <v>0.429</v>
      </c>
      <c r="AG123" s="43">
        <f>IFERROR(AVERAGE(AB123:AF123),"")</f>
        <v/>
      </c>
      <c r="AH123" s="42">
        <f>IFERROR(AG123-AA123,"")</f>
        <v/>
      </c>
      <c r="AI123" s="42">
        <f>IFERROR(AG123-O123,"")</f>
        <v/>
      </c>
    </row>
    <row r="124">
      <c r="A124" s="41" t="inlineStr">
        <is>
          <t>banknote</t>
        </is>
      </c>
      <c r="B124" s="42" t="inlineStr">
        <is>
          <t>(clean)</t>
        </is>
      </c>
      <c r="C124" s="42" t="n">
        <v>0</v>
      </c>
      <c r="D124" s="42" t="n">
        <v>0.976</v>
      </c>
      <c r="E124" s="42" t="n">
        <v>0.978</v>
      </c>
      <c r="F124" s="42" t="n">
        <v>0.973</v>
      </c>
      <c r="G124" s="42" t="n">
        <v>0.977</v>
      </c>
      <c r="H124" s="42" t="n">
        <v>0.975</v>
      </c>
      <c r="I124" s="43">
        <f>IFERROR(AVERAGE(D124:H124),"")</f>
        <v/>
      </c>
      <c r="J124" s="42" t="n">
        <v>0.98</v>
      </c>
      <c r="K124" s="42" t="n">
        <v>0.984</v>
      </c>
      <c r="L124" s="42" t="n">
        <v>0.98</v>
      </c>
      <c r="M124" s="42" t="n">
        <v>0.985</v>
      </c>
      <c r="N124" s="42" t="n">
        <v>0.983</v>
      </c>
      <c r="O124" s="43">
        <f>IFERROR(AVERAGE(J124:N124),"")</f>
        <v/>
      </c>
      <c r="P124" s="42" t="n">
        <v>0.694</v>
      </c>
      <c r="Q124" s="42" t="n">
        <v>0.734</v>
      </c>
      <c r="R124" s="42" t="n">
        <v>0.6929999999999999</v>
      </c>
      <c r="S124" s="42" t="n">
        <v>0.698</v>
      </c>
      <c r="T124" s="42" t="n">
        <v>0.698</v>
      </c>
      <c r="U124" s="43">
        <f>IFERROR(AVERAGE(P124:T124),"")</f>
        <v/>
      </c>
      <c r="V124" s="42" t="n">
        <v>0.743</v>
      </c>
      <c r="W124" s="42" t="n">
        <v>0.772</v>
      </c>
      <c r="X124" s="42" t="n">
        <v>0.743</v>
      </c>
      <c r="Y124" s="42" t="n">
        <v>0.742</v>
      </c>
      <c r="Z124" s="42" t="n">
        <v>0.742</v>
      </c>
      <c r="AA124" s="43">
        <f>IFERROR(AVERAGE(V124:Z124),"")</f>
        <v/>
      </c>
      <c r="AB124" s="42" t="n">
        <v>0.743</v>
      </c>
      <c r="AC124" s="42" t="n">
        <v>0.772</v>
      </c>
      <c r="AD124" s="42" t="n">
        <v>0.743</v>
      </c>
      <c r="AE124" s="42" t="n">
        <v>0.742</v>
      </c>
      <c r="AF124" s="42" t="n">
        <v>0.742</v>
      </c>
      <c r="AG124" s="43">
        <f>IFERROR(AVERAGE(AB124:AF124),"")</f>
        <v/>
      </c>
      <c r="AH124" s="42">
        <f>IFERROR(AG124-AA124,"")</f>
        <v/>
      </c>
      <c r="AI124" s="42">
        <f>IFERROR(AG124-O124,"")</f>
        <v/>
      </c>
    </row>
    <row r="125">
      <c r="A125" s="41" t="inlineStr">
        <is>
          <t>banknote</t>
        </is>
      </c>
      <c r="B125" s="42" t="inlineStr">
        <is>
          <t>symmetric</t>
        </is>
      </c>
      <c r="C125" s="42" t="n">
        <v>0.2</v>
      </c>
      <c r="D125" s="42" t="n">
        <v>0.961</v>
      </c>
      <c r="E125" s="42" t="n">
        <v>0.98</v>
      </c>
      <c r="F125" s="42" t="n">
        <v>0.977</v>
      </c>
      <c r="G125" s="42" t="n">
        <v>0.975</v>
      </c>
      <c r="H125" s="42" t="n">
        <v>0.973</v>
      </c>
      <c r="I125" s="43">
        <f>IFERROR(AVERAGE(D125:H125),"")</f>
        <v/>
      </c>
      <c r="J125" s="42" t="n">
        <v>0.964</v>
      </c>
      <c r="K125" s="42" t="n">
        <v>0.98</v>
      </c>
      <c r="L125" s="42" t="n">
        <v>0.978</v>
      </c>
      <c r="M125" s="42" t="n">
        <v>0.974</v>
      </c>
      <c r="N125" s="42" t="n">
        <v>0.975</v>
      </c>
      <c r="O125" s="43">
        <f>IFERROR(AVERAGE(J125:N125),"")</f>
        <v/>
      </c>
      <c r="P125" s="42" t="n">
        <v>0.901</v>
      </c>
      <c r="Q125" s="42" t="n">
        <v>0.841</v>
      </c>
      <c r="R125" s="42" t="n">
        <v>0.907</v>
      </c>
      <c r="S125" s="42" t="n">
        <v>0.889</v>
      </c>
      <c r="T125" s="42" t="n">
        <v>0.88</v>
      </c>
      <c r="U125" s="43">
        <f>IFERROR(AVERAGE(P125:T125),"")</f>
        <v/>
      </c>
      <c r="V125" s="42" t="n">
        <v>0.9340000000000001</v>
      </c>
      <c r="W125" s="42" t="n">
        <v>0.868</v>
      </c>
      <c r="X125" s="42" t="n">
        <v>0.93</v>
      </c>
      <c r="Y125" s="42" t="n">
        <v>0.93</v>
      </c>
      <c r="Z125" s="42" t="n">
        <v>0.909</v>
      </c>
      <c r="AA125" s="43">
        <f>IFERROR(AVERAGE(V125:Z125),"")</f>
        <v/>
      </c>
      <c r="AB125" s="42" t="n">
        <v>0.9340000000000001</v>
      </c>
      <c r="AC125" s="42" t="n">
        <v>0.868</v>
      </c>
      <c r="AD125" s="42" t="n">
        <v>0.93</v>
      </c>
      <c r="AE125" s="42" t="n">
        <v>0.93</v>
      </c>
      <c r="AF125" s="42" t="n">
        <v>0.909</v>
      </c>
      <c r="AG125" s="43">
        <f>IFERROR(AVERAGE(AB125:AF125),"")</f>
        <v/>
      </c>
      <c r="AH125" s="42">
        <f>IFERROR(AG125-AA125,"")</f>
        <v/>
      </c>
      <c r="AI125" s="42">
        <f>IFERROR(AG125-O125,"")</f>
        <v/>
      </c>
    </row>
    <row r="126">
      <c r="A126" s="41" t="inlineStr">
        <is>
          <t>banknote</t>
        </is>
      </c>
      <c r="B126" s="42" t="inlineStr">
        <is>
          <t>symmetric</t>
        </is>
      </c>
      <c r="C126" s="42" t="n">
        <v>0.3</v>
      </c>
      <c r="D126" s="42" t="n">
        <v>0.969</v>
      </c>
      <c r="E126" s="42" t="n">
        <v>0.97</v>
      </c>
      <c r="F126" s="42" t="n">
        <v>0.971</v>
      </c>
      <c r="G126" s="42" t="n">
        <v>0.969</v>
      </c>
      <c r="H126" s="42" t="n">
        <v>0.956</v>
      </c>
      <c r="I126" s="43">
        <f>IFERROR(AVERAGE(D126:H126),"")</f>
        <v/>
      </c>
      <c r="J126" s="42" t="n">
        <v>0.972</v>
      </c>
      <c r="K126" s="42" t="n">
        <v>0.974</v>
      </c>
      <c r="L126" s="42" t="n">
        <v>0.975</v>
      </c>
      <c r="M126" s="42" t="n">
        <v>0.969</v>
      </c>
      <c r="N126" s="42" t="n">
        <v>0.967</v>
      </c>
      <c r="O126" s="43">
        <f>IFERROR(AVERAGE(J126:N126),"")</f>
        <v/>
      </c>
      <c r="P126" s="42" t="n">
        <v>0.9360000000000001</v>
      </c>
      <c r="Q126" s="42" t="n">
        <v>0.924</v>
      </c>
      <c r="R126" s="42" t="n">
        <v>0.967</v>
      </c>
      <c r="S126" s="42" t="n">
        <v>0.948</v>
      </c>
      <c r="T126" s="42" t="n">
        <v>0.9399999999999999</v>
      </c>
      <c r="U126" s="43">
        <f>IFERROR(AVERAGE(P126:T126),"")</f>
        <v/>
      </c>
      <c r="V126" s="42" t="n">
        <v>0.95</v>
      </c>
      <c r="W126" s="42" t="n">
        <v>0.9320000000000001</v>
      </c>
      <c r="X126" s="42" t="n">
        <v>0.962</v>
      </c>
      <c r="Y126" s="42" t="n">
        <v>0.956</v>
      </c>
      <c r="Z126" s="42" t="n">
        <v>0.96</v>
      </c>
      <c r="AA126" s="43">
        <f>IFERROR(AVERAGE(V126:Z126),"")</f>
        <v/>
      </c>
      <c r="AB126" s="42" t="n">
        <v>0.95</v>
      </c>
      <c r="AC126" s="42" t="n">
        <v>0.9320000000000001</v>
      </c>
      <c r="AD126" s="42" t="n">
        <v>0.962</v>
      </c>
      <c r="AE126" s="42" t="n">
        <v>0.956</v>
      </c>
      <c r="AF126" s="42" t="n">
        <v>0.96</v>
      </c>
      <c r="AG126" s="43">
        <f>IFERROR(AVERAGE(AB126:AF126),"")</f>
        <v/>
      </c>
      <c r="AH126" s="42">
        <f>IFERROR(AG126-AA126,"")</f>
        <v/>
      </c>
      <c r="AI126" s="42">
        <f>IFERROR(AG126-O126,"")</f>
        <v/>
      </c>
    </row>
    <row r="127">
      <c r="A127" s="41" t="inlineStr">
        <is>
          <t>banknote</t>
        </is>
      </c>
      <c r="B127" s="42" t="inlineStr">
        <is>
          <t>symmetric</t>
        </is>
      </c>
      <c r="C127" s="42" t="n">
        <v>0.4</v>
      </c>
      <c r="D127" s="42" t="n">
        <v>0.9399999999999999</v>
      </c>
      <c r="E127" s="42" t="n">
        <v>0.891</v>
      </c>
      <c r="F127" s="42" t="n">
        <v>0.9429999999999999</v>
      </c>
      <c r="G127" s="42" t="n">
        <v>0.945</v>
      </c>
      <c r="H127" s="42" t="n">
        <v>0.949</v>
      </c>
      <c r="I127" s="43">
        <f>IFERROR(AVERAGE(D127:H127),"")</f>
        <v/>
      </c>
      <c r="J127" s="42" t="n">
        <v>0.95</v>
      </c>
      <c r="K127" s="42" t="n">
        <v>0.926</v>
      </c>
      <c r="L127" s="42" t="n">
        <v>0.956</v>
      </c>
      <c r="M127" s="42" t="n">
        <v>0.952</v>
      </c>
      <c r="N127" s="42" t="n">
        <v>0.969</v>
      </c>
      <c r="O127" s="43">
        <f>IFERROR(AVERAGE(J127:N127),"")</f>
        <v/>
      </c>
      <c r="P127" s="42" t="n">
        <v>0.89</v>
      </c>
      <c r="Q127" s="42" t="n">
        <v>0.8159999999999999</v>
      </c>
      <c r="R127" s="42" t="n">
        <v>0.859</v>
      </c>
      <c r="S127" s="42" t="n">
        <v>0.9340000000000001</v>
      </c>
      <c r="T127" s="42" t="n">
        <v>0.918</v>
      </c>
      <c r="U127" s="43">
        <f>IFERROR(AVERAGE(P127:T127),"")</f>
        <v/>
      </c>
      <c r="V127" s="42" t="n">
        <v>0.896</v>
      </c>
      <c r="W127" s="42" t="n">
        <v>0.879</v>
      </c>
      <c r="X127" s="42" t="n">
        <v>0.881</v>
      </c>
      <c r="Y127" s="42" t="n">
        <v>0.923</v>
      </c>
      <c r="Z127" s="42" t="n">
        <v>0.876</v>
      </c>
      <c r="AA127" s="43">
        <f>IFERROR(AVERAGE(V127:Z127),"")</f>
        <v/>
      </c>
      <c r="AB127" s="42" t="n">
        <v>0.896</v>
      </c>
      <c r="AC127" s="42" t="n">
        <v>0.879</v>
      </c>
      <c r="AD127" s="42" t="n">
        <v>0.881</v>
      </c>
      <c r="AE127" s="42" t="n">
        <v>0.923</v>
      </c>
      <c r="AF127" s="42" t="n">
        <v>0.876</v>
      </c>
      <c r="AG127" s="43">
        <f>IFERROR(AVERAGE(AB127:AF127),"")</f>
        <v/>
      </c>
      <c r="AH127" s="42">
        <f>IFERROR(AG127-AA127,"")</f>
        <v/>
      </c>
      <c r="AI127" s="42">
        <f>IFERROR(AG127-O127,"")</f>
        <v/>
      </c>
    </row>
    <row r="128">
      <c r="A128" s="41" t="inlineStr">
        <is>
          <t>banknote</t>
        </is>
      </c>
      <c r="B128" s="42" t="inlineStr">
        <is>
          <t>symmetric</t>
        </is>
      </c>
      <c r="C128" s="42" t="n">
        <v>0.5</v>
      </c>
      <c r="D128" s="42" t="n">
        <v>0.423</v>
      </c>
      <c r="E128" s="42" t="n">
        <v>0.474</v>
      </c>
      <c r="F128" s="42" t="n">
        <v>0.42</v>
      </c>
      <c r="G128" s="42" t="n">
        <v>0.5</v>
      </c>
      <c r="H128" s="42" t="n">
        <v>0.387</v>
      </c>
      <c r="I128" s="43">
        <f>IFERROR(AVERAGE(D128:H128),"")</f>
        <v/>
      </c>
      <c r="J128" s="42" t="n">
        <v>0.428</v>
      </c>
      <c r="K128" s="42" t="n">
        <v>0.445</v>
      </c>
      <c r="L128" s="42" t="n">
        <v>0.46</v>
      </c>
      <c r="M128" s="42" t="n">
        <v>0.498</v>
      </c>
      <c r="N128" s="42" t="n">
        <v>0.383</v>
      </c>
      <c r="O128" s="43">
        <f>IFERROR(AVERAGE(J128:N128),"")</f>
        <v/>
      </c>
      <c r="P128" s="42" t="n">
        <v>0.541</v>
      </c>
      <c r="Q128" s="42" t="n">
        <v>0.574</v>
      </c>
      <c r="R128" s="42" t="n">
        <v>0.416</v>
      </c>
      <c r="S128" s="42" t="n">
        <v>0.475</v>
      </c>
      <c r="T128" s="42" t="n">
        <v>0.431</v>
      </c>
      <c r="U128" s="43">
        <f>IFERROR(AVERAGE(P128:T128),"")</f>
        <v/>
      </c>
      <c r="V128" s="42" t="n">
        <v>0.5659999999999999</v>
      </c>
      <c r="W128" s="42" t="n">
        <v>0.552</v>
      </c>
      <c r="X128" s="42" t="n">
        <v>0.471</v>
      </c>
      <c r="Y128" s="42" t="n">
        <v>0.48</v>
      </c>
      <c r="Z128" s="42" t="n">
        <v>0.505</v>
      </c>
      <c r="AA128" s="43">
        <f>IFERROR(AVERAGE(V128:Z128),"")</f>
        <v/>
      </c>
      <c r="AB128" s="42" t="n">
        <v>0.5659999999999999</v>
      </c>
      <c r="AC128" s="42" t="n">
        <v>0.552</v>
      </c>
      <c r="AD128" s="42" t="n">
        <v>0.471</v>
      </c>
      <c r="AE128" s="42" t="n">
        <v>0.48</v>
      </c>
      <c r="AF128" s="42" t="n">
        <v>0.505</v>
      </c>
      <c r="AG128" s="43">
        <f>IFERROR(AVERAGE(AB128:AF128),"")</f>
        <v/>
      </c>
      <c r="AH128" s="42">
        <f>IFERROR(AG128-AA128,"")</f>
        <v/>
      </c>
      <c r="AI128" s="42">
        <f>IFERROR(AG128-O128,"")</f>
        <v/>
      </c>
    </row>
    <row r="129">
      <c r="A129" s="41" t="inlineStr">
        <is>
          <t>banknote</t>
        </is>
      </c>
      <c r="B129" s="42" t="inlineStr">
        <is>
          <t>asymmetric</t>
        </is>
      </c>
      <c r="C129" s="42" t="n">
        <v>0.2</v>
      </c>
      <c r="D129" s="42" t="n">
        <v>0.945</v>
      </c>
      <c r="E129" s="42" t="n">
        <v>0.948</v>
      </c>
      <c r="F129" s="42" t="n">
        <v>0.918</v>
      </c>
      <c r="G129" s="42" t="n">
        <v>0.9419999999999999</v>
      </c>
      <c r="H129" s="42" t="n">
        <v>0.953</v>
      </c>
      <c r="I129" s="43">
        <f>IFERROR(AVERAGE(D129:H129),"")</f>
        <v/>
      </c>
      <c r="J129" s="42" t="n">
        <v>0.944</v>
      </c>
      <c r="K129" s="42" t="n">
        <v>0.946</v>
      </c>
      <c r="L129" s="42" t="n">
        <v>0.953</v>
      </c>
      <c r="M129" s="42" t="n">
        <v>0.9419999999999999</v>
      </c>
      <c r="N129" s="42" t="n">
        <v>0.946</v>
      </c>
      <c r="O129" s="43">
        <f>IFERROR(AVERAGE(J129:N129),"")</f>
        <v/>
      </c>
      <c r="P129" s="42" t="n">
        <v>0.765</v>
      </c>
      <c r="Q129" s="42" t="n">
        <v>0.802</v>
      </c>
      <c r="R129" s="42" t="n">
        <v>0.777</v>
      </c>
      <c r="S129" s="42" t="n">
        <v>0.782</v>
      </c>
      <c r="T129" s="42" t="n">
        <v>0.76</v>
      </c>
      <c r="U129" s="43">
        <f>IFERROR(AVERAGE(P129:T129),"")</f>
        <v/>
      </c>
      <c r="V129" s="42" t="n">
        <v>0.805</v>
      </c>
      <c r="W129" s="42" t="n">
        <v>0.842</v>
      </c>
      <c r="X129" s="42" t="n">
        <v>0.8129999999999999</v>
      </c>
      <c r="Y129" s="42" t="n">
        <v>0.826</v>
      </c>
      <c r="Z129" s="42" t="n">
        <v>0.802</v>
      </c>
      <c r="AA129" s="43">
        <f>IFERROR(AVERAGE(V129:Z129),"")</f>
        <v/>
      </c>
      <c r="AB129" s="42" t="n">
        <v>0.805</v>
      </c>
      <c r="AC129" s="42" t="n">
        <v>0.842</v>
      </c>
      <c r="AD129" s="42" t="n">
        <v>0.8129999999999999</v>
      </c>
      <c r="AE129" s="42" t="n">
        <v>0.826</v>
      </c>
      <c r="AF129" s="42" t="n">
        <v>0.802</v>
      </c>
      <c r="AG129" s="43">
        <f>IFERROR(AVERAGE(AB129:AF129),"")</f>
        <v/>
      </c>
      <c r="AH129" s="42">
        <f>IFERROR(AG129-AA129,"")</f>
        <v/>
      </c>
      <c r="AI129" s="42">
        <f>IFERROR(AG129-O129,"")</f>
        <v/>
      </c>
    </row>
    <row r="130">
      <c r="A130" s="41" t="inlineStr">
        <is>
          <t>banknote</t>
        </is>
      </c>
      <c r="B130" s="42" t="inlineStr">
        <is>
          <t>asymmetric</t>
        </is>
      </c>
      <c r="C130" s="42" t="n">
        <v>0.3</v>
      </c>
      <c r="D130" s="42" t="n">
        <v>0.9409999999999999</v>
      </c>
      <c r="E130" s="42" t="n">
        <v>0.9399999999999999</v>
      </c>
      <c r="F130" s="42" t="n">
        <v>0.9429999999999999</v>
      </c>
      <c r="G130" s="42" t="n">
        <v>0.945</v>
      </c>
      <c r="H130" s="42" t="n">
        <v>0.929</v>
      </c>
      <c r="I130" s="43">
        <f>IFERROR(AVERAGE(D130:H130),"")</f>
        <v/>
      </c>
      <c r="J130" s="42" t="n">
        <v>0.925</v>
      </c>
      <c r="K130" s="42" t="n">
        <v>0.9360000000000001</v>
      </c>
      <c r="L130" s="42" t="n">
        <v>0.926</v>
      </c>
      <c r="M130" s="42" t="n">
        <v>0.914</v>
      </c>
      <c r="N130" s="42" t="n">
        <v>0.918</v>
      </c>
      <c r="O130" s="43">
        <f>IFERROR(AVERAGE(J130:N130),"")</f>
        <v/>
      </c>
      <c r="P130" s="42" t="n"/>
      <c r="Q130" s="42" t="n"/>
      <c r="R130" s="42" t="n"/>
      <c r="S130" s="42" t="n"/>
      <c r="T130" s="42" t="n"/>
      <c r="U130" s="43">
        <f>IFERROR(AVERAGE(P130:T130),"")</f>
        <v/>
      </c>
      <c r="V130" s="42" t="n"/>
      <c r="W130" s="42" t="n"/>
      <c r="X130" s="42" t="n"/>
      <c r="Y130" s="42" t="n"/>
      <c r="Z130" s="42" t="n"/>
      <c r="AA130" s="43">
        <f>IFERROR(AVERAGE(V130:Z130),"")</f>
        <v/>
      </c>
      <c r="AB130" s="42" t="n">
        <v>0.837</v>
      </c>
      <c r="AC130" s="42" t="n">
        <v>0.837</v>
      </c>
      <c r="AD130" s="42" t="n">
        <v>0.834</v>
      </c>
      <c r="AE130" s="42" t="n">
        <v>0.833</v>
      </c>
      <c r="AF130" s="42" t="n">
        <v>0.843</v>
      </c>
      <c r="AG130" s="43">
        <f>IFERROR(AVERAGE(AB130:AF130),"")</f>
        <v/>
      </c>
      <c r="AH130" s="42">
        <f>IFERROR(AG130-AA130,"")</f>
        <v/>
      </c>
      <c r="AI130" s="42">
        <f>IFERROR(AG130-O130,"")</f>
        <v/>
      </c>
    </row>
    <row r="131">
      <c r="A131" s="41" t="inlineStr">
        <is>
          <t>banknote</t>
        </is>
      </c>
      <c r="B131" s="42" t="inlineStr">
        <is>
          <t>asymmetric</t>
        </is>
      </c>
      <c r="C131" s="42" t="n">
        <v>0.4</v>
      </c>
      <c r="D131" s="42" t="n">
        <v>0.896</v>
      </c>
      <c r="E131" s="42" t="n">
        <v>0.908</v>
      </c>
      <c r="F131" s="42" t="n">
        <v>0.894</v>
      </c>
      <c r="G131" s="42" t="n">
        <v>0.911</v>
      </c>
      <c r="H131" s="42" t="n">
        <v>0.881</v>
      </c>
      <c r="I131" s="43">
        <f>IFERROR(AVERAGE(D131:H131),"")</f>
        <v/>
      </c>
      <c r="J131" s="42" t="n">
        <v>0.856</v>
      </c>
      <c r="K131" s="42" t="n">
        <v>0.861</v>
      </c>
      <c r="L131" s="42" t="n">
        <v>0.85</v>
      </c>
      <c r="M131" s="42" t="n">
        <v>0.852</v>
      </c>
      <c r="N131" s="42" t="n">
        <v>0.842</v>
      </c>
      <c r="O131" s="43">
        <f>IFERROR(AVERAGE(J131:N131),"")</f>
        <v/>
      </c>
      <c r="P131" s="42" t="n"/>
      <c r="Q131" s="42" t="n"/>
      <c r="R131" s="42" t="n"/>
      <c r="S131" s="42" t="n"/>
      <c r="T131" s="42" t="n"/>
      <c r="U131" s="43">
        <f>IFERROR(AVERAGE(P131:T131),"")</f>
        <v/>
      </c>
      <c r="V131" s="42" t="n"/>
      <c r="W131" s="42" t="n"/>
      <c r="X131" s="42" t="n"/>
      <c r="Y131" s="42" t="n"/>
      <c r="Z131" s="42" t="n"/>
      <c r="AA131" s="43">
        <f>IFERROR(AVERAGE(V131:Z131),"")</f>
        <v/>
      </c>
      <c r="AB131" s="42" t="n">
        <v>0.837</v>
      </c>
      <c r="AC131" s="42" t="n">
        <v>0.837</v>
      </c>
      <c r="AD131" s="42" t="n">
        <v>0.837</v>
      </c>
      <c r="AE131" s="42" t="n">
        <v>0.835</v>
      </c>
      <c r="AF131" s="42" t="n">
        <v>0.834</v>
      </c>
      <c r="AG131" s="43">
        <f>IFERROR(AVERAGE(AB131:AF131),"")</f>
        <v/>
      </c>
      <c r="AH131" s="42">
        <f>IFERROR(AG131-AA131,"")</f>
        <v/>
      </c>
      <c r="AI131" s="42">
        <f>IFERROR(AG131-O131,"")</f>
        <v/>
      </c>
    </row>
    <row r="132">
      <c r="A132" s="41" t="inlineStr">
        <is>
          <t>banknote</t>
        </is>
      </c>
      <c r="B132" s="42" t="inlineStr">
        <is>
          <t>asymmetric</t>
        </is>
      </c>
      <c r="C132" s="42" t="n">
        <v>0.5</v>
      </c>
      <c r="D132" s="42" t="n">
        <v>0.714</v>
      </c>
      <c r="E132" s="42" t="n">
        <v>0.6889999999999999</v>
      </c>
      <c r="F132" s="42" t="n">
        <v>0.727</v>
      </c>
      <c r="G132" s="42" t="n">
        <v>0.6840000000000001</v>
      </c>
      <c r="H132" s="42" t="n">
        <v>0.724</v>
      </c>
      <c r="I132" s="43">
        <f>IFERROR(AVERAGE(D132:H132),"")</f>
        <v/>
      </c>
      <c r="J132" s="42" t="n">
        <v>0.6919999999999999</v>
      </c>
      <c r="K132" s="42" t="n">
        <v>0.666</v>
      </c>
      <c r="L132" s="42" t="n">
        <v>0.714</v>
      </c>
      <c r="M132" s="42" t="n">
        <v>0.6870000000000001</v>
      </c>
      <c r="N132" s="42" t="n">
        <v>0.701</v>
      </c>
      <c r="O132" s="43">
        <f>IFERROR(AVERAGE(J132:N132),"")</f>
        <v/>
      </c>
      <c r="P132" s="42" t="n"/>
      <c r="Q132" s="42" t="n"/>
      <c r="R132" s="42" t="n"/>
      <c r="S132" s="42" t="n"/>
      <c r="T132" s="42" t="n"/>
      <c r="U132" s="43">
        <f>IFERROR(AVERAGE(P132:T132),"")</f>
        <v/>
      </c>
      <c r="V132" s="42" t="n"/>
      <c r="W132" s="42" t="n"/>
      <c r="X132" s="42" t="n"/>
      <c r="Y132" s="42" t="n"/>
      <c r="Z132" s="42" t="n"/>
      <c r="AA132" s="43">
        <f>IFERROR(AVERAGE(V132:Z132),"")</f>
        <v/>
      </c>
      <c r="AB132" s="42" t="n">
        <v>0.827</v>
      </c>
      <c r="AC132" s="42" t="n">
        <v>0.834</v>
      </c>
      <c r="AD132" s="42" t="n">
        <v>0.831</v>
      </c>
      <c r="AE132" s="42" t="n">
        <v>0.835</v>
      </c>
      <c r="AF132" s="42" t="n">
        <v>0.838</v>
      </c>
      <c r="AG132" s="43">
        <f>IFERROR(AVERAGE(AB132:AF132),"")</f>
        <v/>
      </c>
      <c r="AH132" s="42">
        <f>IFERROR(AG132-AA132,"")</f>
        <v/>
      </c>
      <c r="AI132" s="42">
        <f>IFERROR(AG132-O132,"")</f>
        <v/>
      </c>
    </row>
    <row r="133">
      <c r="A133" s="41" t="inlineStr">
        <is>
          <t>banknote</t>
        </is>
      </c>
      <c r="B133" s="42" t="inlineStr">
        <is>
          <t>boundary</t>
        </is>
      </c>
      <c r="C133" s="42" t="n">
        <v>0.2</v>
      </c>
      <c r="D133" s="42" t="n">
        <v>0.92</v>
      </c>
      <c r="E133" s="42" t="n">
        <v>0.952</v>
      </c>
      <c r="F133" s="42" t="n">
        <v>0.945</v>
      </c>
      <c r="G133" s="42" t="n">
        <v>0.9330000000000001</v>
      </c>
      <c r="H133" s="42" t="n">
        <v>0.9419999999999999</v>
      </c>
      <c r="I133" s="43">
        <f>IFERROR(AVERAGE(D133:H133),"")</f>
        <v/>
      </c>
      <c r="J133" s="42" t="n">
        <v>0.9350000000000001</v>
      </c>
      <c r="K133" s="42" t="n">
        <v>0.954</v>
      </c>
      <c r="L133" s="42" t="n">
        <v>0.945</v>
      </c>
      <c r="M133" s="42" t="n">
        <v>0.9350000000000001</v>
      </c>
      <c r="N133" s="42" t="n">
        <v>0.931</v>
      </c>
      <c r="O133" s="43">
        <f>IFERROR(AVERAGE(J133:N133),"")</f>
        <v/>
      </c>
      <c r="P133" s="42" t="n"/>
      <c r="Q133" s="42" t="n"/>
      <c r="R133" s="42" t="n"/>
      <c r="S133" s="42" t="n"/>
      <c r="T133" s="42" t="n"/>
      <c r="U133" s="43">
        <f>IFERROR(AVERAGE(P133:T133),"")</f>
        <v/>
      </c>
      <c r="V133" s="42" t="n"/>
      <c r="W133" s="42" t="n"/>
      <c r="X133" s="42" t="n"/>
      <c r="Y133" s="42" t="n"/>
      <c r="Z133" s="42" t="n"/>
      <c r="AA133" s="43">
        <f>IFERROR(AVERAGE(V133:Z133),"")</f>
        <v/>
      </c>
      <c r="AB133" s="42" t="n">
        <v>0.722</v>
      </c>
      <c r="AC133" s="42" t="n">
        <v>0.715</v>
      </c>
      <c r="AD133" s="42" t="n">
        <v>0.716</v>
      </c>
      <c r="AE133" s="42" t="n">
        <v>0.71</v>
      </c>
      <c r="AF133" s="42" t="n">
        <v>0.707</v>
      </c>
      <c r="AG133" s="43">
        <f>IFERROR(AVERAGE(AB133:AF133),"")</f>
        <v/>
      </c>
      <c r="AH133" s="42">
        <f>IFERROR(AG133-AA133,"")</f>
        <v/>
      </c>
      <c r="AI133" s="42">
        <f>IFERROR(AG133-O133,"")</f>
        <v/>
      </c>
    </row>
    <row r="134">
      <c r="A134" s="41" t="inlineStr">
        <is>
          <t>banknote</t>
        </is>
      </c>
      <c r="B134" s="42" t="inlineStr">
        <is>
          <t>boundary</t>
        </is>
      </c>
      <c r="C134" s="42" t="n">
        <v>0.3</v>
      </c>
      <c r="D134" s="42" t="n">
        <v>0.88</v>
      </c>
      <c r="E134" s="42" t="n">
        <v>0.873</v>
      </c>
      <c r="F134" s="42" t="n">
        <v>0.847</v>
      </c>
      <c r="G134" s="42" t="n">
        <v>0.864</v>
      </c>
      <c r="H134" s="42" t="n">
        <v>0.862</v>
      </c>
      <c r="I134" s="43">
        <f>IFERROR(AVERAGE(D134:H134),"")</f>
        <v/>
      </c>
      <c r="J134" s="42" t="n">
        <v>0.883</v>
      </c>
      <c r="K134" s="42" t="n">
        <v>0.873</v>
      </c>
      <c r="L134" s="42" t="n">
        <v>0.85</v>
      </c>
      <c r="M134" s="42" t="n">
        <v>0.87</v>
      </c>
      <c r="N134" s="42" t="n">
        <v>0.87</v>
      </c>
      <c r="O134" s="43">
        <f>IFERROR(AVERAGE(J134:N134),"")</f>
        <v/>
      </c>
      <c r="P134" s="42" t="n"/>
      <c r="Q134" s="42" t="n"/>
      <c r="R134" s="42" t="n"/>
      <c r="S134" s="42" t="n"/>
      <c r="T134" s="42" t="n"/>
      <c r="U134" s="43">
        <f>IFERROR(AVERAGE(P134:T134),"")</f>
        <v/>
      </c>
      <c r="V134" s="42" t="n"/>
      <c r="W134" s="42" t="n"/>
      <c r="X134" s="42" t="n"/>
      <c r="Y134" s="42" t="n"/>
      <c r="Z134" s="42" t="n"/>
      <c r="AA134" s="43">
        <f>IFERROR(AVERAGE(V134:Z134),"")</f>
        <v/>
      </c>
      <c r="AB134" s="42" t="n">
        <v>0.733</v>
      </c>
      <c r="AC134" s="42" t="n">
        <v>0.726</v>
      </c>
      <c r="AD134" s="42" t="n">
        <v>0.741</v>
      </c>
      <c r="AE134" s="42" t="n">
        <v>0.724</v>
      </c>
      <c r="AF134" s="42" t="n">
        <v>0.727</v>
      </c>
      <c r="AG134" s="43">
        <f>IFERROR(AVERAGE(AB134:AF134),"")</f>
        <v/>
      </c>
      <c r="AH134" s="42">
        <f>IFERROR(AG134-AA134,"")</f>
        <v/>
      </c>
      <c r="AI134" s="42">
        <f>IFERROR(AG134-O134,"")</f>
        <v/>
      </c>
    </row>
    <row r="135">
      <c r="A135" s="41" t="inlineStr">
        <is>
          <t>banknote</t>
        </is>
      </c>
      <c r="B135" s="42" t="inlineStr">
        <is>
          <t>boundary</t>
        </is>
      </c>
      <c r="C135" s="42" t="n">
        <v>0.4</v>
      </c>
      <c r="D135" s="42" t="n">
        <v>0.883</v>
      </c>
      <c r="E135" s="42" t="n">
        <v>0.867</v>
      </c>
      <c r="F135" s="42" t="n">
        <v>0.846</v>
      </c>
      <c r="G135" s="42" t="n">
        <v>0.857</v>
      </c>
      <c r="H135" s="42" t="n">
        <v>0.832</v>
      </c>
      <c r="I135" s="43">
        <f>IFERROR(AVERAGE(D135:H135),"")</f>
        <v/>
      </c>
      <c r="J135" s="42" t="n">
        <v>0.881</v>
      </c>
      <c r="K135" s="42" t="n">
        <v>0.875</v>
      </c>
      <c r="L135" s="42" t="n">
        <v>0.87</v>
      </c>
      <c r="M135" s="42" t="n">
        <v>0.872</v>
      </c>
      <c r="N135" s="42" t="n">
        <v>0.852</v>
      </c>
      <c r="O135" s="43">
        <f>IFERROR(AVERAGE(J135:N135),"")</f>
        <v/>
      </c>
      <c r="P135" s="42" t="n">
        <v>0.668</v>
      </c>
      <c r="Q135" s="42" t="n">
        <v>0.441</v>
      </c>
      <c r="R135" s="42" t="n">
        <v>0.601</v>
      </c>
      <c r="S135" s="42" t="n">
        <v>0.652</v>
      </c>
      <c r="T135" s="42" t="n">
        <v>0.645</v>
      </c>
      <c r="U135" s="43">
        <f>IFERROR(AVERAGE(P135:T135),"")</f>
        <v/>
      </c>
      <c r="V135" s="42" t="n">
        <v>0.667</v>
      </c>
      <c r="W135" s="42" t="n">
        <v>0.598</v>
      </c>
      <c r="X135" s="42" t="n">
        <v>0.635</v>
      </c>
      <c r="Y135" s="42" t="n">
        <v>0.681</v>
      </c>
      <c r="Z135" s="42" t="n">
        <v>0.636</v>
      </c>
      <c r="AA135" s="43">
        <f>IFERROR(AVERAGE(V135:Z135),"")</f>
        <v/>
      </c>
      <c r="AB135" s="42" t="n">
        <v>0.71</v>
      </c>
      <c r="AC135" s="42" t="n">
        <v>0.6820000000000001</v>
      </c>
      <c r="AD135" s="42" t="n">
        <v>0.6850000000000001</v>
      </c>
      <c r="AE135" s="42" t="n">
        <v>0.795</v>
      </c>
      <c r="AF135" s="42" t="n">
        <v>0.766</v>
      </c>
      <c r="AG135" s="43">
        <f>IFERROR(AVERAGE(AB135:AF135),"")</f>
        <v/>
      </c>
      <c r="AH135" s="42">
        <f>IFERROR(AG135-AA135,"")</f>
        <v/>
      </c>
      <c r="AI135" s="42">
        <f>IFERROR(AG135-O135,"")</f>
        <v/>
      </c>
    </row>
    <row r="136">
      <c r="A136" s="41" t="inlineStr">
        <is>
          <t>banknote</t>
        </is>
      </c>
      <c r="B136" s="42" t="inlineStr">
        <is>
          <t>boundary</t>
        </is>
      </c>
      <c r="C136" s="42" t="n">
        <v>0.5</v>
      </c>
      <c r="D136" s="42" t="n">
        <v>0.583</v>
      </c>
      <c r="E136" s="42" t="n">
        <v>0.41</v>
      </c>
      <c r="F136" s="42" t="n">
        <v>0.464</v>
      </c>
      <c r="G136" s="42" t="n">
        <v>0.413</v>
      </c>
      <c r="H136" s="42" t="n">
        <v>0.595</v>
      </c>
      <c r="I136" s="43">
        <f>IFERROR(AVERAGE(D136:H136),"")</f>
        <v/>
      </c>
      <c r="J136" s="42" t="n">
        <v>0.598</v>
      </c>
      <c r="K136" s="42" t="n">
        <v>0.442</v>
      </c>
      <c r="L136" s="42" t="n">
        <v>0.434</v>
      </c>
      <c r="M136" s="42" t="n">
        <v>0.367</v>
      </c>
      <c r="N136" s="42" t="n">
        <v>0.58</v>
      </c>
      <c r="O136" s="43">
        <f>IFERROR(AVERAGE(J136:N136),"")</f>
        <v/>
      </c>
      <c r="P136" s="42" t="n">
        <v>0.482</v>
      </c>
      <c r="Q136" s="42" t="n">
        <v>0.539</v>
      </c>
      <c r="R136" s="42" t="n">
        <v>0.541</v>
      </c>
      <c r="S136" s="42" t="n">
        <v>0.382</v>
      </c>
      <c r="T136" s="42" t="n">
        <v>0.496</v>
      </c>
      <c r="U136" s="43">
        <f>IFERROR(AVERAGE(P136:T136),"")</f>
        <v/>
      </c>
      <c r="V136" s="42" t="n">
        <v>0.527</v>
      </c>
      <c r="W136" s="42" t="n">
        <v>0.536</v>
      </c>
      <c r="X136" s="42" t="n">
        <v>0.497</v>
      </c>
      <c r="Y136" s="42" t="n">
        <v>0.425</v>
      </c>
      <c r="Z136" s="42" t="n">
        <v>0.602</v>
      </c>
      <c r="AA136" s="43">
        <f>IFERROR(AVERAGE(V136:Z136),"")</f>
        <v/>
      </c>
      <c r="AB136" s="42" t="n">
        <v>0.527</v>
      </c>
      <c r="AC136" s="42" t="n">
        <v>0.536</v>
      </c>
      <c r="AD136" s="42" t="n">
        <v>0.497</v>
      </c>
      <c r="AE136" s="42" t="n">
        <v>0.425</v>
      </c>
      <c r="AF136" s="42" t="n">
        <v>0.602</v>
      </c>
      <c r="AG136" s="43">
        <f>IFERROR(AVERAGE(AB136:AF136),"")</f>
        <v/>
      </c>
      <c r="AH136" s="42">
        <f>IFERROR(AG136-AA136,"")</f>
        <v/>
      </c>
      <c r="AI136" s="42">
        <f>IFERROR(AG136-O136,"")</f>
        <v/>
      </c>
    </row>
    <row r="137">
      <c r="A137" s="41" t="inlineStr">
        <is>
          <t>banknote</t>
        </is>
      </c>
      <c r="B137" s="42" t="inlineStr">
        <is>
          <t>far</t>
        </is>
      </c>
      <c r="C137" s="42" t="n">
        <v>0.2</v>
      </c>
      <c r="D137" s="42" t="n">
        <v>0.851</v>
      </c>
      <c r="E137" s="42" t="n">
        <v>0.898</v>
      </c>
      <c r="F137" s="42" t="n">
        <v>0.931</v>
      </c>
      <c r="G137" s="42" t="n">
        <v>0.848</v>
      </c>
      <c r="H137" s="42" t="n">
        <v>0.89</v>
      </c>
      <c r="I137" s="43">
        <f>IFERROR(AVERAGE(D137:H137),"")</f>
        <v/>
      </c>
      <c r="J137" s="42" t="n">
        <v>0.918</v>
      </c>
      <c r="K137" s="42" t="n">
        <v>0.9429999999999999</v>
      </c>
      <c r="L137" s="42" t="n">
        <v>0.953</v>
      </c>
      <c r="M137" s="42" t="n">
        <v>0.928</v>
      </c>
      <c r="N137" s="42" t="n">
        <v>0.961</v>
      </c>
      <c r="O137" s="43">
        <f>IFERROR(AVERAGE(J137:N137),"")</f>
        <v/>
      </c>
      <c r="P137" s="42" t="n">
        <v>0.843</v>
      </c>
      <c r="Q137" s="42" t="n">
        <v>0.797</v>
      </c>
      <c r="R137" s="42" t="n">
        <v>0.847</v>
      </c>
      <c r="S137" s="42" t="n">
        <v>0.864</v>
      </c>
      <c r="T137" s="42" t="n">
        <v>0.862</v>
      </c>
      <c r="U137" s="43">
        <f>IFERROR(AVERAGE(P137:T137),"")</f>
        <v/>
      </c>
      <c r="V137" s="42" t="n">
        <v>0.863</v>
      </c>
      <c r="W137" s="42" t="n">
        <v>0.767</v>
      </c>
      <c r="X137" s="42" t="n">
        <v>0.878</v>
      </c>
      <c r="Y137" s="42" t="n">
        <v>0.854</v>
      </c>
      <c r="Z137" s="42" t="n">
        <v>0.876</v>
      </c>
      <c r="AA137" s="43">
        <f>IFERROR(AVERAGE(V137:Z137),"")</f>
        <v/>
      </c>
      <c r="AB137" s="42" t="n">
        <v>0.863</v>
      </c>
      <c r="AC137" s="42" t="n">
        <v>0.767</v>
      </c>
      <c r="AD137" s="42" t="n">
        <v>0.878</v>
      </c>
      <c r="AE137" s="42" t="n">
        <v>0.854</v>
      </c>
      <c r="AF137" s="42" t="n">
        <v>0.876</v>
      </c>
      <c r="AG137" s="43">
        <f>IFERROR(AVERAGE(AB137:AF137),"")</f>
        <v/>
      </c>
      <c r="AH137" s="42">
        <f>IFERROR(AG137-AA137,"")</f>
        <v/>
      </c>
      <c r="AI137" s="42">
        <f>IFERROR(AG137-O137,"")</f>
        <v/>
      </c>
    </row>
    <row r="138">
      <c r="A138" s="41" t="inlineStr">
        <is>
          <t>banknote</t>
        </is>
      </c>
      <c r="B138" s="42" t="inlineStr">
        <is>
          <t>far</t>
        </is>
      </c>
      <c r="C138" s="42" t="n">
        <v>0.3</v>
      </c>
      <c r="D138" s="42" t="n">
        <v>0.902</v>
      </c>
      <c r="E138" s="42" t="n">
        <v>0.856</v>
      </c>
      <c r="F138" s="42" t="n">
        <v>0.85</v>
      </c>
      <c r="G138" s="42" t="n">
        <v>0.925</v>
      </c>
      <c r="H138" s="42" t="n">
        <v>0.952</v>
      </c>
      <c r="I138" s="43">
        <f>IFERROR(AVERAGE(D138:H138),"")</f>
        <v/>
      </c>
      <c r="J138" s="42" t="n">
        <v>0.9370000000000001</v>
      </c>
      <c r="K138" s="42" t="n">
        <v>0.922</v>
      </c>
      <c r="L138" s="42" t="n">
        <v>0.9370000000000001</v>
      </c>
      <c r="M138" s="42" t="n">
        <v>0.968</v>
      </c>
      <c r="N138" s="42" t="n">
        <v>0.969</v>
      </c>
      <c r="O138" s="43">
        <f>IFERROR(AVERAGE(J138:N138),"")</f>
        <v/>
      </c>
      <c r="P138" s="42" t="n">
        <v>0.788</v>
      </c>
      <c r="Q138" s="42" t="n">
        <v>0.695</v>
      </c>
      <c r="R138" s="42" t="n">
        <v>0.671</v>
      </c>
      <c r="S138" s="42" t="n">
        <v>0.597</v>
      </c>
      <c r="T138" s="42" t="n">
        <v>0.695</v>
      </c>
      <c r="U138" s="43">
        <f>IFERROR(AVERAGE(P138:T138),"")</f>
        <v/>
      </c>
      <c r="V138" s="42" t="n">
        <v>0.769</v>
      </c>
      <c r="W138" s="42" t="n">
        <v>0.711</v>
      </c>
      <c r="X138" s="42" t="n">
        <v>0.634</v>
      </c>
      <c r="Y138" s="42" t="n">
        <v>0.647</v>
      </c>
      <c r="Z138" s="42" t="n">
        <v>0.672</v>
      </c>
      <c r="AA138" s="43">
        <f>IFERROR(AVERAGE(V138:Z138),"")</f>
        <v/>
      </c>
      <c r="AB138" s="42" t="n">
        <v>0.769</v>
      </c>
      <c r="AC138" s="42" t="n">
        <v>0.711</v>
      </c>
      <c r="AD138" s="42" t="n">
        <v>0.634</v>
      </c>
      <c r="AE138" s="42" t="n">
        <v>0.647</v>
      </c>
      <c r="AF138" s="42" t="n">
        <v>0.672</v>
      </c>
      <c r="AG138" s="43">
        <f>IFERROR(AVERAGE(AB138:AF138),"")</f>
        <v/>
      </c>
      <c r="AH138" s="42">
        <f>IFERROR(AG138-AA138,"")</f>
        <v/>
      </c>
      <c r="AI138" s="42">
        <f>IFERROR(AG138-O138,"")</f>
        <v/>
      </c>
    </row>
    <row r="139">
      <c r="A139" s="41" t="inlineStr">
        <is>
          <t>banknote</t>
        </is>
      </c>
      <c r="B139" s="42" t="inlineStr">
        <is>
          <t>far</t>
        </is>
      </c>
      <c r="C139" s="42" t="n">
        <v>0.4</v>
      </c>
      <c r="D139" s="42" t="n">
        <v>0.797</v>
      </c>
      <c r="E139" s="42" t="n">
        <v>0.738</v>
      </c>
      <c r="F139" s="42" t="n">
        <v>0.8179999999999999</v>
      </c>
      <c r="G139" s="42" t="n">
        <v>0.883</v>
      </c>
      <c r="H139" s="42" t="n">
        <v>0.823</v>
      </c>
      <c r="I139" s="43">
        <f>IFERROR(AVERAGE(D139:H139),"")</f>
        <v/>
      </c>
      <c r="J139" s="42" t="n">
        <v>0.876</v>
      </c>
      <c r="K139" s="42" t="n">
        <v>0.8110000000000001</v>
      </c>
      <c r="L139" s="42" t="n">
        <v>0.854</v>
      </c>
      <c r="M139" s="42" t="n">
        <v>0.946</v>
      </c>
      <c r="N139" s="42" t="n">
        <v>0.905</v>
      </c>
      <c r="O139" s="43">
        <f>IFERROR(AVERAGE(J139:N139),"")</f>
        <v/>
      </c>
      <c r="P139" s="42" t="n">
        <v>0.6840000000000001</v>
      </c>
      <c r="Q139" s="42" t="n">
        <v>0.5679999999999999</v>
      </c>
      <c r="R139" s="42" t="n">
        <v>0.791</v>
      </c>
      <c r="S139" s="42" t="n">
        <v>0.765</v>
      </c>
      <c r="T139" s="42" t="n">
        <v>0.537</v>
      </c>
      <c r="U139" s="43">
        <f>IFERROR(AVERAGE(P139:T139),"")</f>
        <v/>
      </c>
      <c r="V139" s="42" t="n">
        <v>0.6820000000000001</v>
      </c>
      <c r="W139" s="42" t="n">
        <v>0.657</v>
      </c>
      <c r="X139" s="42" t="n">
        <v>0.821</v>
      </c>
      <c r="Y139" s="42" t="n">
        <v>0.848</v>
      </c>
      <c r="Z139" s="42" t="n">
        <v>0.596</v>
      </c>
      <c r="AA139" s="43">
        <f>IFERROR(AVERAGE(V139:Z139),"")</f>
        <v/>
      </c>
      <c r="AB139" s="42" t="n">
        <v>0.6820000000000001</v>
      </c>
      <c r="AC139" s="42" t="n">
        <v>0.657</v>
      </c>
      <c r="AD139" s="42" t="n">
        <v>0.821</v>
      </c>
      <c r="AE139" s="42" t="n">
        <v>0.848</v>
      </c>
      <c r="AF139" s="42" t="n">
        <v>0.596</v>
      </c>
      <c r="AG139" s="43">
        <f>IFERROR(AVERAGE(AB139:AF139),"")</f>
        <v/>
      </c>
      <c r="AH139" s="42">
        <f>IFERROR(AG139-AA139,"")</f>
        <v/>
      </c>
      <c r="AI139" s="42">
        <f>IFERROR(AG139-O139,"")</f>
        <v/>
      </c>
    </row>
    <row r="140">
      <c r="A140" s="41" t="inlineStr">
        <is>
          <t>banknote</t>
        </is>
      </c>
      <c r="B140" s="42" t="inlineStr">
        <is>
          <t>far</t>
        </is>
      </c>
      <c r="C140" s="42" t="n">
        <v>0.5</v>
      </c>
      <c r="D140" s="42" t="n">
        <v>0.438</v>
      </c>
      <c r="E140" s="42" t="n">
        <v>0.42</v>
      </c>
      <c r="F140" s="42" t="n">
        <v>0.522</v>
      </c>
      <c r="G140" s="42" t="n">
        <v>0.526</v>
      </c>
      <c r="H140" s="42" t="n">
        <v>0.421</v>
      </c>
      <c r="I140" s="43">
        <f>IFERROR(AVERAGE(D140:H140),"")</f>
        <v/>
      </c>
      <c r="J140" s="42" t="n">
        <v>0.445</v>
      </c>
      <c r="K140" s="42" t="n">
        <v>0.434</v>
      </c>
      <c r="L140" s="42" t="n">
        <v>0.493</v>
      </c>
      <c r="M140" s="42" t="n">
        <v>0.534</v>
      </c>
      <c r="N140" s="42" t="n">
        <v>0.429</v>
      </c>
      <c r="O140" s="43">
        <f>IFERROR(AVERAGE(J140:N140),"")</f>
        <v/>
      </c>
      <c r="P140" s="42" t="n">
        <v>0.512</v>
      </c>
      <c r="Q140" s="42" t="n">
        <v>0.511</v>
      </c>
      <c r="R140" s="42" t="n">
        <v>0.543</v>
      </c>
      <c r="S140" s="42" t="n">
        <v>0.479</v>
      </c>
      <c r="T140" s="42" t="n">
        <v>0.549</v>
      </c>
      <c r="U140" s="43">
        <f>IFERROR(AVERAGE(P140:T140),"")</f>
        <v/>
      </c>
      <c r="V140" s="42" t="n">
        <v>0.48</v>
      </c>
      <c r="W140" s="42" t="n">
        <v>0.525</v>
      </c>
      <c r="X140" s="42" t="n">
        <v>0.472</v>
      </c>
      <c r="Y140" s="42" t="n">
        <v>0.442</v>
      </c>
      <c r="Z140" s="42" t="n">
        <v>0.549</v>
      </c>
      <c r="AA140" s="43">
        <f>IFERROR(AVERAGE(V140:Z140),"")</f>
        <v/>
      </c>
      <c r="AB140" s="42" t="n">
        <v>0.48</v>
      </c>
      <c r="AC140" s="42" t="n">
        <v>0.525</v>
      </c>
      <c r="AD140" s="42" t="n">
        <v>0.472</v>
      </c>
      <c r="AE140" s="42" t="n">
        <v>0.442</v>
      </c>
      <c r="AF140" s="42" t="n">
        <v>0.549</v>
      </c>
      <c r="AG140" s="43">
        <f>IFERROR(AVERAGE(AB140:AF140),"")</f>
        <v/>
      </c>
      <c r="AH140" s="42">
        <f>IFERROR(AG140-AA140,"")</f>
        <v/>
      </c>
      <c r="AI140" s="42">
        <f>IFERROR(AG140-O140,"")</f>
        <v/>
      </c>
    </row>
    <row r="141">
      <c r="A141" s="41" t="inlineStr">
        <is>
          <t>australian</t>
        </is>
      </c>
      <c r="B141" s="42" t="inlineStr">
        <is>
          <t>(clean)</t>
        </is>
      </c>
      <c r="C141" s="42" t="n">
        <v>0</v>
      </c>
      <c r="D141" s="42" t="n">
        <v>0.832</v>
      </c>
      <c r="E141" s="42" t="n">
        <v>0.8100000000000001</v>
      </c>
      <c r="F141" s="42" t="n">
        <v>0.819</v>
      </c>
      <c r="G141" s="42" t="n">
        <v>0.8139999999999999</v>
      </c>
      <c r="H141" s="42" t="n">
        <v>0.841</v>
      </c>
      <c r="I141" s="43">
        <f>IFERROR(AVERAGE(D141:H141),"")</f>
        <v/>
      </c>
      <c r="J141" s="42" t="n">
        <v>0.83</v>
      </c>
      <c r="K141" s="42" t="n">
        <v>0.825</v>
      </c>
      <c r="L141" s="42" t="n">
        <v>0.822</v>
      </c>
      <c r="M141" s="42" t="n">
        <v>0.833</v>
      </c>
      <c r="N141" s="42" t="n">
        <v>0.835</v>
      </c>
      <c r="O141" s="43">
        <f>IFERROR(AVERAGE(J141:N141),"")</f>
        <v/>
      </c>
      <c r="P141" s="42" t="n">
        <v>0.855</v>
      </c>
      <c r="Q141" s="42" t="n">
        <v>0.83</v>
      </c>
      <c r="R141" s="42" t="n">
        <v>0.841</v>
      </c>
      <c r="S141" s="42" t="n">
        <v>0.838</v>
      </c>
      <c r="T141" s="42" t="n">
        <v>0.852</v>
      </c>
      <c r="U141" s="43">
        <f>IFERROR(AVERAGE(P141:T141),"")</f>
        <v/>
      </c>
      <c r="V141" s="42" t="n">
        <v>0.819</v>
      </c>
      <c r="W141" s="42" t="n">
        <v>0.794</v>
      </c>
      <c r="X141" s="42" t="n">
        <v>0.786</v>
      </c>
      <c r="Y141" s="42" t="n">
        <v>0.799</v>
      </c>
      <c r="Z141" s="42" t="n">
        <v>0.806</v>
      </c>
      <c r="AA141" s="43">
        <f>IFERROR(AVERAGE(V141:Z141),"")</f>
        <v/>
      </c>
      <c r="AB141" s="42" t="n">
        <v>0.819</v>
      </c>
      <c r="AC141" s="42" t="n">
        <v>0.794</v>
      </c>
      <c r="AD141" s="42" t="n">
        <v>0.786</v>
      </c>
      <c r="AE141" s="42" t="n">
        <v>0.799</v>
      </c>
      <c r="AF141" s="42" t="n">
        <v>0.806</v>
      </c>
      <c r="AG141" s="43">
        <f>IFERROR(AVERAGE(AB141:AF141),"")</f>
        <v/>
      </c>
      <c r="AH141" s="42">
        <f>IFERROR(AG141-AA141,"")</f>
        <v/>
      </c>
      <c r="AI141" s="42">
        <f>IFERROR(AG141-O141,"")</f>
        <v/>
      </c>
    </row>
    <row r="142">
      <c r="A142" s="41" t="inlineStr">
        <is>
          <t>australian</t>
        </is>
      </c>
      <c r="B142" s="42" t="inlineStr">
        <is>
          <t>symmetric</t>
        </is>
      </c>
      <c r="C142" s="42" t="n">
        <v>0.2</v>
      </c>
      <c r="D142" s="42" t="n">
        <v>0.797</v>
      </c>
      <c r="E142" s="42" t="n">
        <v>0.786</v>
      </c>
      <c r="F142" s="42" t="n">
        <v>0.767</v>
      </c>
      <c r="G142" s="42" t="n">
        <v>0.786</v>
      </c>
      <c r="H142" s="42" t="n">
        <v>0.79</v>
      </c>
      <c r="I142" s="43">
        <f>IFERROR(AVERAGE(D142:H142),"")</f>
        <v/>
      </c>
      <c r="J142" s="42" t="n">
        <v>0.791</v>
      </c>
      <c r="K142" s="42" t="n">
        <v>0.751</v>
      </c>
      <c r="L142" s="42" t="n">
        <v>0.752</v>
      </c>
      <c r="M142" s="42" t="n">
        <v>0.793</v>
      </c>
      <c r="N142" s="42" t="n">
        <v>0.804</v>
      </c>
      <c r="O142" s="43">
        <f>IFERROR(AVERAGE(J142:N142),"")</f>
        <v/>
      </c>
      <c r="P142" s="42" t="n">
        <v>0.852</v>
      </c>
      <c r="Q142" s="42" t="n">
        <v>0.83</v>
      </c>
      <c r="R142" s="42" t="n">
        <v>0.845</v>
      </c>
      <c r="S142" s="42" t="n">
        <v>0.838</v>
      </c>
      <c r="T142" s="42" t="n">
        <v>0.832</v>
      </c>
      <c r="U142" s="43">
        <f>IFERROR(AVERAGE(P142:T142),"")</f>
        <v/>
      </c>
      <c r="V142" s="42" t="n">
        <v>0.8159999999999999</v>
      </c>
      <c r="W142" s="42" t="n">
        <v>0.794</v>
      </c>
      <c r="X142" s="42" t="n">
        <v>0.791</v>
      </c>
      <c r="Y142" s="42" t="n">
        <v>0.799</v>
      </c>
      <c r="Z142" s="42" t="n">
        <v>0.79</v>
      </c>
      <c r="AA142" s="43">
        <f>IFERROR(AVERAGE(V142:Z142),"")</f>
        <v/>
      </c>
      <c r="AB142" s="42" t="n">
        <v>0.8159999999999999</v>
      </c>
      <c r="AC142" s="42" t="n">
        <v>0.794</v>
      </c>
      <c r="AD142" s="42" t="n">
        <v>0.791</v>
      </c>
      <c r="AE142" s="42" t="n">
        <v>0.799</v>
      </c>
      <c r="AF142" s="42" t="n">
        <v>0.79</v>
      </c>
      <c r="AG142" s="43">
        <f>IFERROR(AVERAGE(AB142:AF142),"")</f>
        <v/>
      </c>
      <c r="AH142" s="42">
        <f>IFERROR(AG142-AA142,"")</f>
        <v/>
      </c>
      <c r="AI142" s="42">
        <f>IFERROR(AG142-O142,"")</f>
        <v/>
      </c>
    </row>
    <row r="143">
      <c r="A143" s="41" t="inlineStr">
        <is>
          <t>australian</t>
        </is>
      </c>
      <c r="B143" s="42" t="inlineStr">
        <is>
          <t>symmetric</t>
        </is>
      </c>
      <c r="C143" s="42" t="n">
        <v>0.3</v>
      </c>
      <c r="D143" s="42" t="n">
        <v>0.738</v>
      </c>
      <c r="E143" s="42" t="n">
        <v>0.775</v>
      </c>
      <c r="F143" s="42" t="n">
        <v>0.709</v>
      </c>
      <c r="G143" s="42" t="n">
        <v>0.694</v>
      </c>
      <c r="H143" s="42" t="n">
        <v>0.778</v>
      </c>
      <c r="I143" s="43">
        <f>IFERROR(AVERAGE(D143:H143),"")</f>
        <v/>
      </c>
      <c r="J143" s="42" t="n">
        <v>0.748</v>
      </c>
      <c r="K143" s="42" t="n">
        <v>0.751</v>
      </c>
      <c r="L143" s="42" t="n">
        <v>0.723</v>
      </c>
      <c r="M143" s="42" t="n">
        <v>0.703</v>
      </c>
      <c r="N143" s="42" t="n">
        <v>0.733</v>
      </c>
      <c r="O143" s="43">
        <f>IFERROR(AVERAGE(J143:N143),"")</f>
        <v/>
      </c>
      <c r="P143" s="42" t="n">
        <v>0.751</v>
      </c>
      <c r="Q143" s="42" t="n">
        <v>0.8159999999999999</v>
      </c>
      <c r="R143" s="42" t="n">
        <v>0.78</v>
      </c>
      <c r="S143" s="42" t="n">
        <v>0.742</v>
      </c>
      <c r="T143" s="42" t="n">
        <v>0.8090000000000001</v>
      </c>
      <c r="U143" s="43">
        <f>IFERROR(AVERAGE(P143:T143),"")</f>
        <v/>
      </c>
      <c r="V143" s="42" t="n">
        <v>0.713</v>
      </c>
      <c r="W143" s="42" t="n">
        <v>0.755</v>
      </c>
      <c r="X143" s="42" t="n">
        <v>0.758</v>
      </c>
      <c r="Y143" s="42" t="n">
        <v>0.729</v>
      </c>
      <c r="Z143" s="42" t="n">
        <v>0.7</v>
      </c>
      <c r="AA143" s="43">
        <f>IFERROR(AVERAGE(V143:Z143),"")</f>
        <v/>
      </c>
      <c r="AB143" s="42" t="n">
        <v>0.713</v>
      </c>
      <c r="AC143" s="42" t="n">
        <v>0.755</v>
      </c>
      <c r="AD143" s="42" t="n">
        <v>0.758</v>
      </c>
      <c r="AE143" s="42" t="n">
        <v>0.729</v>
      </c>
      <c r="AF143" s="42" t="n">
        <v>0.7</v>
      </c>
      <c r="AG143" s="43">
        <f>IFERROR(AVERAGE(AB143:AF143),"")</f>
        <v/>
      </c>
      <c r="AH143" s="42">
        <f>IFERROR(AG143-AA143,"")</f>
        <v/>
      </c>
      <c r="AI143" s="42">
        <f>IFERROR(AG143-O143,"")</f>
        <v/>
      </c>
    </row>
    <row r="144">
      <c r="A144" s="41" t="inlineStr">
        <is>
          <t>australian</t>
        </is>
      </c>
      <c r="B144" s="42" t="inlineStr">
        <is>
          <t>symmetric</t>
        </is>
      </c>
      <c r="C144" s="42" t="n">
        <v>0.4</v>
      </c>
      <c r="D144" s="42" t="n">
        <v>0.641</v>
      </c>
      <c r="E144" s="42" t="n">
        <v>0.658</v>
      </c>
      <c r="F144" s="42" t="n">
        <v>0.626</v>
      </c>
      <c r="G144" s="42" t="n">
        <v>0.648</v>
      </c>
      <c r="H144" s="42" t="n">
        <v>0.652</v>
      </c>
      <c r="I144" s="43">
        <f>IFERROR(AVERAGE(D144:H144),"")</f>
        <v/>
      </c>
      <c r="J144" s="42" t="n">
        <v>0.652</v>
      </c>
      <c r="K144" s="42" t="n">
        <v>0.672</v>
      </c>
      <c r="L144" s="42" t="n">
        <v>0.609</v>
      </c>
      <c r="M144" s="42" t="n">
        <v>0.622</v>
      </c>
      <c r="N144" s="42" t="n">
        <v>0.67</v>
      </c>
      <c r="O144" s="43">
        <f>IFERROR(AVERAGE(J144:N144),"")</f>
        <v/>
      </c>
      <c r="P144" s="42" t="n">
        <v>0.614</v>
      </c>
      <c r="Q144" s="42" t="n">
        <v>0.554</v>
      </c>
      <c r="R144" s="42" t="n">
        <v>0.525</v>
      </c>
      <c r="S144" s="42" t="n">
        <v>0.533</v>
      </c>
      <c r="T144" s="42" t="n">
        <v>0.586</v>
      </c>
      <c r="U144" s="43">
        <f>IFERROR(AVERAGE(P144:T144),"")</f>
        <v/>
      </c>
      <c r="V144" s="42" t="n">
        <v>0.641</v>
      </c>
      <c r="W144" s="42" t="n">
        <v>0.662</v>
      </c>
      <c r="X144" s="42" t="n">
        <v>0.596</v>
      </c>
      <c r="Y144" s="42" t="n">
        <v>0.59</v>
      </c>
      <c r="Z144" s="42" t="n">
        <v>0.635</v>
      </c>
      <c r="AA144" s="43">
        <f>IFERROR(AVERAGE(V144:Z144),"")</f>
        <v/>
      </c>
      <c r="AB144" s="42" t="n">
        <v>0.641</v>
      </c>
      <c r="AC144" s="42" t="n">
        <v>0.662</v>
      </c>
      <c r="AD144" s="42" t="n">
        <v>0.596</v>
      </c>
      <c r="AE144" s="42" t="n">
        <v>0.59</v>
      </c>
      <c r="AF144" s="42" t="n">
        <v>0.635</v>
      </c>
      <c r="AG144" s="43">
        <f>IFERROR(AVERAGE(AB144:AF144),"")</f>
        <v/>
      </c>
      <c r="AH144" s="42">
        <f>IFERROR(AG144-AA144,"")</f>
        <v/>
      </c>
      <c r="AI144" s="42">
        <f>IFERROR(AG144-O144,"")</f>
        <v/>
      </c>
    </row>
    <row r="145">
      <c r="A145" s="41" t="inlineStr">
        <is>
          <t>australian</t>
        </is>
      </c>
      <c r="B145" s="42" t="inlineStr">
        <is>
          <t>symmetric</t>
        </is>
      </c>
      <c r="C145" s="42" t="n">
        <v>0.5</v>
      </c>
      <c r="D145" s="42" t="n">
        <v>0.509</v>
      </c>
      <c r="E145" s="42" t="n">
        <v>0.486</v>
      </c>
      <c r="F145" s="42" t="n">
        <v>0.459</v>
      </c>
      <c r="G145" s="42" t="n">
        <v>0.519</v>
      </c>
      <c r="H145" s="42" t="n">
        <v>0.432</v>
      </c>
      <c r="I145" s="43">
        <f>IFERROR(AVERAGE(D145:H145),"")</f>
        <v/>
      </c>
      <c r="J145" s="42" t="n">
        <v>0.448</v>
      </c>
      <c r="K145" s="42" t="n">
        <v>0.478</v>
      </c>
      <c r="L145" s="42" t="n">
        <v>0.546</v>
      </c>
      <c r="M145" s="42" t="n">
        <v>0.52</v>
      </c>
      <c r="N145" s="42" t="n">
        <v>0.462</v>
      </c>
      <c r="O145" s="43">
        <f>IFERROR(AVERAGE(J145:N145),"")</f>
        <v/>
      </c>
      <c r="P145" s="42" t="n">
        <v>0.501</v>
      </c>
      <c r="Q145" s="42" t="n">
        <v>0.477</v>
      </c>
      <c r="R145" s="42" t="n">
        <v>0.481</v>
      </c>
      <c r="S145" s="42" t="n">
        <v>0.51</v>
      </c>
      <c r="T145" s="42" t="n">
        <v>0.457</v>
      </c>
      <c r="U145" s="43">
        <f>IFERROR(AVERAGE(P145:T145),"")</f>
        <v/>
      </c>
      <c r="V145" s="42" t="n">
        <v>0.499</v>
      </c>
      <c r="W145" s="42" t="n">
        <v>0.461</v>
      </c>
      <c r="X145" s="42" t="n">
        <v>0.439</v>
      </c>
      <c r="Y145" s="42" t="n">
        <v>0.467</v>
      </c>
      <c r="Z145" s="42" t="n">
        <v>0.442</v>
      </c>
      <c r="AA145" s="43">
        <f>IFERROR(AVERAGE(V145:Z145),"")</f>
        <v/>
      </c>
      <c r="AB145" s="42" t="n">
        <v>0.499</v>
      </c>
      <c r="AC145" s="42" t="n">
        <v>0.461</v>
      </c>
      <c r="AD145" s="42" t="n">
        <v>0.439</v>
      </c>
      <c r="AE145" s="42" t="n">
        <v>0.467</v>
      </c>
      <c r="AF145" s="42" t="n">
        <v>0.442</v>
      </c>
      <c r="AG145" s="43">
        <f>IFERROR(AVERAGE(AB145:AF145),"")</f>
        <v/>
      </c>
      <c r="AH145" s="42">
        <f>IFERROR(AG145-AA145,"")</f>
        <v/>
      </c>
      <c r="AI145" s="42">
        <f>IFERROR(AG145-O145,"")</f>
        <v/>
      </c>
    </row>
    <row r="146">
      <c r="A146" s="41" t="inlineStr">
        <is>
          <t>australian</t>
        </is>
      </c>
      <c r="B146" s="42" t="inlineStr">
        <is>
          <t>asymmetric</t>
        </is>
      </c>
      <c r="C146" s="42" t="n">
        <v>0.2</v>
      </c>
      <c r="D146" s="42" t="n">
        <v>0.778</v>
      </c>
      <c r="E146" s="42" t="n">
        <v>0.777</v>
      </c>
      <c r="F146" s="42" t="n">
        <v>0.778</v>
      </c>
      <c r="G146" s="42" t="n">
        <v>0.764</v>
      </c>
      <c r="H146" s="42" t="n">
        <v>0.774</v>
      </c>
      <c r="I146" s="43">
        <f>IFERROR(AVERAGE(D146:H146),"")</f>
        <v/>
      </c>
      <c r="J146" s="42" t="n">
        <v>0.754</v>
      </c>
      <c r="K146" s="42" t="n">
        <v>0.759</v>
      </c>
      <c r="L146" s="42" t="n">
        <v>0.758</v>
      </c>
      <c r="M146" s="42" t="n">
        <v>0.761</v>
      </c>
      <c r="N146" s="42" t="n">
        <v>0.752</v>
      </c>
      <c r="O146" s="43">
        <f>IFERROR(AVERAGE(J146:N146),"")</f>
        <v/>
      </c>
      <c r="P146" s="42" t="n">
        <v>0.843</v>
      </c>
      <c r="Q146" s="42" t="n">
        <v>0.829</v>
      </c>
      <c r="R146" s="42" t="n">
        <v>0.841</v>
      </c>
      <c r="S146" s="42" t="n">
        <v>0.838</v>
      </c>
      <c r="T146" s="42" t="n">
        <v>0.851</v>
      </c>
      <c r="U146" s="43">
        <f>IFERROR(AVERAGE(P146:T146),"")</f>
        <v/>
      </c>
      <c r="V146" s="42" t="n">
        <v>0.803</v>
      </c>
      <c r="W146" s="42" t="n">
        <v>0.784</v>
      </c>
      <c r="X146" s="42" t="n">
        <v>0.786</v>
      </c>
      <c r="Y146" s="42" t="n">
        <v>0.799</v>
      </c>
      <c r="Z146" s="42" t="n">
        <v>0.8</v>
      </c>
      <c r="AA146" s="43">
        <f>IFERROR(AVERAGE(V146:Z146),"")</f>
        <v/>
      </c>
      <c r="AB146" s="42" t="n">
        <v>0.803</v>
      </c>
      <c r="AC146" s="42" t="n">
        <v>0.784</v>
      </c>
      <c r="AD146" s="42" t="n">
        <v>0.786</v>
      </c>
      <c r="AE146" s="42" t="n">
        <v>0.799</v>
      </c>
      <c r="AF146" s="42" t="n">
        <v>0.8</v>
      </c>
      <c r="AG146" s="43">
        <f>IFERROR(AVERAGE(AB146:AF146),"")</f>
        <v/>
      </c>
      <c r="AH146" s="42">
        <f>IFERROR(AG146-AA146,"")</f>
        <v/>
      </c>
      <c r="AI146" s="42">
        <f>IFERROR(AG146-O146,"")</f>
        <v/>
      </c>
    </row>
    <row r="147">
      <c r="A147" s="41" t="inlineStr">
        <is>
          <t>australian</t>
        </is>
      </c>
      <c r="B147" s="42" t="inlineStr">
        <is>
          <t>asymmetric</t>
        </is>
      </c>
      <c r="C147" s="42" t="n">
        <v>0.3</v>
      </c>
      <c r="D147" s="42" t="n">
        <v>0.752</v>
      </c>
      <c r="E147" s="42" t="n">
        <v>0.757</v>
      </c>
      <c r="F147" s="42" t="n">
        <v>0.741</v>
      </c>
      <c r="G147" s="42" t="n">
        <v>0.712</v>
      </c>
      <c r="H147" s="42" t="n">
        <v>0.725</v>
      </c>
      <c r="I147" s="43">
        <f>IFERROR(AVERAGE(D147:H147),"")</f>
        <v/>
      </c>
      <c r="J147" s="42" t="n">
        <v>0.736</v>
      </c>
      <c r="K147" s="42" t="n">
        <v>0.732</v>
      </c>
      <c r="L147" s="42" t="n">
        <v>0.6879999999999999</v>
      </c>
      <c r="M147" s="42" t="n">
        <v>0.697</v>
      </c>
      <c r="N147" s="42" t="n">
        <v>0.7</v>
      </c>
      <c r="O147" s="43">
        <f>IFERROR(AVERAGE(J147:N147),"")</f>
        <v/>
      </c>
      <c r="P147" s="42" t="n"/>
      <c r="Q147" s="42" t="n"/>
      <c r="R147" s="42" t="n"/>
      <c r="S147" s="42" t="n"/>
      <c r="T147" s="42" t="n"/>
      <c r="U147" s="43">
        <f>IFERROR(AVERAGE(P147:T147),"")</f>
        <v/>
      </c>
      <c r="V147" s="42" t="n"/>
      <c r="W147" s="42" t="n"/>
      <c r="X147" s="42" t="n"/>
      <c r="Y147" s="42" t="n"/>
      <c r="Z147" s="42" t="n"/>
      <c r="AA147" s="43">
        <f>IFERROR(AVERAGE(V147:Z147),"")</f>
        <v/>
      </c>
      <c r="AB147" s="42" t="n">
        <v>0.58</v>
      </c>
      <c r="AC147" s="42" t="n">
        <v>0.658</v>
      </c>
      <c r="AD147" s="42" t="n">
        <v>0.583</v>
      </c>
      <c r="AE147" s="42" t="n">
        <v>0.57</v>
      </c>
      <c r="AF147" s="42" t="n">
        <v>0.639</v>
      </c>
      <c r="AG147" s="43">
        <f>IFERROR(AVERAGE(AB147:AF147),"")</f>
        <v/>
      </c>
      <c r="AH147" s="42">
        <f>IFERROR(AG147-AA147,"")</f>
        <v/>
      </c>
      <c r="AI147" s="42">
        <f>IFERROR(AG147-O147,"")</f>
        <v/>
      </c>
    </row>
    <row r="148">
      <c r="A148" s="41" t="inlineStr">
        <is>
          <t>australian</t>
        </is>
      </c>
      <c r="B148" s="42" t="inlineStr">
        <is>
          <t>asymmetric</t>
        </is>
      </c>
      <c r="C148" s="42" t="n">
        <v>0.4</v>
      </c>
      <c r="D148" s="42" t="n">
        <v>0.701</v>
      </c>
      <c r="E148" s="42" t="n">
        <v>0.696</v>
      </c>
      <c r="F148" s="42" t="n">
        <v>0.709</v>
      </c>
      <c r="G148" s="42" t="n">
        <v>0.678</v>
      </c>
      <c r="H148" s="42" t="n">
        <v>0.694</v>
      </c>
      <c r="I148" s="43">
        <f>IFERROR(AVERAGE(D148:H148),"")</f>
        <v/>
      </c>
      <c r="J148" s="42" t="n">
        <v>0.675</v>
      </c>
      <c r="K148" s="42" t="n">
        <v>0.654</v>
      </c>
      <c r="L148" s="42" t="n">
        <v>0.699</v>
      </c>
      <c r="M148" s="42" t="n">
        <v>0.667</v>
      </c>
      <c r="N148" s="42" t="n">
        <v>0.694</v>
      </c>
      <c r="O148" s="43">
        <f>IFERROR(AVERAGE(J148:N148),"")</f>
        <v/>
      </c>
      <c r="P148" s="42" t="n"/>
      <c r="Q148" s="42" t="n"/>
      <c r="R148" s="42" t="n"/>
      <c r="S148" s="42" t="n"/>
      <c r="T148" s="42" t="n"/>
      <c r="U148" s="43">
        <f>IFERROR(AVERAGE(P148:T148),"")</f>
        <v/>
      </c>
      <c r="V148" s="42" t="n"/>
      <c r="W148" s="42" t="n"/>
      <c r="X148" s="42" t="n"/>
      <c r="Y148" s="42" t="n"/>
      <c r="Z148" s="42" t="n"/>
      <c r="AA148" s="43">
        <f>IFERROR(AVERAGE(V148:Z148),"")</f>
        <v/>
      </c>
      <c r="AB148" s="42" t="n">
        <v>0.633</v>
      </c>
      <c r="AC148" s="42" t="n">
        <v>0.535</v>
      </c>
      <c r="AD148" s="42" t="n">
        <v>0.635</v>
      </c>
      <c r="AE148" s="42" t="n">
        <v>0.665</v>
      </c>
      <c r="AF148" s="42" t="n">
        <v>0.674</v>
      </c>
      <c r="AG148" s="43">
        <f>IFERROR(AVERAGE(AB148:AF148),"")</f>
        <v/>
      </c>
      <c r="AH148" s="42">
        <f>IFERROR(AG148-AA148,"")</f>
        <v/>
      </c>
      <c r="AI148" s="42">
        <f>IFERROR(AG148-O148,"")</f>
        <v/>
      </c>
    </row>
    <row r="149">
      <c r="A149" s="41" t="inlineStr">
        <is>
          <t>australian</t>
        </is>
      </c>
      <c r="B149" s="42" t="inlineStr">
        <is>
          <t>asymmetric</t>
        </is>
      </c>
      <c r="C149" s="42" t="n">
        <v>0.5</v>
      </c>
      <c r="D149" s="42" t="n">
        <v>0.6860000000000001</v>
      </c>
      <c r="E149" s="42" t="n">
        <v>0.652</v>
      </c>
      <c r="F149" s="42" t="n">
        <v>0.667</v>
      </c>
      <c r="G149" s="42" t="n">
        <v>0.661</v>
      </c>
      <c r="H149" s="42" t="n">
        <v>0.639</v>
      </c>
      <c r="I149" s="43">
        <f>IFERROR(AVERAGE(D149:H149),"")</f>
        <v/>
      </c>
      <c r="J149" s="42" t="n">
        <v>0.633</v>
      </c>
      <c r="K149" s="42" t="n">
        <v>0.623</v>
      </c>
      <c r="L149" s="42" t="n">
        <v>0.629</v>
      </c>
      <c r="M149" s="42" t="n">
        <v>0.623</v>
      </c>
      <c r="N149" s="42" t="n">
        <v>0.628</v>
      </c>
      <c r="O149" s="43">
        <f>IFERROR(AVERAGE(J149:N149),"")</f>
        <v/>
      </c>
      <c r="P149" s="42" t="n"/>
      <c r="Q149" s="42" t="n"/>
      <c r="R149" s="42" t="n"/>
      <c r="S149" s="42" t="n"/>
      <c r="T149" s="42" t="n"/>
      <c r="U149" s="43">
        <f>IFERROR(AVERAGE(P149:T149),"")</f>
        <v/>
      </c>
      <c r="V149" s="42" t="n"/>
      <c r="W149" s="42" t="n"/>
      <c r="X149" s="42" t="n"/>
      <c r="Y149" s="42" t="n"/>
      <c r="Z149" s="42" t="n"/>
      <c r="AA149" s="43">
        <f>IFERROR(AVERAGE(V149:Z149),"")</f>
        <v/>
      </c>
      <c r="AB149" s="42" t="n">
        <v>0.677</v>
      </c>
      <c r="AC149" s="42" t="n">
        <v>0.658</v>
      </c>
      <c r="AD149" s="42" t="n">
        <v>0.648</v>
      </c>
      <c r="AE149" s="42" t="n">
        <v>0.694</v>
      </c>
      <c r="AF149" s="42" t="n">
        <v>0.665</v>
      </c>
      <c r="AG149" s="43">
        <f>IFERROR(AVERAGE(AB149:AF149),"")</f>
        <v/>
      </c>
      <c r="AH149" s="42">
        <f>IFERROR(AG149-AA149,"")</f>
        <v/>
      </c>
      <c r="AI149" s="42">
        <f>IFERROR(AG149-O149,"")</f>
        <v/>
      </c>
    </row>
    <row r="150">
      <c r="A150" s="41" t="inlineStr">
        <is>
          <t>australian</t>
        </is>
      </c>
      <c r="B150" s="42" t="inlineStr">
        <is>
          <t>boundary</t>
        </is>
      </c>
      <c r="C150" s="42" t="n">
        <v>0.2</v>
      </c>
      <c r="D150" s="42" t="n">
        <v>0.794</v>
      </c>
      <c r="E150" s="42" t="n">
        <v>0.786</v>
      </c>
      <c r="F150" s="42" t="n">
        <v>0.786</v>
      </c>
      <c r="G150" s="42" t="n">
        <v>0.787</v>
      </c>
      <c r="H150" s="42" t="n">
        <v>0.786</v>
      </c>
      <c r="I150" s="43">
        <f>IFERROR(AVERAGE(D150:H150),"")</f>
        <v/>
      </c>
      <c r="J150" s="42" t="n">
        <v>0.788</v>
      </c>
      <c r="K150" s="42" t="n">
        <v>0.82</v>
      </c>
      <c r="L150" s="42" t="n">
        <v>0.82</v>
      </c>
      <c r="M150" s="42" t="n">
        <v>0.793</v>
      </c>
      <c r="N150" s="42" t="n">
        <v>0.801</v>
      </c>
      <c r="O150" s="43">
        <f>IFERROR(AVERAGE(J150:N150),"")</f>
        <v/>
      </c>
      <c r="P150" s="42" t="n">
        <v>0.841</v>
      </c>
      <c r="Q150" s="42" t="n">
        <v>0.839</v>
      </c>
      <c r="R150" s="42" t="n">
        <v>0.838</v>
      </c>
      <c r="S150" s="42" t="n">
        <v>0.838</v>
      </c>
      <c r="T150" s="42" t="n">
        <v>0.833</v>
      </c>
      <c r="U150" s="43">
        <f>IFERROR(AVERAGE(P150:T150),"")</f>
        <v/>
      </c>
      <c r="V150" s="42" t="n">
        <v>0.8100000000000001</v>
      </c>
      <c r="W150" s="42" t="n">
        <v>0.804</v>
      </c>
      <c r="X150" s="42" t="n">
        <v>0.794</v>
      </c>
      <c r="Y150" s="42" t="n">
        <v>0.799</v>
      </c>
      <c r="Z150" s="42" t="n">
        <v>0.793</v>
      </c>
      <c r="AA150" s="43">
        <f>IFERROR(AVERAGE(V150:Z150),"")</f>
        <v/>
      </c>
      <c r="AB150" s="42" t="n">
        <v>0.8100000000000001</v>
      </c>
      <c r="AC150" s="42" t="n">
        <v>0.8070000000000001</v>
      </c>
      <c r="AD150" s="42" t="n">
        <v>0.794</v>
      </c>
      <c r="AE150" s="42" t="n">
        <v>0.799</v>
      </c>
      <c r="AF150" s="42" t="n">
        <v>0.793</v>
      </c>
      <c r="AG150" s="43">
        <f>IFERROR(AVERAGE(AB150:AF150),"")</f>
        <v/>
      </c>
      <c r="AH150" s="42">
        <f>IFERROR(AG150-AA150,"")</f>
        <v/>
      </c>
      <c r="AI150" s="42">
        <f>IFERROR(AG150-O150,"")</f>
        <v/>
      </c>
    </row>
    <row r="151">
      <c r="A151" s="41" t="inlineStr">
        <is>
          <t>australian</t>
        </is>
      </c>
      <c r="B151" s="42" t="inlineStr">
        <is>
          <t>boundary</t>
        </is>
      </c>
      <c r="C151" s="42" t="n">
        <v>0.3</v>
      </c>
      <c r="D151" s="42" t="n">
        <v>0.752</v>
      </c>
      <c r="E151" s="42" t="n">
        <v>0.735</v>
      </c>
      <c r="F151" s="42" t="n">
        <v>0.72</v>
      </c>
      <c r="G151" s="42" t="n">
        <v>0.716</v>
      </c>
      <c r="H151" s="42" t="n">
        <v>0.722</v>
      </c>
      <c r="I151" s="43">
        <f>IFERROR(AVERAGE(D151:H151),"")</f>
        <v/>
      </c>
      <c r="J151" s="42" t="n">
        <v>0.752</v>
      </c>
      <c r="K151" s="42" t="n">
        <v>0.751</v>
      </c>
      <c r="L151" s="42" t="n">
        <v>0.768</v>
      </c>
      <c r="M151" s="42" t="n">
        <v>0.771</v>
      </c>
      <c r="N151" s="42" t="n">
        <v>0.757</v>
      </c>
      <c r="O151" s="43">
        <f>IFERROR(AVERAGE(J151:N151),"")</f>
        <v/>
      </c>
      <c r="P151" s="42" t="n">
        <v>0.843</v>
      </c>
      <c r="Q151" s="42" t="n">
        <v>0.836</v>
      </c>
      <c r="R151" s="42" t="n">
        <v>0.8129999999999999</v>
      </c>
      <c r="S151" s="42" t="n">
        <v>0.825</v>
      </c>
      <c r="T151" s="42" t="n">
        <v>0.832</v>
      </c>
      <c r="U151" s="43">
        <f>IFERROR(AVERAGE(P151:T151),"")</f>
        <v/>
      </c>
      <c r="V151" s="42" t="n">
        <v>0.8120000000000001</v>
      </c>
      <c r="W151" s="42" t="n">
        <v>0.8</v>
      </c>
      <c r="X151" s="42" t="n">
        <v>0.777</v>
      </c>
      <c r="Y151" s="42" t="n">
        <v>0.777</v>
      </c>
      <c r="Z151" s="42" t="n">
        <v>0.79</v>
      </c>
      <c r="AA151" s="43">
        <f>IFERROR(AVERAGE(V151:Z151),"")</f>
        <v/>
      </c>
      <c r="AB151" s="42" t="n">
        <v>0.8120000000000001</v>
      </c>
      <c r="AC151" s="42" t="n">
        <v>0.8</v>
      </c>
      <c r="AD151" s="42" t="n">
        <v>0.777</v>
      </c>
      <c r="AE151" s="42" t="n">
        <v>0.777</v>
      </c>
      <c r="AF151" s="42" t="n">
        <v>0.79</v>
      </c>
      <c r="AG151" s="43">
        <f>IFERROR(AVERAGE(AB151:AF151),"")</f>
        <v/>
      </c>
      <c r="AH151" s="42">
        <f>IFERROR(AG151-AA151,"")</f>
        <v/>
      </c>
      <c r="AI151" s="42">
        <f>IFERROR(AG151-O151,"")</f>
        <v/>
      </c>
    </row>
    <row r="152">
      <c r="A152" s="41" t="inlineStr">
        <is>
          <t>australian</t>
        </is>
      </c>
      <c r="B152" s="42" t="inlineStr">
        <is>
          <t>boundary</t>
        </is>
      </c>
      <c r="C152" s="42" t="n">
        <v>0.4</v>
      </c>
      <c r="D152" s="42" t="n">
        <v>0.659</v>
      </c>
      <c r="E152" s="42" t="n">
        <v>0.674</v>
      </c>
      <c r="F152" s="42" t="n">
        <v>0.664</v>
      </c>
      <c r="G152" s="42" t="n">
        <v>0.657</v>
      </c>
      <c r="H152" s="42" t="n">
        <v>0.665</v>
      </c>
      <c r="I152" s="43">
        <f>IFERROR(AVERAGE(D152:H152),"")</f>
        <v/>
      </c>
      <c r="J152" s="42" t="n">
        <v>0.677</v>
      </c>
      <c r="K152" s="42" t="n">
        <v>0.709</v>
      </c>
      <c r="L152" s="42" t="n">
        <v>0.668</v>
      </c>
      <c r="M152" s="42" t="n">
        <v>0.67</v>
      </c>
      <c r="N152" s="42" t="n">
        <v>0.701</v>
      </c>
      <c r="O152" s="43">
        <f>IFERROR(AVERAGE(J152:N152),"")</f>
        <v/>
      </c>
      <c r="P152" s="42" t="n">
        <v>0.667</v>
      </c>
      <c r="Q152" s="42" t="n">
        <v>0.671</v>
      </c>
      <c r="R152" s="42" t="n">
        <v>0.661</v>
      </c>
      <c r="S152" s="42" t="n">
        <v>0.607</v>
      </c>
      <c r="T152" s="42" t="n">
        <v>0.6830000000000001</v>
      </c>
      <c r="U152" s="43">
        <f>IFERROR(AVERAGE(P152:T152),"")</f>
        <v/>
      </c>
      <c r="V152" s="42" t="n">
        <v>0.623</v>
      </c>
      <c r="W152" s="42" t="n">
        <v>0.619</v>
      </c>
      <c r="X152" s="42" t="n">
        <v>0.58</v>
      </c>
      <c r="Y152" s="42" t="n">
        <v>0.586</v>
      </c>
      <c r="Z152" s="42" t="n">
        <v>0.697</v>
      </c>
      <c r="AA152" s="43">
        <f>IFERROR(AVERAGE(V152:Z152),"")</f>
        <v/>
      </c>
      <c r="AB152" s="42" t="n">
        <v>0.623</v>
      </c>
      <c r="AC152" s="42" t="n">
        <v>0.619</v>
      </c>
      <c r="AD152" s="42" t="n">
        <v>0.58</v>
      </c>
      <c r="AE152" s="42" t="n">
        <v>0.586</v>
      </c>
      <c r="AF152" s="42" t="n">
        <v>0.697</v>
      </c>
      <c r="AG152" s="43">
        <f>IFERROR(AVERAGE(AB152:AF152),"")</f>
        <v/>
      </c>
      <c r="AH152" s="42">
        <f>IFERROR(AG152-AA152,"")</f>
        <v/>
      </c>
      <c r="AI152" s="42">
        <f>IFERROR(AG152-O152,"")</f>
        <v/>
      </c>
    </row>
    <row r="153">
      <c r="A153" s="41" t="inlineStr">
        <is>
          <t>australian</t>
        </is>
      </c>
      <c r="B153" s="42" t="inlineStr">
        <is>
          <t>boundary</t>
        </is>
      </c>
      <c r="C153" s="42" t="n">
        <v>0.5</v>
      </c>
      <c r="D153" s="42" t="n">
        <v>0.497</v>
      </c>
      <c r="E153" s="42" t="n">
        <v>0.487</v>
      </c>
      <c r="F153" s="42" t="n">
        <v>0.493</v>
      </c>
      <c r="G153" s="42" t="n">
        <v>0.486</v>
      </c>
      <c r="H153" s="42" t="n">
        <v>0.504</v>
      </c>
      <c r="I153" s="43">
        <f>IFERROR(AVERAGE(D153:H153),"")</f>
        <v/>
      </c>
      <c r="J153" s="42" t="n">
        <v>0.526</v>
      </c>
      <c r="K153" s="42" t="n">
        <v>0.503</v>
      </c>
      <c r="L153" s="42" t="n">
        <v>0.47</v>
      </c>
      <c r="M153" s="42" t="n">
        <v>0.497</v>
      </c>
      <c r="N153" s="42" t="n">
        <v>0.532</v>
      </c>
      <c r="O153" s="43">
        <f>IFERROR(AVERAGE(J153:N153),"")</f>
        <v/>
      </c>
      <c r="P153" s="42" t="n">
        <v>0.517</v>
      </c>
      <c r="Q153" s="42" t="n">
        <v>0.468</v>
      </c>
      <c r="R153" s="42" t="n">
        <v>0.491</v>
      </c>
      <c r="S153" s="42" t="n">
        <v>0.491</v>
      </c>
      <c r="T153" s="42" t="n">
        <v>0.499</v>
      </c>
      <c r="U153" s="43">
        <f>IFERROR(AVERAGE(P153:T153),"")</f>
        <v/>
      </c>
      <c r="V153" s="42" t="n">
        <v>0.486</v>
      </c>
      <c r="W153" s="42" t="n">
        <v>0.474</v>
      </c>
      <c r="X153" s="42" t="n">
        <v>0.517</v>
      </c>
      <c r="Y153" s="42" t="n">
        <v>0.477</v>
      </c>
      <c r="Z153" s="42" t="n">
        <v>0.503</v>
      </c>
      <c r="AA153" s="43">
        <f>IFERROR(AVERAGE(V153:Z153),"")</f>
        <v/>
      </c>
      <c r="AB153" s="42" t="n">
        <v>0.486</v>
      </c>
      <c r="AC153" s="42" t="n">
        <v>0.474</v>
      </c>
      <c r="AD153" s="42" t="n">
        <v>0.517</v>
      </c>
      <c r="AE153" s="42" t="n">
        <v>0.477</v>
      </c>
      <c r="AF153" s="42" t="n">
        <v>0.503</v>
      </c>
      <c r="AG153" s="43">
        <f>IFERROR(AVERAGE(AB153:AF153),"")</f>
        <v/>
      </c>
      <c r="AH153" s="42">
        <f>IFERROR(AG153-AA153,"")</f>
        <v/>
      </c>
      <c r="AI153" s="42">
        <f>IFERROR(AG153-O153,"")</f>
        <v/>
      </c>
    </row>
    <row r="154">
      <c r="A154" s="41" t="inlineStr">
        <is>
          <t>australian</t>
        </is>
      </c>
      <c r="B154" s="42" t="inlineStr">
        <is>
          <t>far</t>
        </is>
      </c>
      <c r="C154" s="42" t="n">
        <v>0.2</v>
      </c>
      <c r="D154" s="42" t="n">
        <v>0.771</v>
      </c>
      <c r="E154" s="42" t="n">
        <v>0.758</v>
      </c>
      <c r="F154" s="42" t="n">
        <v>0.775</v>
      </c>
      <c r="G154" s="42" t="n">
        <v>0.736</v>
      </c>
      <c r="H154" s="42" t="n">
        <v>0.765</v>
      </c>
      <c r="I154" s="43">
        <f>IFERROR(AVERAGE(D154:H154),"")</f>
        <v/>
      </c>
      <c r="J154" s="42" t="n">
        <v>0.783</v>
      </c>
      <c r="K154" s="42" t="n">
        <v>0.757</v>
      </c>
      <c r="L154" s="42" t="n">
        <v>0.774</v>
      </c>
      <c r="M154" s="42" t="n">
        <v>0.78</v>
      </c>
      <c r="N154" s="42" t="n">
        <v>0.803</v>
      </c>
      <c r="O154" s="43">
        <f>IFERROR(AVERAGE(J154:N154),"")</f>
        <v/>
      </c>
      <c r="P154" s="42" t="n"/>
      <c r="Q154" s="42" t="n">
        <v>0.855</v>
      </c>
      <c r="R154" s="42" t="n">
        <v>0.801</v>
      </c>
      <c r="S154" s="42" t="n">
        <v>0.851</v>
      </c>
      <c r="T154" s="42" t="n">
        <v>0.87</v>
      </c>
      <c r="U154" s="43">
        <f>IFERROR(AVERAGE(P154:T154),"")</f>
        <v/>
      </c>
      <c r="V154" s="42" t="n"/>
      <c r="W154" s="42" t="n">
        <v>0.855</v>
      </c>
      <c r="X154" s="42" t="n">
        <v>0.79</v>
      </c>
      <c r="Y154" s="42" t="n">
        <v>0.8080000000000001</v>
      </c>
      <c r="Z154" s="42" t="n">
        <v>0.783</v>
      </c>
      <c r="AA154" s="43">
        <f>IFERROR(AVERAGE(V154:Z154),"")</f>
        <v/>
      </c>
      <c r="AB154" s="42" t="n">
        <v>0.838</v>
      </c>
      <c r="AC154" s="42" t="n">
        <v>0.842</v>
      </c>
      <c r="AD154" s="42" t="n">
        <v>0.806</v>
      </c>
      <c r="AE154" s="42" t="n">
        <v>0.8120000000000001</v>
      </c>
      <c r="AF154" s="42" t="n">
        <v>0.82</v>
      </c>
      <c r="AG154" s="43">
        <f>IFERROR(AVERAGE(AB154:AF154),"")</f>
        <v/>
      </c>
      <c r="AH154" s="42">
        <f>IFERROR(AG154-AA154,"")</f>
        <v/>
      </c>
      <c r="AI154" s="42">
        <f>IFERROR(AG154-O154,"")</f>
        <v/>
      </c>
    </row>
    <row r="155">
      <c r="A155" s="41" t="inlineStr">
        <is>
          <t>australian</t>
        </is>
      </c>
      <c r="B155" s="42" t="inlineStr">
        <is>
          <t>far</t>
        </is>
      </c>
      <c r="C155" s="42" t="n">
        <v>0.3</v>
      </c>
      <c r="D155" s="42" t="n">
        <v>0.719</v>
      </c>
      <c r="E155" s="42" t="n">
        <v>0.733</v>
      </c>
      <c r="F155" s="42" t="n">
        <v>0.6879999999999999</v>
      </c>
      <c r="G155" s="42" t="n">
        <v>0.6909999999999999</v>
      </c>
      <c r="H155" s="42" t="n">
        <v>0.723</v>
      </c>
      <c r="I155" s="43">
        <f>IFERROR(AVERAGE(D155:H155),"")</f>
        <v/>
      </c>
      <c r="J155" s="42" t="n">
        <v>0.703</v>
      </c>
      <c r="K155" s="42" t="n">
        <v>0.739</v>
      </c>
      <c r="L155" s="42" t="n">
        <v>0.716</v>
      </c>
      <c r="M155" s="42" t="n">
        <v>0.741</v>
      </c>
      <c r="N155" s="42" t="n">
        <v>0.723</v>
      </c>
      <c r="O155" s="43">
        <f>IFERROR(AVERAGE(J155:N155),"")</f>
        <v/>
      </c>
      <c r="P155" s="42" t="n">
        <v>0.721</v>
      </c>
      <c r="Q155" s="42" t="n">
        <v>0.696</v>
      </c>
      <c r="R155" s="42" t="n">
        <v>0.6909999999999999</v>
      </c>
      <c r="S155" s="42" t="n">
        <v>0.732</v>
      </c>
      <c r="T155" s="42" t="n">
        <v>0.6879999999999999</v>
      </c>
      <c r="U155" s="43">
        <f>IFERROR(AVERAGE(P155:T155),"")</f>
        <v/>
      </c>
      <c r="V155" s="42" t="n">
        <v>0.6899999999999999</v>
      </c>
      <c r="W155" s="42" t="n">
        <v>0.723</v>
      </c>
      <c r="X155" s="42" t="n">
        <v>0.5679999999999999</v>
      </c>
      <c r="Y155" s="42" t="n">
        <v>0.589</v>
      </c>
      <c r="Z155" s="42" t="n">
        <v>0.635</v>
      </c>
      <c r="AA155" s="43">
        <f>IFERROR(AVERAGE(V155:Z155),"")</f>
        <v/>
      </c>
      <c r="AB155" s="42" t="n">
        <v>0.639</v>
      </c>
      <c r="AC155" s="42" t="n">
        <v>0.667</v>
      </c>
      <c r="AD155" s="42" t="n">
        <v>0.586</v>
      </c>
      <c r="AE155" s="42" t="n">
        <v>0.638</v>
      </c>
      <c r="AF155" s="42" t="n">
        <v>0.581</v>
      </c>
      <c r="AG155" s="43">
        <f>IFERROR(AVERAGE(AB155:AF155),"")</f>
        <v/>
      </c>
      <c r="AH155" s="42">
        <f>IFERROR(AG155-AA155,"")</f>
        <v/>
      </c>
      <c r="AI155" s="42">
        <f>IFERROR(AG155-O155,"")</f>
        <v/>
      </c>
    </row>
    <row r="156">
      <c r="A156" s="41" t="inlineStr">
        <is>
          <t>australian</t>
        </is>
      </c>
      <c r="B156" s="42" t="inlineStr">
        <is>
          <t>far</t>
        </is>
      </c>
      <c r="C156" s="42" t="n">
        <v>0.4</v>
      </c>
      <c r="D156" s="42" t="n">
        <v>0.614</v>
      </c>
      <c r="E156" s="42" t="n">
        <v>0.657</v>
      </c>
      <c r="F156" s="42" t="n">
        <v>0.635</v>
      </c>
      <c r="G156" s="42" t="n">
        <v>0.63</v>
      </c>
      <c r="H156" s="42" t="n">
        <v>0.661</v>
      </c>
      <c r="I156" s="43">
        <f>IFERROR(AVERAGE(D156:H156),"")</f>
        <v/>
      </c>
      <c r="J156" s="42" t="n">
        <v>0.6860000000000001</v>
      </c>
      <c r="K156" s="42" t="n">
        <v>0.635</v>
      </c>
      <c r="L156" s="42" t="n">
        <v>0.661</v>
      </c>
      <c r="M156" s="42" t="n">
        <v>0.664</v>
      </c>
      <c r="N156" s="42" t="n">
        <v>0.678</v>
      </c>
      <c r="O156" s="43">
        <f>IFERROR(AVERAGE(J156:N156),"")</f>
        <v/>
      </c>
      <c r="P156" s="42" t="n">
        <v>0.571</v>
      </c>
      <c r="Q156" s="42" t="n">
        <v>0.672</v>
      </c>
      <c r="R156" s="42" t="n">
        <v>0.569</v>
      </c>
      <c r="S156" s="42" t="n">
        <v>0.61</v>
      </c>
      <c r="T156" s="42" t="n">
        <v>0.638</v>
      </c>
      <c r="U156" s="43">
        <f>IFERROR(AVERAGE(P156:T156),"")</f>
        <v/>
      </c>
      <c r="V156" s="42" t="n">
        <v>0.619</v>
      </c>
      <c r="W156" s="42" t="n">
        <v>0.623</v>
      </c>
      <c r="X156" s="42" t="n">
        <v>0.616</v>
      </c>
      <c r="Y156" s="42" t="n">
        <v>0.617</v>
      </c>
      <c r="Z156" s="42" t="n">
        <v>0.599</v>
      </c>
      <c r="AA156" s="43">
        <f>IFERROR(AVERAGE(V156:Z156),"")</f>
        <v/>
      </c>
      <c r="AB156" s="42" t="n">
        <v>0.619</v>
      </c>
      <c r="AC156" s="42" t="n">
        <v>0.623</v>
      </c>
      <c r="AD156" s="42" t="n">
        <v>0.583</v>
      </c>
      <c r="AE156" s="42" t="n">
        <v>0.617</v>
      </c>
      <c r="AF156" s="42" t="n">
        <v>0.599</v>
      </c>
      <c r="AG156" s="43">
        <f>IFERROR(AVERAGE(AB156:AF156),"")</f>
        <v/>
      </c>
      <c r="AH156" s="42">
        <f>IFERROR(AG156-AA156,"")</f>
        <v/>
      </c>
      <c r="AI156" s="42">
        <f>IFERROR(AG156-O156,"")</f>
        <v/>
      </c>
    </row>
    <row r="157">
      <c r="A157" s="41" t="inlineStr">
        <is>
          <t>australian</t>
        </is>
      </c>
      <c r="B157" s="42" t="inlineStr">
        <is>
          <t>far</t>
        </is>
      </c>
      <c r="C157" s="42" t="n">
        <v>0.5</v>
      </c>
      <c r="D157" s="42" t="n">
        <v>0.417</v>
      </c>
      <c r="E157" s="42" t="n">
        <v>0.506</v>
      </c>
      <c r="F157" s="42" t="n">
        <v>0.533</v>
      </c>
      <c r="G157" s="42" t="n">
        <v>0.506</v>
      </c>
      <c r="H157" s="42" t="n">
        <v>0.446</v>
      </c>
      <c r="I157" s="43">
        <f>IFERROR(AVERAGE(D157:H157),"")</f>
        <v/>
      </c>
      <c r="J157" s="42" t="n">
        <v>0.458</v>
      </c>
      <c r="K157" s="42" t="n">
        <v>0.497</v>
      </c>
      <c r="L157" s="42" t="n">
        <v>0.513</v>
      </c>
      <c r="M157" s="42" t="n">
        <v>0.483</v>
      </c>
      <c r="N157" s="42" t="n">
        <v>0.474</v>
      </c>
      <c r="O157" s="43">
        <f>IFERROR(AVERAGE(J157:N157),"")</f>
        <v/>
      </c>
      <c r="P157" s="42" t="n">
        <v>0.491</v>
      </c>
      <c r="Q157" s="42" t="n">
        <v>0.5649999999999999</v>
      </c>
      <c r="R157" s="42" t="n">
        <v>0.532</v>
      </c>
      <c r="S157" s="42" t="n">
        <v>0.484</v>
      </c>
      <c r="T157" s="42" t="n">
        <v>0.526</v>
      </c>
      <c r="U157" s="43">
        <f>IFERROR(AVERAGE(P157:T157),"")</f>
        <v/>
      </c>
      <c r="V157" s="42" t="n">
        <v>0.458</v>
      </c>
      <c r="W157" s="42" t="n">
        <v>0.503</v>
      </c>
      <c r="X157" s="42" t="n">
        <v>0.516</v>
      </c>
      <c r="Y157" s="42" t="n">
        <v>0.546</v>
      </c>
      <c r="Z157" s="42" t="n">
        <v>0.514</v>
      </c>
      <c r="AA157" s="43">
        <f>IFERROR(AVERAGE(V157:Z157),"")</f>
        <v/>
      </c>
      <c r="AB157" s="42" t="n">
        <v>0.458</v>
      </c>
      <c r="AC157" s="42" t="n">
        <v>0.503</v>
      </c>
      <c r="AD157" s="42" t="n">
        <v>0.516</v>
      </c>
      <c r="AE157" s="42" t="n">
        <v>0.546</v>
      </c>
      <c r="AF157" s="42" t="n">
        <v>0.514</v>
      </c>
      <c r="AG157" s="43">
        <f>IFERROR(AVERAGE(AB157:AF157),"")</f>
        <v/>
      </c>
      <c r="AH157" s="42">
        <f>IFERROR(AG157-AA157,"")</f>
        <v/>
      </c>
      <c r="AI157" s="42">
        <f>IFERROR(AG157-O157,"")</f>
        <v/>
      </c>
    </row>
    <row r="158">
      <c r="A158" s="41" t="inlineStr">
        <is>
          <t>german</t>
        </is>
      </c>
      <c r="B158" s="42" t="inlineStr">
        <is>
          <t>(clean)</t>
        </is>
      </c>
      <c r="C158" s="42" t="n">
        <v>0</v>
      </c>
      <c r="D158" s="42" t="n">
        <v>0.726</v>
      </c>
      <c r="E158" s="42" t="n">
        <v>0.733</v>
      </c>
      <c r="F158" s="42" t="n">
        <v>0.725</v>
      </c>
      <c r="G158" s="42" t="n">
        <v>0.721</v>
      </c>
      <c r="H158" s="42" t="n">
        <v>0.716</v>
      </c>
      <c r="I158" s="43">
        <f>IFERROR(AVERAGE(D158:H158),"")</f>
        <v/>
      </c>
      <c r="J158" s="42" t="n">
        <v>0.712</v>
      </c>
      <c r="K158" s="42" t="n">
        <v>0.726</v>
      </c>
      <c r="L158" s="42" t="n">
        <v>0.728</v>
      </c>
      <c r="M158" s="42" t="n">
        <v>0.716</v>
      </c>
      <c r="N158" s="42" t="n">
        <v>0.723</v>
      </c>
      <c r="O158" s="43">
        <f>IFERROR(AVERAGE(J158:N158),"")</f>
        <v/>
      </c>
      <c r="P158" s="42" t="n"/>
      <c r="Q158" s="42" t="n"/>
      <c r="R158" s="42" t="n"/>
      <c r="S158" s="42" t="n"/>
      <c r="T158" s="42" t="n"/>
      <c r="U158" s="43">
        <f>IFERROR(AVERAGE(P158:T158),"")</f>
        <v/>
      </c>
      <c r="V158" s="42" t="n"/>
      <c r="W158" s="42" t="n"/>
      <c r="X158" s="42" t="n"/>
      <c r="Y158" s="42" t="n"/>
      <c r="Z158" s="42" t="n"/>
      <c r="AA158" s="43">
        <f>IFERROR(AVERAGE(V158:Z158),"")</f>
        <v/>
      </c>
      <c r="AB158" s="42" t="n">
        <v>0.612</v>
      </c>
      <c r="AC158" s="42" t="n">
        <v>0.62</v>
      </c>
      <c r="AD158" s="42" t="n">
        <v>0.609</v>
      </c>
      <c r="AE158" s="42" t="n">
        <v>0.623</v>
      </c>
      <c r="AF158" s="42" t="n">
        <v>0.621</v>
      </c>
      <c r="AG158" s="43">
        <f>IFERROR(AVERAGE(AB158:AF158),"")</f>
        <v/>
      </c>
      <c r="AH158" s="42">
        <f>IFERROR(AG158-AA158,"")</f>
        <v/>
      </c>
      <c r="AI158" s="42">
        <f>IFERROR(AG158-O158,"")</f>
        <v/>
      </c>
    </row>
    <row r="159">
      <c r="A159" s="41" t="inlineStr">
        <is>
          <t>german</t>
        </is>
      </c>
      <c r="B159" s="42" t="inlineStr">
        <is>
          <t>symmetric</t>
        </is>
      </c>
      <c r="C159" s="42" t="n">
        <v>0.2</v>
      </c>
      <c r="D159" s="42" t="n">
        <v>0.696</v>
      </c>
      <c r="E159" s="42" t="n">
        <v>0.696</v>
      </c>
      <c r="F159" s="42" t="n">
        <v>0.694</v>
      </c>
      <c r="G159" s="42" t="n">
        <v>0.679</v>
      </c>
      <c r="H159" s="42" t="n">
        <v>0.673</v>
      </c>
      <c r="I159" s="43">
        <f>IFERROR(AVERAGE(D159:H159),"")</f>
        <v/>
      </c>
      <c r="J159" s="42" t="n">
        <v>0.675</v>
      </c>
      <c r="K159" s="42" t="n">
        <v>0.6889999999999999</v>
      </c>
      <c r="L159" s="42" t="n">
        <v>0.663</v>
      </c>
      <c r="M159" s="42" t="n">
        <v>0.6850000000000001</v>
      </c>
      <c r="N159" s="42" t="n">
        <v>0.655</v>
      </c>
      <c r="O159" s="43">
        <f>IFERROR(AVERAGE(J159:N159),"")</f>
        <v/>
      </c>
      <c r="P159" s="42" t="n"/>
      <c r="Q159" s="42" t="n"/>
      <c r="R159" s="42" t="n"/>
      <c r="S159" s="42" t="n"/>
      <c r="T159" s="42" t="n"/>
      <c r="U159" s="43">
        <f>IFERROR(AVERAGE(P159:T159),"")</f>
        <v/>
      </c>
      <c r="V159" s="42" t="n"/>
      <c r="W159" s="42" t="n"/>
      <c r="X159" s="42" t="n"/>
      <c r="Y159" s="42" t="n"/>
      <c r="Z159" s="42" t="n"/>
      <c r="AA159" s="43">
        <f>IFERROR(AVERAGE(V159:Z159),"")</f>
        <v/>
      </c>
      <c r="AB159" s="42" t="n">
        <v>0.596</v>
      </c>
      <c r="AC159" s="42" t="n">
        <v>0.549</v>
      </c>
      <c r="AD159" s="42" t="n">
        <v>0.523</v>
      </c>
      <c r="AE159" s="42" t="n">
        <v>0.602</v>
      </c>
      <c r="AF159" s="42" t="n">
        <v>0.579</v>
      </c>
      <c r="AG159" s="43">
        <f>IFERROR(AVERAGE(AB159:AF159),"")</f>
        <v/>
      </c>
      <c r="AH159" s="42">
        <f>IFERROR(AG159-AA159,"")</f>
        <v/>
      </c>
      <c r="AI159" s="42">
        <f>IFERROR(AG159-O159,"")</f>
        <v/>
      </c>
    </row>
    <row r="160">
      <c r="A160" s="41" t="inlineStr">
        <is>
          <t>german</t>
        </is>
      </c>
      <c r="B160" s="42" t="inlineStr">
        <is>
          <t>symmetric</t>
        </is>
      </c>
      <c r="C160" s="42" t="n">
        <v>0.3</v>
      </c>
      <c r="D160" s="42" t="n">
        <v>0.647</v>
      </c>
      <c r="E160" s="42" t="n">
        <v>0.651</v>
      </c>
      <c r="F160" s="42" t="n">
        <v>0.651</v>
      </c>
      <c r="G160" s="42" t="n">
        <v>0.611</v>
      </c>
      <c r="H160" s="42" t="n">
        <v>0.657</v>
      </c>
      <c r="I160" s="43">
        <f>IFERROR(AVERAGE(D160:H160),"")</f>
        <v/>
      </c>
      <c r="J160" s="42" t="n">
        <v>0.65</v>
      </c>
      <c r="K160" s="42" t="n">
        <v>0.654</v>
      </c>
      <c r="L160" s="42" t="n">
        <v>0.636</v>
      </c>
      <c r="M160" s="42" t="n">
        <v>0.608</v>
      </c>
      <c r="N160" s="42" t="n">
        <v>0.622</v>
      </c>
      <c r="O160" s="43">
        <f>IFERROR(AVERAGE(J160:N160),"")</f>
        <v/>
      </c>
      <c r="P160" s="42" t="n">
        <v>0.668</v>
      </c>
      <c r="Q160" s="42" t="n">
        <v>0.631</v>
      </c>
      <c r="R160" s="42" t="n">
        <v>0.611</v>
      </c>
      <c r="S160" s="42" t="n">
        <v>0.585</v>
      </c>
      <c r="T160" s="42" t="n">
        <v>0.58</v>
      </c>
      <c r="U160" s="43">
        <f>IFERROR(AVERAGE(P160:T160),"")</f>
        <v/>
      </c>
      <c r="V160" s="42" t="n">
        <v>0.495</v>
      </c>
      <c r="W160" s="42" t="n">
        <v>0.653</v>
      </c>
      <c r="X160" s="42" t="n">
        <v>0.517</v>
      </c>
      <c r="Y160" s="42" t="n">
        <v>0.527</v>
      </c>
      <c r="Z160" s="42" t="n">
        <v>0.535</v>
      </c>
      <c r="AA160" s="43">
        <f>IFERROR(AVERAGE(V160:Z160),"")</f>
        <v/>
      </c>
      <c r="AB160" s="42" t="n">
        <v>0.516</v>
      </c>
      <c r="AC160" s="42" t="n">
        <v>0.653</v>
      </c>
      <c r="AD160" s="42" t="n">
        <v>0.517</v>
      </c>
      <c r="AE160" s="42" t="n">
        <v>0.527</v>
      </c>
      <c r="AF160" s="42" t="n">
        <v>0.535</v>
      </c>
      <c r="AG160" s="43">
        <f>IFERROR(AVERAGE(AB160:AF160),"")</f>
        <v/>
      </c>
      <c r="AH160" s="42">
        <f>IFERROR(AG160-AA160,"")</f>
        <v/>
      </c>
      <c r="AI160" s="42">
        <f>IFERROR(AG160-O160,"")</f>
        <v/>
      </c>
    </row>
    <row r="161">
      <c r="A161" s="41" t="inlineStr">
        <is>
          <t>german</t>
        </is>
      </c>
      <c r="B161" s="42" t="inlineStr">
        <is>
          <t>symmetric</t>
        </is>
      </c>
      <c r="C161" s="42" t="n">
        <v>0.4</v>
      </c>
      <c r="D161" s="42" t="n">
        <v>0.594</v>
      </c>
      <c r="E161" s="42" t="n">
        <v>0.577</v>
      </c>
      <c r="F161" s="42" t="n">
        <v>0.618</v>
      </c>
      <c r="G161" s="42" t="n">
        <v>0.573</v>
      </c>
      <c r="H161" s="42" t="n">
        <v>0.556</v>
      </c>
      <c r="I161" s="43">
        <f>IFERROR(AVERAGE(D161:H161),"")</f>
        <v/>
      </c>
      <c r="J161" s="42" t="n">
        <v>0.583</v>
      </c>
      <c r="K161" s="42" t="n">
        <v>0.573</v>
      </c>
      <c r="L161" s="42" t="n">
        <v>0.583</v>
      </c>
      <c r="M161" s="42" t="n">
        <v>0.582</v>
      </c>
      <c r="N161" s="42" t="n">
        <v>0.523</v>
      </c>
      <c r="O161" s="43">
        <f>IFERROR(AVERAGE(J161:N161),"")</f>
        <v/>
      </c>
      <c r="P161" s="42" t="n">
        <v>0.577</v>
      </c>
      <c r="Q161" s="42" t="n">
        <v>0.575</v>
      </c>
      <c r="R161" s="42" t="n">
        <v>0.516</v>
      </c>
      <c r="S161" s="42" t="n">
        <v>0.548</v>
      </c>
      <c r="T161" s="42" t="n">
        <v>0.555</v>
      </c>
      <c r="U161" s="43">
        <f>IFERROR(AVERAGE(P161:T161),"")</f>
        <v/>
      </c>
      <c r="V161" s="42" t="n">
        <v>0.5639999999999999</v>
      </c>
      <c r="W161" s="42" t="n">
        <v>0.588</v>
      </c>
      <c r="X161" s="42" t="n">
        <v>0.472</v>
      </c>
      <c r="Y161" s="42" t="n">
        <v>0.505</v>
      </c>
      <c r="Z161" s="42" t="n">
        <v>0.584</v>
      </c>
      <c r="AA161" s="43">
        <f>IFERROR(AVERAGE(V161:Z161),"")</f>
        <v/>
      </c>
      <c r="AB161" s="42" t="n">
        <v>0.5639999999999999</v>
      </c>
      <c r="AC161" s="42" t="n">
        <v>0.588</v>
      </c>
      <c r="AD161" s="42" t="n">
        <v>0.472</v>
      </c>
      <c r="AE161" s="42" t="n">
        <v>0.505</v>
      </c>
      <c r="AF161" s="42" t="n">
        <v>0.584</v>
      </c>
      <c r="AG161" s="43">
        <f>IFERROR(AVERAGE(AB161:AF161),"")</f>
        <v/>
      </c>
      <c r="AH161" s="42">
        <f>IFERROR(AG161-AA161,"")</f>
        <v/>
      </c>
      <c r="AI161" s="42">
        <f>IFERROR(AG161-O161,"")</f>
        <v/>
      </c>
    </row>
    <row r="162">
      <c r="A162" s="41" t="inlineStr">
        <is>
          <t>german</t>
        </is>
      </c>
      <c r="B162" s="42" t="inlineStr">
        <is>
          <t>symmetric</t>
        </is>
      </c>
      <c r="C162" s="42" t="n">
        <v>0.5</v>
      </c>
      <c r="D162" s="42" t="n">
        <v>0.492</v>
      </c>
      <c r="E162" s="42" t="n">
        <v>0.5600000000000001</v>
      </c>
      <c r="F162" s="42" t="n">
        <v>0.51</v>
      </c>
      <c r="G162" s="42" t="n">
        <v>0.473</v>
      </c>
      <c r="H162" s="42" t="n">
        <v>0.496</v>
      </c>
      <c r="I162" s="43">
        <f>IFERROR(AVERAGE(D162:H162),"")</f>
        <v/>
      </c>
      <c r="J162" s="42" t="n">
        <v>0.485</v>
      </c>
      <c r="K162" s="42" t="n">
        <v>0.533</v>
      </c>
      <c r="L162" s="42" t="n">
        <v>0.506</v>
      </c>
      <c r="M162" s="42" t="n">
        <v>0.483</v>
      </c>
      <c r="N162" s="42" t="n">
        <v>0.476</v>
      </c>
      <c r="O162" s="43">
        <f>IFERROR(AVERAGE(J162:N162),"")</f>
        <v/>
      </c>
      <c r="P162" s="42" t="n">
        <v>0.478</v>
      </c>
      <c r="Q162" s="42" t="n">
        <v>0.462</v>
      </c>
      <c r="R162" s="42" t="n">
        <v>0.512</v>
      </c>
      <c r="S162" s="42" t="n">
        <v>0.517</v>
      </c>
      <c r="T162" s="42" t="n">
        <v>0.501</v>
      </c>
      <c r="U162" s="43">
        <f>IFERROR(AVERAGE(P162:T162),"")</f>
        <v/>
      </c>
      <c r="V162" s="42" t="n">
        <v>0.488</v>
      </c>
      <c r="W162" s="42" t="n">
        <v>0.467</v>
      </c>
      <c r="X162" s="42" t="n">
        <v>0.5649999999999999</v>
      </c>
      <c r="Y162" s="42" t="n">
        <v>0.516</v>
      </c>
      <c r="Z162" s="42" t="n">
        <v>0.456</v>
      </c>
      <c r="AA162" s="43">
        <f>IFERROR(AVERAGE(V162:Z162),"")</f>
        <v/>
      </c>
      <c r="AB162" s="42" t="n">
        <v>0.488</v>
      </c>
      <c r="AC162" s="42" t="n">
        <v>0.467</v>
      </c>
      <c r="AD162" s="42" t="n">
        <v>0.5649999999999999</v>
      </c>
      <c r="AE162" s="42" t="n">
        <v>0.516</v>
      </c>
      <c r="AF162" s="42" t="n">
        <v>0.456</v>
      </c>
      <c r="AG162" s="43">
        <f>IFERROR(AVERAGE(AB162:AF162),"")</f>
        <v/>
      </c>
      <c r="AH162" s="42">
        <f>IFERROR(AG162-AA162,"")</f>
        <v/>
      </c>
      <c r="AI162" s="42">
        <f>IFERROR(AG162-O162,"")</f>
        <v/>
      </c>
    </row>
    <row r="163">
      <c r="A163" s="41" t="inlineStr">
        <is>
          <t>german</t>
        </is>
      </c>
      <c r="B163" s="42" t="inlineStr">
        <is>
          <t>asymmetric</t>
        </is>
      </c>
      <c r="C163" s="42" t="n">
        <v>0.2</v>
      </c>
      <c r="D163" s="42" t="n">
        <v>0.709</v>
      </c>
      <c r="E163" s="42" t="n">
        <v>0.727</v>
      </c>
      <c r="F163" s="42" t="n">
        <v>0.735</v>
      </c>
      <c r="G163" s="42" t="n">
        <v>0.723</v>
      </c>
      <c r="H163" s="42" t="n">
        <v>0.712</v>
      </c>
      <c r="I163" s="43">
        <f>IFERROR(AVERAGE(D163:H163),"")</f>
        <v/>
      </c>
      <c r="J163" s="42" t="n">
        <v>0.722</v>
      </c>
      <c r="K163" s="42" t="n">
        <v>0.72</v>
      </c>
      <c r="L163" s="42" t="n">
        <v>0.73</v>
      </c>
      <c r="M163" s="42" t="n">
        <v>0.718</v>
      </c>
      <c r="N163" s="42" t="n">
        <v>0.718</v>
      </c>
      <c r="O163" s="43">
        <f>IFERROR(AVERAGE(J163:N163),"")</f>
        <v/>
      </c>
      <c r="P163" s="42" t="n"/>
      <c r="Q163" s="42" t="n"/>
      <c r="R163" s="42" t="n"/>
      <c r="S163" s="42" t="n"/>
      <c r="T163" s="42" t="n"/>
      <c r="U163" s="43">
        <f>IFERROR(AVERAGE(P163:T163),"")</f>
        <v/>
      </c>
      <c r="V163" s="42" t="n"/>
      <c r="W163" s="42" t="n"/>
      <c r="X163" s="42" t="n"/>
      <c r="Y163" s="42" t="n"/>
      <c r="Z163" s="42" t="n"/>
      <c r="AA163" s="43">
        <f>IFERROR(AVERAGE(V163:Z163),"")</f>
        <v/>
      </c>
      <c r="AB163" s="42" t="n">
        <v>0.593</v>
      </c>
      <c r="AC163" s="42" t="n">
        <v>0.616</v>
      </c>
      <c r="AD163" s="42" t="n">
        <v>0.669</v>
      </c>
      <c r="AE163" s="42" t="n">
        <v>0.669</v>
      </c>
      <c r="AF163" s="42" t="n">
        <v>0.571</v>
      </c>
      <c r="AG163" s="43">
        <f>IFERROR(AVERAGE(AB163:AF163),"")</f>
        <v/>
      </c>
      <c r="AH163" s="42">
        <f>IFERROR(AG163-AA163,"")</f>
        <v/>
      </c>
      <c r="AI163" s="42">
        <f>IFERROR(AG163-O163,"")</f>
        <v/>
      </c>
    </row>
    <row r="164">
      <c r="A164" s="41" t="inlineStr">
        <is>
          <t>german</t>
        </is>
      </c>
      <c r="B164" s="42" t="inlineStr">
        <is>
          <t>asymmetric</t>
        </is>
      </c>
      <c r="C164" s="42" t="n">
        <v>0.3</v>
      </c>
      <c r="D164" s="42" t="n">
        <v>0.716</v>
      </c>
      <c r="E164" s="42" t="n">
        <v>0.722</v>
      </c>
      <c r="F164" s="42" t="n">
        <v>0.721</v>
      </c>
      <c r="G164" s="42" t="n">
        <v>0.717</v>
      </c>
      <c r="H164" s="42" t="n">
        <v>0.708</v>
      </c>
      <c r="I164" s="43">
        <f>IFERROR(AVERAGE(D164:H164),"")</f>
        <v/>
      </c>
      <c r="J164" s="42" t="n">
        <v>0.735</v>
      </c>
      <c r="K164" s="42" t="n">
        <v>0.706</v>
      </c>
      <c r="L164" s="42" t="n">
        <v>0.717</v>
      </c>
      <c r="M164" s="42" t="n">
        <v>0.714</v>
      </c>
      <c r="N164" s="42" t="n">
        <v>0.727</v>
      </c>
      <c r="O164" s="43">
        <f>IFERROR(AVERAGE(J164:N164),"")</f>
        <v/>
      </c>
      <c r="P164" s="42" t="n"/>
      <c r="Q164" s="42" t="n"/>
      <c r="R164" s="42" t="n"/>
      <c r="S164" s="42" t="n"/>
      <c r="T164" s="42" t="n"/>
      <c r="U164" s="43">
        <f>IFERROR(AVERAGE(P164:T164),"")</f>
        <v/>
      </c>
      <c r="V164" s="42" t="n"/>
      <c r="W164" s="42" t="n"/>
      <c r="X164" s="42" t="n"/>
      <c r="Y164" s="42" t="n"/>
      <c r="Z164" s="42" t="n"/>
      <c r="AA164" s="43">
        <f>IFERROR(AVERAGE(V164:Z164),"")</f>
        <v/>
      </c>
      <c r="AB164" s="42" t="n">
        <v>0.644</v>
      </c>
      <c r="AC164" s="42" t="n">
        <v>0.5639999999999999</v>
      </c>
      <c r="AD164" s="42" t="n">
        <v>0.645</v>
      </c>
      <c r="AE164" s="42" t="n">
        <v>0.649</v>
      </c>
      <c r="AF164" s="42" t="n">
        <v>0.628</v>
      </c>
      <c r="AG164" s="43">
        <f>IFERROR(AVERAGE(AB164:AF164),"")</f>
        <v/>
      </c>
      <c r="AH164" s="42">
        <f>IFERROR(AG164-AA164,"")</f>
        <v/>
      </c>
      <c r="AI164" s="42">
        <f>IFERROR(AG164-O164,"")</f>
        <v/>
      </c>
    </row>
    <row r="165">
      <c r="A165" s="41" t="inlineStr">
        <is>
          <t>german</t>
        </is>
      </c>
      <c r="B165" s="42" t="inlineStr">
        <is>
          <t>asymmetric</t>
        </is>
      </c>
      <c r="C165" s="42" t="n">
        <v>0.4</v>
      </c>
      <c r="D165" s="42" t="n">
        <v>0.715</v>
      </c>
      <c r="E165" s="42" t="n">
        <v>0.71</v>
      </c>
      <c r="F165" s="42" t="n">
        <v>0.707</v>
      </c>
      <c r="G165" s="42" t="n">
        <v>0.705</v>
      </c>
      <c r="H165" s="42" t="n">
        <v>0.709</v>
      </c>
      <c r="I165" s="43">
        <f>IFERROR(AVERAGE(D165:H165),"")</f>
        <v/>
      </c>
      <c r="J165" s="42" t="n">
        <v>0.719</v>
      </c>
      <c r="K165" s="42" t="n">
        <v>0.722</v>
      </c>
      <c r="L165" s="42" t="n">
        <v>0.718</v>
      </c>
      <c r="M165" s="42" t="n">
        <v>0.696</v>
      </c>
      <c r="N165" s="42" t="n">
        <v>0.714</v>
      </c>
      <c r="O165" s="43">
        <f>IFERROR(AVERAGE(J165:N165),"")</f>
        <v/>
      </c>
      <c r="P165" s="42" t="n"/>
      <c r="Q165" s="42" t="n"/>
      <c r="R165" s="42" t="n"/>
      <c r="S165" s="42" t="n"/>
      <c r="T165" s="42" t="n"/>
      <c r="U165" s="43">
        <f>IFERROR(AVERAGE(P165:T165),"")</f>
        <v/>
      </c>
      <c r="V165" s="42" t="n"/>
      <c r="W165" s="42" t="n"/>
      <c r="X165" s="42" t="n"/>
      <c r="Y165" s="42" t="n"/>
      <c r="Z165" s="42" t="n"/>
      <c r="AA165" s="43">
        <f>IFERROR(AVERAGE(V165:Z165),"")</f>
        <v/>
      </c>
      <c r="AB165" s="42" t="n">
        <v>0.591</v>
      </c>
      <c r="AC165" s="42" t="n">
        <v>0.575</v>
      </c>
      <c r="AD165" s="42" t="n">
        <v>0.586</v>
      </c>
      <c r="AE165" s="42" t="n">
        <v>0.645</v>
      </c>
      <c r="AF165" s="42" t="n">
        <v>0.591</v>
      </c>
      <c r="AG165" s="43">
        <f>IFERROR(AVERAGE(AB165:AF165),"")</f>
        <v/>
      </c>
      <c r="AH165" s="42">
        <f>IFERROR(AG165-AA165,"")</f>
        <v/>
      </c>
      <c r="AI165" s="42">
        <f>IFERROR(AG165-O165,"")</f>
        <v/>
      </c>
    </row>
    <row r="166">
      <c r="A166" s="41" t="inlineStr">
        <is>
          <t>german</t>
        </is>
      </c>
      <c r="B166" s="42" t="inlineStr">
        <is>
          <t>asymmetric</t>
        </is>
      </c>
      <c r="C166" s="42" t="n">
        <v>0.5</v>
      </c>
      <c r="D166" s="42" t="n">
        <v>0.711</v>
      </c>
      <c r="E166" s="42" t="n">
        <v>0.721</v>
      </c>
      <c r="F166" s="42" t="n">
        <v>0.711</v>
      </c>
      <c r="G166" s="42" t="n">
        <v>0.706</v>
      </c>
      <c r="H166" s="42" t="n">
        <v>0.702</v>
      </c>
      <c r="I166" s="43">
        <f>IFERROR(AVERAGE(D166:H166),"")</f>
        <v/>
      </c>
      <c r="J166" s="42" t="n">
        <v>0.709</v>
      </c>
      <c r="K166" s="42" t="n">
        <v>0.712</v>
      </c>
      <c r="L166" s="42" t="n">
        <v>0.711</v>
      </c>
      <c r="M166" s="42" t="n">
        <v>0.718</v>
      </c>
      <c r="N166" s="42" t="n">
        <v>0.725</v>
      </c>
      <c r="O166" s="43">
        <f>IFERROR(AVERAGE(J166:N166),"")</f>
        <v/>
      </c>
      <c r="P166" s="42" t="n"/>
      <c r="Q166" s="42" t="n"/>
      <c r="R166" s="42" t="n"/>
      <c r="S166" s="42" t="n"/>
      <c r="T166" s="42" t="n"/>
      <c r="U166" s="43">
        <f>IFERROR(AVERAGE(P166:T166),"")</f>
        <v/>
      </c>
      <c r="V166" s="42" t="n"/>
      <c r="W166" s="42" t="n"/>
      <c r="X166" s="42" t="n"/>
      <c r="Y166" s="42" t="n"/>
      <c r="Z166" s="42" t="n"/>
      <c r="AA166" s="43">
        <f>IFERROR(AVERAGE(V166:Z166),"")</f>
        <v/>
      </c>
      <c r="AB166" s="42" t="n">
        <v>0.615</v>
      </c>
      <c r="AC166" s="42" t="n">
        <v>0.601</v>
      </c>
      <c r="AD166" s="42" t="n">
        <v>0.635</v>
      </c>
      <c r="AE166" s="42" t="n">
        <v>0.589</v>
      </c>
      <c r="AF166" s="42" t="n">
        <v>0.586</v>
      </c>
      <c r="AG166" s="43">
        <f>IFERROR(AVERAGE(AB166:AF166),"")</f>
        <v/>
      </c>
      <c r="AH166" s="42">
        <f>IFERROR(AG166-AA166,"")</f>
        <v/>
      </c>
      <c r="AI166" s="42">
        <f>IFERROR(AG166-O166,"")</f>
        <v/>
      </c>
    </row>
    <row r="167">
      <c r="A167" s="41" t="inlineStr">
        <is>
          <t>german</t>
        </is>
      </c>
      <c r="B167" s="42" t="inlineStr">
        <is>
          <t>boundary</t>
        </is>
      </c>
      <c r="C167" s="42" t="n">
        <v>0.2</v>
      </c>
      <c r="D167" s="42" t="n">
        <v>0.72</v>
      </c>
      <c r="E167" s="42" t="n">
        <v>0.72</v>
      </c>
      <c r="F167" s="42" t="n">
        <v>0.708</v>
      </c>
      <c r="G167" s="42" t="n">
        <v>0.71</v>
      </c>
      <c r="H167" s="42" t="n">
        <v>0.695</v>
      </c>
      <c r="I167" s="43">
        <f>IFERROR(AVERAGE(D167:H167),"")</f>
        <v/>
      </c>
      <c r="J167" s="42" t="n">
        <v>0.715</v>
      </c>
      <c r="K167" s="42" t="n">
        <v>0.722</v>
      </c>
      <c r="L167" s="42" t="n">
        <v>0.71</v>
      </c>
      <c r="M167" s="42" t="n">
        <v>0.7</v>
      </c>
      <c r="N167" s="42" t="n">
        <v>0.6860000000000001</v>
      </c>
      <c r="O167" s="43">
        <f>IFERROR(AVERAGE(J167:N167),"")</f>
        <v/>
      </c>
      <c r="P167" s="42" t="n"/>
      <c r="Q167" s="42" t="n"/>
      <c r="R167" s="42" t="n"/>
      <c r="S167" s="42" t="n"/>
      <c r="T167" s="42" t="n"/>
      <c r="U167" s="43">
        <f>IFERROR(AVERAGE(P167:T167),"")</f>
        <v/>
      </c>
      <c r="V167" s="42" t="n"/>
      <c r="W167" s="42" t="n"/>
      <c r="X167" s="42" t="n"/>
      <c r="Y167" s="42" t="n"/>
      <c r="Z167" s="42" t="n"/>
      <c r="AA167" s="43">
        <f>IFERROR(AVERAGE(V167:Z167),"")</f>
        <v/>
      </c>
      <c r="AB167" s="42" t="n">
        <v>0.5649999999999999</v>
      </c>
      <c r="AC167" s="42" t="n">
        <v>0.585</v>
      </c>
      <c r="AD167" s="42" t="n">
        <v>0.556</v>
      </c>
      <c r="AE167" s="42" t="n">
        <v>0.54</v>
      </c>
      <c r="AF167" s="42" t="n">
        <v>0.543</v>
      </c>
      <c r="AG167" s="43">
        <f>IFERROR(AVERAGE(AB167:AF167),"")</f>
        <v/>
      </c>
      <c r="AH167" s="42">
        <f>IFERROR(AG167-AA167,"")</f>
        <v/>
      </c>
      <c r="AI167" s="42">
        <f>IFERROR(AG167-O167,"")</f>
        <v/>
      </c>
    </row>
    <row r="168">
      <c r="A168" s="41" t="inlineStr">
        <is>
          <t>german</t>
        </is>
      </c>
      <c r="B168" s="42" t="inlineStr">
        <is>
          <t>boundary</t>
        </is>
      </c>
      <c r="C168" s="42" t="n">
        <v>0.3</v>
      </c>
      <c r="D168" s="42" t="n">
        <v>0.698</v>
      </c>
      <c r="E168" s="42" t="n">
        <v>0.699</v>
      </c>
      <c r="F168" s="42" t="n">
        <v>0.698</v>
      </c>
      <c r="G168" s="42" t="n">
        <v>0.694</v>
      </c>
      <c r="H168" s="42" t="n">
        <v>0.7</v>
      </c>
      <c r="I168" s="43">
        <f>IFERROR(AVERAGE(D168:H168),"")</f>
        <v/>
      </c>
      <c r="J168" s="42" t="n">
        <v>0.6899999999999999</v>
      </c>
      <c r="K168" s="42" t="n">
        <v>0.6919999999999999</v>
      </c>
      <c r="L168" s="42" t="n">
        <v>0.698</v>
      </c>
      <c r="M168" s="42" t="n">
        <v>0.6889999999999999</v>
      </c>
      <c r="N168" s="42" t="n">
        <v>0.704</v>
      </c>
      <c r="O168" s="43">
        <f>IFERROR(AVERAGE(J168:N168),"")</f>
        <v/>
      </c>
      <c r="P168" s="42" t="n"/>
      <c r="Q168" s="42" t="n"/>
      <c r="R168" s="42" t="n"/>
      <c r="S168" s="42" t="n"/>
      <c r="T168" s="42" t="n"/>
      <c r="U168" s="43">
        <f>IFERROR(AVERAGE(P168:T168),"")</f>
        <v/>
      </c>
      <c r="V168" s="42" t="n"/>
      <c r="W168" s="42" t="n"/>
      <c r="X168" s="42" t="n"/>
      <c r="Y168" s="42" t="n"/>
      <c r="Z168" s="42" t="n"/>
      <c r="AA168" s="43">
        <f>IFERROR(AVERAGE(V168:Z168),"")</f>
        <v/>
      </c>
      <c r="AB168" s="42" t="n">
        <v>0.469</v>
      </c>
      <c r="AC168" s="42" t="n">
        <v>0.507</v>
      </c>
      <c r="AD168" s="42" t="n">
        <v>0.528</v>
      </c>
      <c r="AE168" s="42" t="n">
        <v>0.519</v>
      </c>
      <c r="AF168" s="42" t="n">
        <v>0.507</v>
      </c>
      <c r="AG168" s="43">
        <f>IFERROR(AVERAGE(AB168:AF168),"")</f>
        <v/>
      </c>
      <c r="AH168" s="42">
        <f>IFERROR(AG168-AA168,"")</f>
        <v/>
      </c>
      <c r="AI168" s="42">
        <f>IFERROR(AG168-O168,"")</f>
        <v/>
      </c>
    </row>
    <row r="169">
      <c r="A169" s="41" t="inlineStr">
        <is>
          <t>german</t>
        </is>
      </c>
      <c r="B169" s="42" t="inlineStr">
        <is>
          <t>boundary</t>
        </is>
      </c>
      <c r="C169" s="42" t="n">
        <v>0.4</v>
      </c>
      <c r="D169" s="42" t="n">
        <v>0.702</v>
      </c>
      <c r="E169" s="42" t="n">
        <v>0.679</v>
      </c>
      <c r="F169" s="42" t="n">
        <v>0.6899999999999999</v>
      </c>
      <c r="G169" s="42" t="n">
        <v>0.6830000000000001</v>
      </c>
      <c r="H169" s="42" t="n">
        <v>0.671</v>
      </c>
      <c r="I169" s="43">
        <f>IFERROR(AVERAGE(D169:H169),"")</f>
        <v/>
      </c>
      <c r="J169" s="42" t="n">
        <v>0.6929999999999999</v>
      </c>
      <c r="K169" s="42" t="n">
        <v>0.663</v>
      </c>
      <c r="L169" s="42" t="n">
        <v>0.6889999999999999</v>
      </c>
      <c r="M169" s="42" t="n">
        <v>0.666</v>
      </c>
      <c r="N169" s="42" t="n">
        <v>0.652</v>
      </c>
      <c r="O169" s="43">
        <f>IFERROR(AVERAGE(J169:N169),"")</f>
        <v/>
      </c>
      <c r="P169" s="42" t="n">
        <v>0.62</v>
      </c>
      <c r="Q169" s="42" t="n">
        <v>0.6</v>
      </c>
      <c r="R169" s="42" t="n">
        <v>0.623</v>
      </c>
      <c r="S169" s="42" t="n">
        <v>0.595</v>
      </c>
      <c r="T169" s="42" t="n">
        <v>0.5620000000000001</v>
      </c>
      <c r="U169" s="43">
        <f>IFERROR(AVERAGE(P169:T169),"")</f>
        <v/>
      </c>
      <c r="V169" s="42" t="n">
        <v>0.607</v>
      </c>
      <c r="W169" s="42" t="n">
        <v>0.49</v>
      </c>
      <c r="X169" s="42" t="n">
        <v>0.514</v>
      </c>
      <c r="Y169" s="42" t="n">
        <v>0.532</v>
      </c>
      <c r="Z169" s="42" t="n">
        <v>0.485</v>
      </c>
      <c r="AA169" s="43">
        <f>IFERROR(AVERAGE(V169:Z169),"")</f>
        <v/>
      </c>
      <c r="AB169" s="42" t="n">
        <v>0.514</v>
      </c>
      <c r="AC169" s="42" t="n">
        <v>0.453</v>
      </c>
      <c r="AD169" s="42" t="n">
        <v>0.514</v>
      </c>
      <c r="AE169" s="42" t="n">
        <v>0.499</v>
      </c>
      <c r="AF169" s="42" t="n">
        <v>0.492</v>
      </c>
      <c r="AG169" s="43">
        <f>IFERROR(AVERAGE(AB169:AF169),"")</f>
        <v/>
      </c>
      <c r="AH169" s="42">
        <f>IFERROR(AG169-AA169,"")</f>
        <v/>
      </c>
      <c r="AI169" s="42">
        <f>IFERROR(AG169-O169,"")</f>
        <v/>
      </c>
    </row>
    <row r="170">
      <c r="A170" s="41" t="inlineStr">
        <is>
          <t>german</t>
        </is>
      </c>
      <c r="B170" s="42" t="inlineStr">
        <is>
          <t>boundary</t>
        </is>
      </c>
      <c r="C170" s="42" t="n">
        <v>0.5</v>
      </c>
      <c r="D170" s="42" t="n">
        <v>0.487</v>
      </c>
      <c r="E170" s="42" t="n">
        <v>0.507</v>
      </c>
      <c r="F170" s="42" t="n">
        <v>0.48</v>
      </c>
      <c r="G170" s="42" t="n">
        <v>0.514</v>
      </c>
      <c r="H170" s="42" t="n">
        <v>0.473</v>
      </c>
      <c r="I170" s="43">
        <f>IFERROR(AVERAGE(D170:H170),"")</f>
        <v/>
      </c>
      <c r="J170" s="42" t="n">
        <v>0.499</v>
      </c>
      <c r="K170" s="42" t="n">
        <v>0.508</v>
      </c>
      <c r="L170" s="42" t="n">
        <v>0.469</v>
      </c>
      <c r="M170" s="42" t="n">
        <v>0.512</v>
      </c>
      <c r="N170" s="42" t="n">
        <v>0.465</v>
      </c>
      <c r="O170" s="43">
        <f>IFERROR(AVERAGE(J170:N170),"")</f>
        <v/>
      </c>
      <c r="P170" s="42" t="n">
        <v>0.5</v>
      </c>
      <c r="Q170" s="42" t="n">
        <v>0.532</v>
      </c>
      <c r="R170" s="42" t="n">
        <v>0.486</v>
      </c>
      <c r="S170" s="42" t="n">
        <v>0.493</v>
      </c>
      <c r="T170" s="42" t="n">
        <v>0.458</v>
      </c>
      <c r="U170" s="43">
        <f>IFERROR(AVERAGE(P170:T170),"")</f>
        <v/>
      </c>
      <c r="V170" s="42" t="n">
        <v>0.436</v>
      </c>
      <c r="W170" s="42" t="n">
        <v>0.547</v>
      </c>
      <c r="X170" s="42" t="n">
        <v>0.473</v>
      </c>
      <c r="Y170" s="42" t="n">
        <v>0.501</v>
      </c>
      <c r="Z170" s="42" t="n">
        <v>0.54</v>
      </c>
      <c r="AA170" s="43">
        <f>IFERROR(AVERAGE(V170:Z170),"")</f>
        <v/>
      </c>
      <c r="AB170" s="42" t="n">
        <v>0.436</v>
      </c>
      <c r="AC170" s="42" t="n">
        <v>0.547</v>
      </c>
      <c r="AD170" s="42" t="n">
        <v>0.473</v>
      </c>
      <c r="AE170" s="42" t="n">
        <v>0.501</v>
      </c>
      <c r="AF170" s="42" t="n">
        <v>0.54</v>
      </c>
      <c r="AG170" s="43">
        <f>IFERROR(AVERAGE(AB170:AF170),"")</f>
        <v/>
      </c>
      <c r="AH170" s="42">
        <f>IFERROR(AG170-AA170,"")</f>
        <v/>
      </c>
      <c r="AI170" s="42">
        <f>IFERROR(AG170-O170,"")</f>
        <v/>
      </c>
    </row>
    <row r="171">
      <c r="A171" s="41" t="inlineStr">
        <is>
          <t>german</t>
        </is>
      </c>
      <c r="B171" s="42" t="inlineStr">
        <is>
          <t>far</t>
        </is>
      </c>
      <c r="C171" s="42" t="n">
        <v>0.2</v>
      </c>
      <c r="D171" s="42" t="n">
        <v>0.681</v>
      </c>
      <c r="E171" s="42" t="n">
        <v>0.701</v>
      </c>
      <c r="F171" s="42" t="n">
        <v>0.6850000000000001</v>
      </c>
      <c r="G171" s="42" t="n">
        <v>0.6889999999999999</v>
      </c>
      <c r="H171" s="42" t="n">
        <v>0.6879999999999999</v>
      </c>
      <c r="I171" s="43">
        <f>IFERROR(AVERAGE(D171:H171),"")</f>
        <v/>
      </c>
      <c r="J171" s="42" t="n">
        <v>0.66</v>
      </c>
      <c r="K171" s="42" t="n">
        <v>0.6909999999999999</v>
      </c>
      <c r="L171" s="42" t="n">
        <v>0.6870000000000001</v>
      </c>
      <c r="M171" s="42" t="n">
        <v>0.675</v>
      </c>
      <c r="N171" s="42" t="n">
        <v>0.663</v>
      </c>
      <c r="O171" s="43">
        <f>IFERROR(AVERAGE(J171:N171),"")</f>
        <v/>
      </c>
      <c r="P171" s="42" t="n"/>
      <c r="Q171" s="42" t="n"/>
      <c r="R171" s="42" t="n"/>
      <c r="S171" s="42" t="n"/>
      <c r="T171" s="42" t="n"/>
      <c r="U171" s="43">
        <f>IFERROR(AVERAGE(P171:T171),"")</f>
        <v/>
      </c>
      <c r="V171" s="42" t="n"/>
      <c r="W171" s="42" t="n"/>
      <c r="X171" s="42" t="n"/>
      <c r="Y171" s="42" t="n"/>
      <c r="Z171" s="42" t="n"/>
      <c r="AA171" s="43">
        <f>IFERROR(AVERAGE(V171:Z171),"")</f>
        <v/>
      </c>
      <c r="AB171" s="42" t="n">
        <v>0.5610000000000001</v>
      </c>
      <c r="AC171" s="42" t="n">
        <v>0.545</v>
      </c>
      <c r="AD171" s="42" t="n">
        <v>0.575</v>
      </c>
      <c r="AE171" s="42" t="n">
        <v>0.556</v>
      </c>
      <c r="AF171" s="42" t="n">
        <v>0.535</v>
      </c>
      <c r="AG171" s="43">
        <f>IFERROR(AVERAGE(AB171:AF171),"")</f>
        <v/>
      </c>
      <c r="AH171" s="42">
        <f>IFERROR(AG171-AA171,"")</f>
        <v/>
      </c>
      <c r="AI171" s="42">
        <f>IFERROR(AG171-O171,"")</f>
        <v/>
      </c>
    </row>
    <row r="172">
      <c r="A172" s="41" t="inlineStr">
        <is>
          <t>german</t>
        </is>
      </c>
      <c r="B172" s="42" t="inlineStr">
        <is>
          <t>far</t>
        </is>
      </c>
      <c r="C172" s="42" t="n">
        <v>0.3</v>
      </c>
      <c r="D172" s="42" t="n">
        <v>0.657</v>
      </c>
      <c r="E172" s="42" t="n">
        <v>0.666</v>
      </c>
      <c r="F172" s="42" t="n">
        <v>0.653</v>
      </c>
      <c r="G172" s="42" t="n">
        <v>0.638</v>
      </c>
      <c r="H172" s="42" t="n">
        <v>0.6830000000000001</v>
      </c>
      <c r="I172" s="43">
        <f>IFERROR(AVERAGE(D172:H172),"")</f>
        <v/>
      </c>
      <c r="J172" s="42" t="n">
        <v>0.636</v>
      </c>
      <c r="K172" s="42" t="n">
        <v>0.664</v>
      </c>
      <c r="L172" s="42" t="n">
        <v>0.643</v>
      </c>
      <c r="M172" s="42" t="n">
        <v>0.628</v>
      </c>
      <c r="N172" s="42" t="n">
        <v>0.659</v>
      </c>
      <c r="O172" s="43">
        <f>IFERROR(AVERAGE(J172:N172),"")</f>
        <v/>
      </c>
      <c r="P172" s="42" t="n"/>
      <c r="Q172" s="42" t="n"/>
      <c r="R172" s="42" t="n"/>
      <c r="S172" s="42" t="n">
        <v>0.605</v>
      </c>
      <c r="T172" s="42" t="n"/>
      <c r="U172" s="43">
        <f>IFERROR(AVERAGE(P172:T172),"")</f>
        <v/>
      </c>
      <c r="V172" s="42" t="n"/>
      <c r="W172" s="42" t="n"/>
      <c r="X172" s="42" t="n"/>
      <c r="Y172" s="42" t="n">
        <v>0.6</v>
      </c>
      <c r="Z172" s="42" t="n"/>
      <c r="AA172" s="43">
        <f>IFERROR(AVERAGE(V172:Z172),"")</f>
        <v/>
      </c>
      <c r="AB172" s="42" t="n">
        <v>0.589</v>
      </c>
      <c r="AC172" s="42" t="n">
        <v>0.544</v>
      </c>
      <c r="AD172" s="42" t="n">
        <v>0.644</v>
      </c>
      <c r="AE172" s="42" t="n">
        <v>0.629</v>
      </c>
      <c r="AF172" s="42" t="n">
        <v>0.615</v>
      </c>
      <c r="AG172" s="43">
        <f>IFERROR(AVERAGE(AB172:AF172),"")</f>
        <v/>
      </c>
      <c r="AH172" s="42">
        <f>IFERROR(AG172-AA172,"")</f>
        <v/>
      </c>
      <c r="AI172" s="42">
        <f>IFERROR(AG172-O172,"")</f>
        <v/>
      </c>
    </row>
    <row r="173">
      <c r="A173" s="41" t="inlineStr">
        <is>
          <t>german</t>
        </is>
      </c>
      <c r="B173" s="42" t="inlineStr">
        <is>
          <t>far</t>
        </is>
      </c>
      <c r="C173" s="42" t="n">
        <v>0.4</v>
      </c>
      <c r="D173" s="42" t="n">
        <v>0.608</v>
      </c>
      <c r="E173" s="42" t="n">
        <v>0.5580000000000001</v>
      </c>
      <c r="F173" s="42" t="n">
        <v>0.5580000000000001</v>
      </c>
      <c r="G173" s="42" t="n">
        <v>0.5620000000000001</v>
      </c>
      <c r="H173" s="42" t="n">
        <v>0.613</v>
      </c>
      <c r="I173" s="43">
        <f>IFERROR(AVERAGE(D173:H173),"")</f>
        <v/>
      </c>
      <c r="J173" s="42" t="n">
        <v>0.625</v>
      </c>
      <c r="K173" s="42" t="n">
        <v>0.571</v>
      </c>
      <c r="L173" s="42" t="n">
        <v>0.5639999999999999</v>
      </c>
      <c r="M173" s="42" t="n">
        <v>0.574</v>
      </c>
      <c r="N173" s="42" t="n">
        <v>0.615</v>
      </c>
      <c r="O173" s="43">
        <f>IFERROR(AVERAGE(J173:N173),"")</f>
        <v/>
      </c>
      <c r="P173" s="42" t="n">
        <v>0.612</v>
      </c>
      <c r="Q173" s="42" t="n">
        <v>0.548</v>
      </c>
      <c r="R173" s="42" t="n">
        <v>0.58</v>
      </c>
      <c r="S173" s="42" t="n">
        <v>0.598</v>
      </c>
      <c r="T173" s="42" t="n">
        <v>0.516</v>
      </c>
      <c r="U173" s="43">
        <f>IFERROR(AVERAGE(P173:T173),"")</f>
        <v/>
      </c>
      <c r="V173" s="42" t="n">
        <v>0.481</v>
      </c>
      <c r="W173" s="42" t="n">
        <v>0.533</v>
      </c>
      <c r="X173" s="42" t="n">
        <v>0.594</v>
      </c>
      <c r="Y173" s="42" t="n">
        <v>0.487</v>
      </c>
      <c r="Z173" s="42" t="n">
        <v>0.5649999999999999</v>
      </c>
      <c r="AA173" s="43">
        <f>IFERROR(AVERAGE(V173:Z173),"")</f>
        <v/>
      </c>
      <c r="AB173" s="42" t="n">
        <v>0.481</v>
      </c>
      <c r="AC173" s="42" t="n">
        <v>0.533</v>
      </c>
      <c r="AD173" s="42" t="n">
        <v>0.594</v>
      </c>
      <c r="AE173" s="42" t="n">
        <v>0.487</v>
      </c>
      <c r="AF173" s="42" t="n">
        <v>0.5649999999999999</v>
      </c>
      <c r="AG173" s="43">
        <f>IFERROR(AVERAGE(AB173:AF173),"")</f>
        <v/>
      </c>
      <c r="AH173" s="42">
        <f>IFERROR(AG173-AA173,"")</f>
        <v/>
      </c>
      <c r="AI173" s="42">
        <f>IFERROR(AG173-O173,"")</f>
        <v/>
      </c>
    </row>
    <row r="174">
      <c r="A174" s="41" t="inlineStr">
        <is>
          <t>german</t>
        </is>
      </c>
      <c r="B174" s="42" t="inlineStr">
        <is>
          <t>far</t>
        </is>
      </c>
      <c r="C174" s="42" t="n">
        <v>0.5</v>
      </c>
      <c r="D174" s="42" t="n">
        <v>0.458</v>
      </c>
      <c r="E174" s="42" t="n">
        <v>0.522</v>
      </c>
      <c r="F174" s="42" t="n">
        <v>0.494</v>
      </c>
      <c r="G174" s="42" t="n">
        <v>0.505</v>
      </c>
      <c r="H174" s="42" t="n">
        <v>0.511</v>
      </c>
      <c r="I174" s="43">
        <f>IFERROR(AVERAGE(D174:H174),"")</f>
        <v/>
      </c>
      <c r="J174" s="42" t="n">
        <v>0.48</v>
      </c>
      <c r="K174" s="42" t="n">
        <v>0.522</v>
      </c>
      <c r="L174" s="42" t="n">
        <v>0.478</v>
      </c>
      <c r="M174" s="42" t="n">
        <v>0.501</v>
      </c>
      <c r="N174" s="42" t="n">
        <v>0.504</v>
      </c>
      <c r="O174" s="43">
        <f>IFERROR(AVERAGE(J174:N174),"")</f>
        <v/>
      </c>
      <c r="P174" s="42" t="n">
        <v>0.508</v>
      </c>
      <c r="Q174" s="42" t="n">
        <v>0.538</v>
      </c>
      <c r="R174" s="42" t="n">
        <v>0.46</v>
      </c>
      <c r="S174" s="42" t="n">
        <v>0.457</v>
      </c>
      <c r="T174" s="42" t="n">
        <v>0.467</v>
      </c>
      <c r="U174" s="43">
        <f>IFERROR(AVERAGE(P174:T174),"")</f>
        <v/>
      </c>
      <c r="V174" s="42" t="n">
        <v>0.482</v>
      </c>
      <c r="W174" s="42" t="n">
        <v>0.517</v>
      </c>
      <c r="X174" s="42" t="n">
        <v>0.461</v>
      </c>
      <c r="Y174" s="42" t="n">
        <v>0.474</v>
      </c>
      <c r="Z174" s="42" t="n">
        <v>0.499</v>
      </c>
      <c r="AA174" s="43">
        <f>IFERROR(AVERAGE(V174:Z174),"")</f>
        <v/>
      </c>
      <c r="AB174" s="42" t="n">
        <v>0.482</v>
      </c>
      <c r="AC174" s="42" t="n">
        <v>0.517</v>
      </c>
      <c r="AD174" s="42" t="n">
        <v>0.461</v>
      </c>
      <c r="AE174" s="42" t="n">
        <v>0.474</v>
      </c>
      <c r="AF174" s="42" t="n">
        <v>0.499</v>
      </c>
      <c r="AG174" s="43">
        <f>IFERROR(AVERAGE(AB174:AF174),"")</f>
        <v/>
      </c>
      <c r="AH174" s="42">
        <f>IFERROR(AG174-AA174,"")</f>
        <v/>
      </c>
      <c r="AI174" s="42">
        <f>IFERROR(AG174-O174,"")</f>
        <v/>
      </c>
    </row>
    <row r="175"/>
    <row r="176" ht="17.25" customHeight="1" s="50">
      <c r="A176" s="38" t="inlineStr">
        <is>
          <t>Bảng trung bình qua 10 bộ (pur=0.6)</t>
        </is>
      </c>
    </row>
    <row r="177">
      <c r="A177" s="44" t="inlineStr">
        <is>
          <t>kind</t>
        </is>
      </c>
      <c r="B177" s="44" t="inlineStr">
        <is>
          <t>rate</t>
        </is>
      </c>
      <c r="C177" s="44" t="inlineStr">
        <is>
          <t>GB thường@1</t>
        </is>
      </c>
      <c r="D177" s="44" t="inlineStr">
        <is>
          <t>GB wave@1</t>
        </is>
      </c>
      <c r="E177" s="44" t="inlineStr">
        <is>
          <t>hard@0.6</t>
        </is>
      </c>
      <c r="F177" s="44" t="inlineStr">
        <is>
          <t>wave@0.6</t>
        </is>
      </c>
      <c r="G177" s="44" t="inlineStr">
        <is>
          <t>wave@0.6 resc</t>
        </is>
      </c>
      <c r="H177" s="44" t="inlineStr">
        <is>
          <t>Δ(resc−wave.6)</t>
        </is>
      </c>
    </row>
    <row r="178">
      <c r="A178" s="41" t="inlineStr">
        <is>
          <t>(clean)</t>
        </is>
      </c>
      <c r="B178" s="42" t="n">
        <v>0</v>
      </c>
      <c r="C178" s="42">
        <f>IFERROR(AVERAGEIFS($I$5:$I$174,$B$5:$B$174,$A178,$C$5:$C$174,$B178),"")</f>
        <v/>
      </c>
      <c r="D178" s="42">
        <f>IFERROR(AVERAGEIFS($O$5:$O$174,$B$5:$B$174,$A178,$C$5:$C$174,$B178),"")</f>
        <v/>
      </c>
      <c r="E178" s="42">
        <f>IFERROR(AVERAGEIFS($U$5:$U$174,$B$5:$B$174,$A178,$C$5:$C$174,$B178),"")</f>
        <v/>
      </c>
      <c r="F178" s="42">
        <f>IFERROR(AVERAGEIFS($AA$5:$AA$174,$B$5:$B$174,$A178,$C$5:$C$174,$B178),"")</f>
        <v/>
      </c>
      <c r="G178" s="42">
        <f>IFERROR(AVERAGEIFS($AG$5:$AG$174,$B$5:$B$174,$A178,$C$5:$C$174,$B178),"")</f>
        <v/>
      </c>
      <c r="H178" s="42">
        <f>IFERROR(G178-F178,"")</f>
        <v/>
      </c>
    </row>
    <row r="179">
      <c r="A179" s="41" t="inlineStr">
        <is>
          <t>symmetric</t>
        </is>
      </c>
      <c r="B179" s="42" t="n">
        <v>0.2</v>
      </c>
      <c r="C179" s="42">
        <f>IFERROR(AVERAGEIFS($I$5:$I$174,$B$5:$B$174,$A179,$C$5:$C$174,$B179),"")</f>
        <v/>
      </c>
      <c r="D179" s="42">
        <f>IFERROR(AVERAGEIFS($O$5:$O$174,$B$5:$B$174,$A179,$C$5:$C$174,$B179),"")</f>
        <v/>
      </c>
      <c r="E179" s="42">
        <f>IFERROR(AVERAGEIFS($U$5:$U$174,$B$5:$B$174,$A179,$C$5:$C$174,$B179),"")</f>
        <v/>
      </c>
      <c r="F179" s="42">
        <f>IFERROR(AVERAGEIFS($AA$5:$AA$174,$B$5:$B$174,$A179,$C$5:$C$174,$B179),"")</f>
        <v/>
      </c>
      <c r="G179" s="42">
        <f>IFERROR(AVERAGEIFS($AG$5:$AG$174,$B$5:$B$174,$A179,$C$5:$C$174,$B179),"")</f>
        <v/>
      </c>
      <c r="H179" s="42">
        <f>IFERROR(G179-F179,"")</f>
        <v/>
      </c>
    </row>
    <row r="180">
      <c r="A180" s="41" t="inlineStr">
        <is>
          <t>symmetric</t>
        </is>
      </c>
      <c r="B180" s="42" t="n">
        <v>0.3</v>
      </c>
      <c r="C180" s="42">
        <f>IFERROR(AVERAGEIFS($I$5:$I$174,$B$5:$B$174,$A180,$C$5:$C$174,$B180),"")</f>
        <v/>
      </c>
      <c r="D180" s="42">
        <f>IFERROR(AVERAGEIFS($O$5:$O$174,$B$5:$B$174,$A180,$C$5:$C$174,$B180),"")</f>
        <v/>
      </c>
      <c r="E180" s="42">
        <f>IFERROR(AVERAGEIFS($U$5:$U$174,$B$5:$B$174,$A180,$C$5:$C$174,$B180),"")</f>
        <v/>
      </c>
      <c r="F180" s="42">
        <f>IFERROR(AVERAGEIFS($AA$5:$AA$174,$B$5:$B$174,$A180,$C$5:$C$174,$B180),"")</f>
        <v/>
      </c>
      <c r="G180" s="42">
        <f>IFERROR(AVERAGEIFS($AG$5:$AG$174,$B$5:$B$174,$A180,$C$5:$C$174,$B180),"")</f>
        <v/>
      </c>
      <c r="H180" s="42">
        <f>IFERROR(G180-F180,"")</f>
        <v/>
      </c>
    </row>
    <row r="181">
      <c r="A181" s="41" t="inlineStr">
        <is>
          <t>symmetric</t>
        </is>
      </c>
      <c r="B181" s="42" t="n">
        <v>0.4</v>
      </c>
      <c r="C181" s="42">
        <f>IFERROR(AVERAGEIFS($I$5:$I$174,$B$5:$B$174,$A181,$C$5:$C$174,$B181),"")</f>
        <v/>
      </c>
      <c r="D181" s="42">
        <f>IFERROR(AVERAGEIFS($O$5:$O$174,$B$5:$B$174,$A181,$C$5:$C$174,$B181),"")</f>
        <v/>
      </c>
      <c r="E181" s="42">
        <f>IFERROR(AVERAGEIFS($U$5:$U$174,$B$5:$B$174,$A181,$C$5:$C$174,$B181),"")</f>
        <v/>
      </c>
      <c r="F181" s="42">
        <f>IFERROR(AVERAGEIFS($AA$5:$AA$174,$B$5:$B$174,$A181,$C$5:$C$174,$B181),"")</f>
        <v/>
      </c>
      <c r="G181" s="42">
        <f>IFERROR(AVERAGEIFS($AG$5:$AG$174,$B$5:$B$174,$A181,$C$5:$C$174,$B181),"")</f>
        <v/>
      </c>
      <c r="H181" s="42">
        <f>IFERROR(G181-F181,"")</f>
        <v/>
      </c>
    </row>
    <row r="182">
      <c r="A182" s="41" t="inlineStr">
        <is>
          <t>symmetric</t>
        </is>
      </c>
      <c r="B182" s="42" t="n">
        <v>0.5</v>
      </c>
      <c r="C182" s="42">
        <f>IFERROR(AVERAGEIFS($I$5:$I$174,$B$5:$B$174,$A182,$C$5:$C$174,$B182),"")</f>
        <v/>
      </c>
      <c r="D182" s="42">
        <f>IFERROR(AVERAGEIFS($O$5:$O$174,$B$5:$B$174,$A182,$C$5:$C$174,$B182),"")</f>
        <v/>
      </c>
      <c r="E182" s="42">
        <f>IFERROR(AVERAGEIFS($U$5:$U$174,$B$5:$B$174,$A182,$C$5:$C$174,$B182),"")</f>
        <v/>
      </c>
      <c r="F182" s="42">
        <f>IFERROR(AVERAGEIFS($AA$5:$AA$174,$B$5:$B$174,$A182,$C$5:$C$174,$B182),"")</f>
        <v/>
      </c>
      <c r="G182" s="42">
        <f>IFERROR(AVERAGEIFS($AG$5:$AG$174,$B$5:$B$174,$A182,$C$5:$C$174,$B182),"")</f>
        <v/>
      </c>
      <c r="H182" s="42">
        <f>IFERROR(G182-F182,"")</f>
        <v/>
      </c>
    </row>
    <row r="183">
      <c r="A183" s="41" t="inlineStr">
        <is>
          <t>asymmetric</t>
        </is>
      </c>
      <c r="B183" s="42" t="n">
        <v>0.2</v>
      </c>
      <c r="C183" s="42">
        <f>IFERROR(AVERAGEIFS($I$5:$I$174,$B$5:$B$174,$A183,$C$5:$C$174,$B183),"")</f>
        <v/>
      </c>
      <c r="D183" s="42">
        <f>IFERROR(AVERAGEIFS($O$5:$O$174,$B$5:$B$174,$A183,$C$5:$C$174,$B183),"")</f>
        <v/>
      </c>
      <c r="E183" s="42">
        <f>IFERROR(AVERAGEIFS($U$5:$U$174,$B$5:$B$174,$A183,$C$5:$C$174,$B183),"")</f>
        <v/>
      </c>
      <c r="F183" s="42">
        <f>IFERROR(AVERAGEIFS($AA$5:$AA$174,$B$5:$B$174,$A183,$C$5:$C$174,$B183),"")</f>
        <v/>
      </c>
      <c r="G183" s="42">
        <f>IFERROR(AVERAGEIFS($AG$5:$AG$174,$B$5:$B$174,$A183,$C$5:$C$174,$B183),"")</f>
        <v/>
      </c>
      <c r="H183" s="42">
        <f>IFERROR(G183-F183,"")</f>
        <v/>
      </c>
    </row>
    <row r="184">
      <c r="A184" s="41" t="inlineStr">
        <is>
          <t>asymmetric</t>
        </is>
      </c>
      <c r="B184" s="42" t="n">
        <v>0.3</v>
      </c>
      <c r="C184" s="42">
        <f>IFERROR(AVERAGEIFS($I$5:$I$174,$B$5:$B$174,$A184,$C$5:$C$174,$B184),"")</f>
        <v/>
      </c>
      <c r="D184" s="42">
        <f>IFERROR(AVERAGEIFS($O$5:$O$174,$B$5:$B$174,$A184,$C$5:$C$174,$B184),"")</f>
        <v/>
      </c>
      <c r="E184" s="42">
        <f>IFERROR(AVERAGEIFS($U$5:$U$174,$B$5:$B$174,$A184,$C$5:$C$174,$B184),"")</f>
        <v/>
      </c>
      <c r="F184" s="42">
        <f>IFERROR(AVERAGEIFS($AA$5:$AA$174,$B$5:$B$174,$A184,$C$5:$C$174,$B184),"")</f>
        <v/>
      </c>
      <c r="G184" s="42">
        <f>IFERROR(AVERAGEIFS($AG$5:$AG$174,$B$5:$B$174,$A184,$C$5:$C$174,$B184),"")</f>
        <v/>
      </c>
      <c r="H184" s="42">
        <f>IFERROR(G184-F184,"")</f>
        <v/>
      </c>
    </row>
    <row r="185">
      <c r="A185" s="41" t="inlineStr">
        <is>
          <t>asymmetric</t>
        </is>
      </c>
      <c r="B185" s="42" t="n">
        <v>0.4</v>
      </c>
      <c r="C185" s="42">
        <f>IFERROR(AVERAGEIFS($I$5:$I$174,$B$5:$B$174,$A185,$C$5:$C$174,$B185),"")</f>
        <v/>
      </c>
      <c r="D185" s="42">
        <f>IFERROR(AVERAGEIFS($O$5:$O$174,$B$5:$B$174,$A185,$C$5:$C$174,$B185),"")</f>
        <v/>
      </c>
      <c r="E185" s="42">
        <f>IFERROR(AVERAGEIFS($U$5:$U$174,$B$5:$B$174,$A185,$C$5:$C$174,$B185),"")</f>
        <v/>
      </c>
      <c r="F185" s="42">
        <f>IFERROR(AVERAGEIFS($AA$5:$AA$174,$B$5:$B$174,$A185,$C$5:$C$174,$B185),"")</f>
        <v/>
      </c>
      <c r="G185" s="42">
        <f>IFERROR(AVERAGEIFS($AG$5:$AG$174,$B$5:$B$174,$A185,$C$5:$C$174,$B185),"")</f>
        <v/>
      </c>
      <c r="H185" s="42">
        <f>IFERROR(G185-F185,"")</f>
        <v/>
      </c>
    </row>
    <row r="186">
      <c r="A186" s="41" t="inlineStr">
        <is>
          <t>asymmetric</t>
        </is>
      </c>
      <c r="B186" s="42" t="n">
        <v>0.5</v>
      </c>
      <c r="C186" s="42">
        <f>IFERROR(AVERAGEIFS($I$5:$I$174,$B$5:$B$174,$A186,$C$5:$C$174,$B186),"")</f>
        <v/>
      </c>
      <c r="D186" s="42">
        <f>IFERROR(AVERAGEIFS($O$5:$O$174,$B$5:$B$174,$A186,$C$5:$C$174,$B186),"")</f>
        <v/>
      </c>
      <c r="E186" s="42">
        <f>IFERROR(AVERAGEIFS($U$5:$U$174,$B$5:$B$174,$A186,$C$5:$C$174,$B186),"")</f>
        <v/>
      </c>
      <c r="F186" s="42">
        <f>IFERROR(AVERAGEIFS($AA$5:$AA$174,$B$5:$B$174,$A186,$C$5:$C$174,$B186),"")</f>
        <v/>
      </c>
      <c r="G186" s="42">
        <f>IFERROR(AVERAGEIFS($AG$5:$AG$174,$B$5:$B$174,$A186,$C$5:$C$174,$B186),"")</f>
        <v/>
      </c>
      <c r="H186" s="42">
        <f>IFERROR(G186-F186,"")</f>
        <v/>
      </c>
    </row>
    <row r="187">
      <c r="A187" s="41" t="inlineStr">
        <is>
          <t>boundary</t>
        </is>
      </c>
      <c r="B187" s="42" t="n">
        <v>0.2</v>
      </c>
      <c r="C187" s="42">
        <f>IFERROR(AVERAGEIFS($I$5:$I$174,$B$5:$B$174,$A187,$C$5:$C$174,$B187),"")</f>
        <v/>
      </c>
      <c r="D187" s="42">
        <f>IFERROR(AVERAGEIFS($O$5:$O$174,$B$5:$B$174,$A187,$C$5:$C$174,$B187),"")</f>
        <v/>
      </c>
      <c r="E187" s="42">
        <f>IFERROR(AVERAGEIFS($U$5:$U$174,$B$5:$B$174,$A187,$C$5:$C$174,$B187),"")</f>
        <v/>
      </c>
      <c r="F187" s="42">
        <f>IFERROR(AVERAGEIFS($AA$5:$AA$174,$B$5:$B$174,$A187,$C$5:$C$174,$B187),"")</f>
        <v/>
      </c>
      <c r="G187" s="42">
        <f>IFERROR(AVERAGEIFS($AG$5:$AG$174,$B$5:$B$174,$A187,$C$5:$C$174,$B187),"")</f>
        <v/>
      </c>
      <c r="H187" s="42">
        <f>IFERROR(G187-F187,"")</f>
        <v/>
      </c>
    </row>
    <row r="188">
      <c r="A188" s="41" t="inlineStr">
        <is>
          <t>boundary</t>
        </is>
      </c>
      <c r="B188" s="42" t="n">
        <v>0.3</v>
      </c>
      <c r="C188" s="42">
        <f>IFERROR(AVERAGEIFS($I$5:$I$174,$B$5:$B$174,$A188,$C$5:$C$174,$B188),"")</f>
        <v/>
      </c>
      <c r="D188" s="42">
        <f>IFERROR(AVERAGEIFS($O$5:$O$174,$B$5:$B$174,$A188,$C$5:$C$174,$B188),"")</f>
        <v/>
      </c>
      <c r="E188" s="42">
        <f>IFERROR(AVERAGEIFS($U$5:$U$174,$B$5:$B$174,$A188,$C$5:$C$174,$B188),"")</f>
        <v/>
      </c>
      <c r="F188" s="42">
        <f>IFERROR(AVERAGEIFS($AA$5:$AA$174,$B$5:$B$174,$A188,$C$5:$C$174,$B188),"")</f>
        <v/>
      </c>
      <c r="G188" s="42">
        <f>IFERROR(AVERAGEIFS($AG$5:$AG$174,$B$5:$B$174,$A188,$C$5:$C$174,$B188),"")</f>
        <v/>
      </c>
      <c r="H188" s="42">
        <f>IFERROR(G188-F188,"")</f>
        <v/>
      </c>
    </row>
    <row r="189">
      <c r="A189" s="41" t="inlineStr">
        <is>
          <t>boundary</t>
        </is>
      </c>
      <c r="B189" s="42" t="n">
        <v>0.4</v>
      </c>
      <c r="C189" s="42">
        <f>IFERROR(AVERAGEIFS($I$5:$I$174,$B$5:$B$174,$A189,$C$5:$C$174,$B189),"")</f>
        <v/>
      </c>
      <c r="D189" s="42">
        <f>IFERROR(AVERAGEIFS($O$5:$O$174,$B$5:$B$174,$A189,$C$5:$C$174,$B189),"")</f>
        <v/>
      </c>
      <c r="E189" s="42">
        <f>IFERROR(AVERAGEIFS($U$5:$U$174,$B$5:$B$174,$A189,$C$5:$C$174,$B189),"")</f>
        <v/>
      </c>
      <c r="F189" s="42">
        <f>IFERROR(AVERAGEIFS($AA$5:$AA$174,$B$5:$B$174,$A189,$C$5:$C$174,$B189),"")</f>
        <v/>
      </c>
      <c r="G189" s="42">
        <f>IFERROR(AVERAGEIFS($AG$5:$AG$174,$B$5:$B$174,$A189,$C$5:$C$174,$B189),"")</f>
        <v/>
      </c>
      <c r="H189" s="42">
        <f>IFERROR(G189-F189,"")</f>
        <v/>
      </c>
    </row>
    <row r="190">
      <c r="A190" s="41" t="inlineStr">
        <is>
          <t>boundary</t>
        </is>
      </c>
      <c r="B190" s="42" t="n">
        <v>0.5</v>
      </c>
      <c r="C190" s="42">
        <f>IFERROR(AVERAGEIFS($I$5:$I$174,$B$5:$B$174,$A190,$C$5:$C$174,$B190),"")</f>
        <v/>
      </c>
      <c r="D190" s="42">
        <f>IFERROR(AVERAGEIFS($O$5:$O$174,$B$5:$B$174,$A190,$C$5:$C$174,$B190),"")</f>
        <v/>
      </c>
      <c r="E190" s="42">
        <f>IFERROR(AVERAGEIFS($U$5:$U$174,$B$5:$B$174,$A190,$C$5:$C$174,$B190),"")</f>
        <v/>
      </c>
      <c r="F190" s="42">
        <f>IFERROR(AVERAGEIFS($AA$5:$AA$174,$B$5:$B$174,$A190,$C$5:$C$174,$B190),"")</f>
        <v/>
      </c>
      <c r="G190" s="42">
        <f>IFERROR(AVERAGEIFS($AG$5:$AG$174,$B$5:$B$174,$A190,$C$5:$C$174,$B190),"")</f>
        <v/>
      </c>
      <c r="H190" s="42">
        <f>IFERROR(G190-F190,"")</f>
        <v/>
      </c>
    </row>
    <row r="191">
      <c r="A191" s="41" t="inlineStr">
        <is>
          <t>far</t>
        </is>
      </c>
      <c r="B191" s="42" t="n">
        <v>0.2</v>
      </c>
      <c r="C191" s="42">
        <f>IFERROR(AVERAGEIFS($I$5:$I$174,$B$5:$B$174,$A191,$C$5:$C$174,$B191),"")</f>
        <v/>
      </c>
      <c r="D191" s="42">
        <f>IFERROR(AVERAGEIFS($O$5:$O$174,$B$5:$B$174,$A191,$C$5:$C$174,$B191),"")</f>
        <v/>
      </c>
      <c r="E191" s="42">
        <f>IFERROR(AVERAGEIFS($U$5:$U$174,$B$5:$B$174,$A191,$C$5:$C$174,$B191),"")</f>
        <v/>
      </c>
      <c r="F191" s="42">
        <f>IFERROR(AVERAGEIFS($AA$5:$AA$174,$B$5:$B$174,$A191,$C$5:$C$174,$B191),"")</f>
        <v/>
      </c>
      <c r="G191" s="42">
        <f>IFERROR(AVERAGEIFS($AG$5:$AG$174,$B$5:$B$174,$A191,$C$5:$C$174,$B191),"")</f>
        <v/>
      </c>
      <c r="H191" s="42">
        <f>IFERROR(G191-F191,"")</f>
        <v/>
      </c>
    </row>
    <row r="192">
      <c r="A192" s="41" t="inlineStr">
        <is>
          <t>far</t>
        </is>
      </c>
      <c r="B192" s="42" t="n">
        <v>0.3</v>
      </c>
      <c r="C192" s="42">
        <f>IFERROR(AVERAGEIFS($I$5:$I$174,$B$5:$B$174,$A192,$C$5:$C$174,$B192),"")</f>
        <v/>
      </c>
      <c r="D192" s="42">
        <f>IFERROR(AVERAGEIFS($O$5:$O$174,$B$5:$B$174,$A192,$C$5:$C$174,$B192),"")</f>
        <v/>
      </c>
      <c r="E192" s="42">
        <f>IFERROR(AVERAGEIFS($U$5:$U$174,$B$5:$B$174,$A192,$C$5:$C$174,$B192),"")</f>
        <v/>
      </c>
      <c r="F192" s="42">
        <f>IFERROR(AVERAGEIFS($AA$5:$AA$174,$B$5:$B$174,$A192,$C$5:$C$174,$B192),"")</f>
        <v/>
      </c>
      <c r="G192" s="42">
        <f>IFERROR(AVERAGEIFS($AG$5:$AG$174,$B$5:$B$174,$A192,$C$5:$C$174,$B192),"")</f>
        <v/>
      </c>
      <c r="H192" s="42">
        <f>IFERROR(G192-F192,"")</f>
        <v/>
      </c>
    </row>
    <row r="193">
      <c r="A193" s="41" t="inlineStr">
        <is>
          <t>far</t>
        </is>
      </c>
      <c r="B193" s="42" t="n">
        <v>0.4</v>
      </c>
      <c r="C193" s="42">
        <f>IFERROR(AVERAGEIFS($I$5:$I$174,$B$5:$B$174,$A193,$C$5:$C$174,$B193),"")</f>
        <v/>
      </c>
      <c r="D193" s="42">
        <f>IFERROR(AVERAGEIFS($O$5:$O$174,$B$5:$B$174,$A193,$C$5:$C$174,$B193),"")</f>
        <v/>
      </c>
      <c r="E193" s="42">
        <f>IFERROR(AVERAGEIFS($U$5:$U$174,$B$5:$B$174,$A193,$C$5:$C$174,$B193),"")</f>
        <v/>
      </c>
      <c r="F193" s="42">
        <f>IFERROR(AVERAGEIFS($AA$5:$AA$174,$B$5:$B$174,$A193,$C$5:$C$174,$B193),"")</f>
        <v/>
      </c>
      <c r="G193" s="42">
        <f>IFERROR(AVERAGEIFS($AG$5:$AG$174,$B$5:$B$174,$A193,$C$5:$C$174,$B193),"")</f>
        <v/>
      </c>
      <c r="H193" s="42">
        <f>IFERROR(G193-F193,"")</f>
        <v/>
      </c>
    </row>
    <row r="194">
      <c r="A194" s="41" t="inlineStr">
        <is>
          <t>far</t>
        </is>
      </c>
      <c r="B194" s="42" t="n">
        <v>0.5</v>
      </c>
      <c r="C194" s="42">
        <f>IFERROR(AVERAGEIFS($I$5:$I$174,$B$5:$B$174,$A194,$C$5:$C$174,$B194),"")</f>
        <v/>
      </c>
      <c r="D194" s="42">
        <f>IFERROR(AVERAGEIFS($O$5:$O$174,$B$5:$B$174,$A194,$C$5:$C$174,$B194),"")</f>
        <v/>
      </c>
      <c r="E194" s="42">
        <f>IFERROR(AVERAGEIFS($U$5:$U$174,$B$5:$B$174,$A194,$C$5:$C$174,$B194),"")</f>
        <v/>
      </c>
      <c r="F194" s="42">
        <f>IFERROR(AVERAGEIFS($AA$5:$AA$174,$B$5:$B$174,$A194,$C$5:$C$174,$B194),"")</f>
        <v/>
      </c>
      <c r="G194" s="42">
        <f>IFERROR(AVERAGEIFS($AG$5:$AG$174,$B$5:$B$174,$A194,$C$5:$C$174,$B194),"")</f>
        <v/>
      </c>
      <c r="H194" s="42">
        <f>IFERROR(G194-F194,"")</f>
        <v/>
      </c>
    </row>
    <row r="195">
      <c r="A195" s="45" t="inlineStr">
        <is>
          <t>Trung bình tất cả</t>
        </is>
      </c>
      <c r="B195" s="46" t="n"/>
      <c r="C195" s="43">
        <f>AVERAGE(C178:C194)</f>
        <v/>
      </c>
      <c r="D195" s="43">
        <f>AVERAGE(D178:D194)</f>
        <v/>
      </c>
      <c r="E195" s="43">
        <f>AVERAGE(E178:E194)</f>
        <v/>
      </c>
      <c r="F195" s="43">
        <f>AVERAGE(F178:F194)</f>
        <v/>
      </c>
      <c r="G195" s="43">
        <f>AVERAGE(G178:G194)</f>
        <v/>
      </c>
      <c r="H195" s="43">
        <f>AVERAGE(H178:H194)</f>
        <v/>
      </c>
    </row>
    <row r="196"/>
    <row r="197">
      <c r="A197" s="39" t="inlineStr">
        <is>
          <t>Ô trống = suy biến. pur=0.6 gộp mạnh hơn → nén rất cao (~30 đến 116x) nhưng suy biến nhiều hơn; rescue lấp các ô đó, chỉ thêm ~0 đến 1 bóng.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5" customWidth="1" style="50" min="1" max="1"/>
    <col width="13" customWidth="1" style="50" min="2" max="10"/>
  </cols>
  <sheetData>
    <row r="1" ht="17.25" customHeight="1" s="50">
      <c r="A1" s="38" t="inlineStr">
        <is>
          <t>Độ nén: số bóng sinh ra vs số điểm dữ liệu (linear, TB 3 seed × 5 fold).</t>
        </is>
      </c>
    </row>
    <row r="2">
      <c r="A2" s="39" t="inlineStr">
        <is>
          <t>Đo ở 2 điều kiện: symmetric 0.3 (rescue ít bật) và asymmetric 0.4 (rescue hay bật). Cột 'điểm/bóng' = độ nén (cao = nén tốt). '0.7+R' = pur=0.7 sau khi thêm bóng rescue.</t>
        </is>
      </c>
    </row>
    <row r="3"/>
    <row r="4">
      <c r="A4" s="40" t="inlineStr">
        <is>
          <t>dataset</t>
        </is>
      </c>
      <c r="B4" s="40" t="inlineStr">
        <is>
          <t>điều kiện</t>
        </is>
      </c>
      <c r="C4" s="40" t="inlineStr">
        <is>
          <t>N điểm</t>
        </is>
      </c>
      <c r="D4" s="40" t="inlineStr">
        <is>
          <t>bóng pur=1</t>
        </is>
      </c>
      <c r="E4" s="40" t="inlineStr">
        <is>
          <t>bóng 0.7</t>
        </is>
      </c>
      <c r="F4" s="40" t="inlineStr">
        <is>
          <t>bóng 0.7+R</t>
        </is>
      </c>
      <c r="G4" s="40" t="inlineStr">
        <is>
          <t>bóng 0.6</t>
        </is>
      </c>
      <c r="H4" s="40" t="inlineStr">
        <is>
          <t>điểm/bóng pur=1</t>
        </is>
      </c>
      <c r="I4" s="40" t="inlineStr">
        <is>
          <t>điểm/bóng 0.7</t>
        </is>
      </c>
      <c r="J4" s="40" t="inlineStr">
        <is>
          <t>điểm/bóng 0.6</t>
        </is>
      </c>
    </row>
    <row r="5">
      <c r="A5" s="41" t="inlineStr">
        <is>
          <t>balance_scale</t>
        </is>
      </c>
      <c r="B5" s="42" t="inlineStr">
        <is>
          <t>sym.3</t>
        </is>
      </c>
      <c r="C5" s="42" t="n">
        <v>461</v>
      </c>
      <c r="D5" s="42" t="n">
        <v>322</v>
      </c>
      <c r="E5" s="42" t="n">
        <v>112</v>
      </c>
      <c r="F5" s="42" t="n">
        <v>112</v>
      </c>
      <c r="G5" s="42" t="n">
        <v>14</v>
      </c>
      <c r="H5" s="42" t="n">
        <v>1.4</v>
      </c>
      <c r="I5" s="42" t="n">
        <v>4.1</v>
      </c>
      <c r="J5" s="42" t="n">
        <v>32.9</v>
      </c>
    </row>
    <row r="6">
      <c r="A6" s="41" t="inlineStr">
        <is>
          <t>balance_scale</t>
        </is>
      </c>
      <c r="B6" s="42" t="inlineStr">
        <is>
          <t>asy.4</t>
        </is>
      </c>
      <c r="C6" s="42" t="n">
        <v>461</v>
      </c>
      <c r="D6" s="42" t="n">
        <v>214</v>
      </c>
      <c r="E6" s="42" t="n">
        <v>25</v>
      </c>
      <c r="F6" s="42" t="n">
        <v>25</v>
      </c>
      <c r="G6" s="42" t="n">
        <v>1</v>
      </c>
      <c r="H6" s="42" t="n">
        <v>2.2</v>
      </c>
      <c r="I6" s="42" t="n">
        <v>18.4</v>
      </c>
      <c r="J6" s="42" t="n">
        <v>461</v>
      </c>
    </row>
    <row r="7">
      <c r="A7" s="41" t="inlineStr">
        <is>
          <t>breast_cancer</t>
        </is>
      </c>
      <c r="B7" s="42" t="inlineStr">
        <is>
          <t>sym.3</t>
        </is>
      </c>
      <c r="C7" s="42" t="n">
        <v>455</v>
      </c>
      <c r="D7" s="42" t="n">
        <v>324</v>
      </c>
      <c r="E7" s="42" t="n">
        <v>80</v>
      </c>
      <c r="F7" s="42" t="n">
        <v>80</v>
      </c>
      <c r="G7" s="42" t="n">
        <v>2</v>
      </c>
      <c r="H7" s="42" t="n">
        <v>1.4</v>
      </c>
      <c r="I7" s="42" t="n">
        <v>5.7</v>
      </c>
      <c r="J7" s="42" t="n">
        <v>227.5</v>
      </c>
    </row>
    <row r="8">
      <c r="A8" s="41" t="inlineStr">
        <is>
          <t>breast_cancer</t>
        </is>
      </c>
      <c r="B8" s="42" t="inlineStr">
        <is>
          <t>asy.4</t>
        </is>
      </c>
      <c r="C8" s="42" t="n">
        <v>455</v>
      </c>
      <c r="D8" s="42" t="n">
        <v>157</v>
      </c>
      <c r="E8" s="42" t="n">
        <v>1</v>
      </c>
      <c r="F8" s="42" t="n">
        <v>2</v>
      </c>
      <c r="G8" s="42" t="n">
        <v>1</v>
      </c>
      <c r="H8" s="42" t="n">
        <v>2.9</v>
      </c>
      <c r="I8" s="42" t="n">
        <v>455</v>
      </c>
      <c r="J8" s="42" t="n">
        <v>455</v>
      </c>
    </row>
    <row r="9">
      <c r="A9" s="41" t="inlineStr">
        <is>
          <t>SPECTF</t>
        </is>
      </c>
      <c r="B9" s="42" t="inlineStr">
        <is>
          <t>sym.3</t>
        </is>
      </c>
      <c r="C9" s="42" t="n">
        <v>214</v>
      </c>
      <c r="D9" s="42" t="n">
        <v>158</v>
      </c>
      <c r="E9" s="42" t="n">
        <v>76</v>
      </c>
      <c r="F9" s="42" t="n">
        <v>76</v>
      </c>
      <c r="G9" s="42" t="n">
        <v>5</v>
      </c>
      <c r="H9" s="42" t="n">
        <v>1.4</v>
      </c>
      <c r="I9" s="42" t="n">
        <v>2.8</v>
      </c>
      <c r="J9" s="42" t="n">
        <v>42.8</v>
      </c>
    </row>
    <row r="10">
      <c r="A10" s="41" t="inlineStr">
        <is>
          <t>SPECTF</t>
        </is>
      </c>
      <c r="B10" s="42" t="inlineStr">
        <is>
          <t>asy.4</t>
        </is>
      </c>
      <c r="C10" s="42" t="n">
        <v>214</v>
      </c>
      <c r="D10" s="42" t="n">
        <v>81</v>
      </c>
      <c r="E10" s="42" t="n">
        <v>1</v>
      </c>
      <c r="F10" s="42" t="n">
        <v>2</v>
      </c>
      <c r="G10" s="42" t="n">
        <v>1</v>
      </c>
      <c r="H10" s="42" t="n">
        <v>2.6</v>
      </c>
      <c r="I10" s="42" t="n">
        <v>214</v>
      </c>
      <c r="J10" s="42" t="n">
        <v>214</v>
      </c>
    </row>
    <row r="11">
      <c r="A11" s="41" t="inlineStr">
        <is>
          <t>haberman</t>
        </is>
      </c>
      <c r="B11" s="42" t="inlineStr">
        <is>
          <t>sym.3</t>
        </is>
      </c>
      <c r="C11" s="42" t="n">
        <v>245</v>
      </c>
      <c r="D11" s="42" t="n">
        <v>183</v>
      </c>
      <c r="E11" s="42" t="n">
        <v>93</v>
      </c>
      <c r="F11" s="42" t="n">
        <v>93</v>
      </c>
      <c r="G11" s="42" t="n">
        <v>13</v>
      </c>
      <c r="H11" s="42" t="n">
        <v>1.3</v>
      </c>
      <c r="I11" s="42" t="n">
        <v>2.6</v>
      </c>
      <c r="J11" s="42" t="n">
        <v>18.8</v>
      </c>
    </row>
    <row r="12">
      <c r="A12" s="41" t="inlineStr">
        <is>
          <t>haberman</t>
        </is>
      </c>
      <c r="B12" s="42" t="inlineStr">
        <is>
          <t>asy.4</t>
        </is>
      </c>
      <c r="C12" s="42" t="n">
        <v>245</v>
      </c>
      <c r="D12" s="42" t="n">
        <v>183</v>
      </c>
      <c r="E12" s="42" t="n">
        <v>106</v>
      </c>
      <c r="F12" s="42" t="n">
        <v>106</v>
      </c>
      <c r="G12" s="42" t="n">
        <v>30</v>
      </c>
      <c r="H12" s="42" t="n">
        <v>1.3</v>
      </c>
      <c r="I12" s="42" t="n">
        <v>2.3</v>
      </c>
      <c r="J12" s="42" t="n">
        <v>8.199999999999999</v>
      </c>
    </row>
    <row r="13">
      <c r="A13" s="41" t="inlineStr">
        <is>
          <t>heart</t>
        </is>
      </c>
      <c r="B13" s="42" t="inlineStr">
        <is>
          <t>sym.3</t>
        </is>
      </c>
      <c r="C13" s="42" t="n">
        <v>238</v>
      </c>
      <c r="D13" s="42" t="n">
        <v>172</v>
      </c>
      <c r="E13" s="42" t="n">
        <v>81</v>
      </c>
      <c r="F13" s="42" t="n">
        <v>81</v>
      </c>
      <c r="G13" s="42" t="n">
        <v>7</v>
      </c>
      <c r="H13" s="42" t="n">
        <v>1.4</v>
      </c>
      <c r="I13" s="42" t="n">
        <v>2.9</v>
      </c>
      <c r="J13" s="42" t="n">
        <v>34</v>
      </c>
    </row>
    <row r="14">
      <c r="A14" s="41" t="inlineStr">
        <is>
          <t>heart</t>
        </is>
      </c>
      <c r="B14" s="42" t="inlineStr">
        <is>
          <t>asy.4</t>
        </is>
      </c>
      <c r="C14" s="42" t="n">
        <v>238</v>
      </c>
      <c r="D14" s="42" t="n">
        <v>145</v>
      </c>
      <c r="E14" s="42" t="n">
        <v>60</v>
      </c>
      <c r="F14" s="42" t="n">
        <v>60</v>
      </c>
      <c r="G14" s="42" t="n">
        <v>1</v>
      </c>
      <c r="H14" s="42" t="n">
        <v>1.6</v>
      </c>
      <c r="I14" s="42" t="n">
        <v>4</v>
      </c>
      <c r="J14" s="42" t="n">
        <v>238</v>
      </c>
    </row>
    <row r="15">
      <c r="A15" s="41" t="inlineStr">
        <is>
          <t>ionosphere</t>
        </is>
      </c>
      <c r="B15" s="42" t="inlineStr">
        <is>
          <t>sym.3</t>
        </is>
      </c>
      <c r="C15" s="42" t="n">
        <v>281</v>
      </c>
      <c r="D15" s="42" t="n">
        <v>214</v>
      </c>
      <c r="E15" s="42" t="n">
        <v>80</v>
      </c>
      <c r="F15" s="42" t="n">
        <v>80</v>
      </c>
      <c r="G15" s="42" t="n">
        <v>9</v>
      </c>
      <c r="H15" s="42" t="n">
        <v>1.3</v>
      </c>
      <c r="I15" s="42" t="n">
        <v>3.5</v>
      </c>
      <c r="J15" s="42" t="n">
        <v>31.2</v>
      </c>
    </row>
    <row r="16">
      <c r="A16" s="41" t="inlineStr">
        <is>
          <t>ionosphere</t>
        </is>
      </c>
      <c r="B16" s="42" t="inlineStr">
        <is>
          <t>asy.4</t>
        </is>
      </c>
      <c r="C16" s="42" t="n">
        <v>281</v>
      </c>
      <c r="D16" s="42" t="n">
        <v>108</v>
      </c>
      <c r="E16" s="42" t="n">
        <v>1</v>
      </c>
      <c r="F16" s="42" t="n">
        <v>2</v>
      </c>
      <c r="G16" s="42" t="n">
        <v>1</v>
      </c>
      <c r="H16" s="42" t="n">
        <v>2.6</v>
      </c>
      <c r="I16" s="42" t="n">
        <v>281</v>
      </c>
      <c r="J16" s="42" t="n">
        <v>281</v>
      </c>
    </row>
    <row r="17">
      <c r="A17" s="41" t="inlineStr">
        <is>
          <t>sonar</t>
        </is>
      </c>
      <c r="B17" s="42" t="inlineStr">
        <is>
          <t>sym.3</t>
        </is>
      </c>
      <c r="C17" s="42" t="n">
        <v>166</v>
      </c>
      <c r="D17" s="42" t="n">
        <v>122</v>
      </c>
      <c r="E17" s="42" t="n">
        <v>70</v>
      </c>
      <c r="F17" s="42" t="n">
        <v>70</v>
      </c>
      <c r="G17" s="42" t="n">
        <v>24</v>
      </c>
      <c r="H17" s="42" t="n">
        <v>1.4</v>
      </c>
      <c r="I17" s="42" t="n">
        <v>2.4</v>
      </c>
      <c r="J17" s="42" t="n">
        <v>6.9</v>
      </c>
    </row>
    <row r="18">
      <c r="A18" s="41" t="inlineStr">
        <is>
          <t>sonar</t>
        </is>
      </c>
      <c r="B18" s="42" t="inlineStr">
        <is>
          <t>asy.4</t>
        </is>
      </c>
      <c r="C18" s="42" t="n">
        <v>166</v>
      </c>
      <c r="D18" s="42" t="n">
        <v>100</v>
      </c>
      <c r="E18" s="42" t="n">
        <v>27</v>
      </c>
      <c r="F18" s="42" t="n">
        <v>27</v>
      </c>
      <c r="G18" s="42" t="n">
        <v>1</v>
      </c>
      <c r="H18" s="42" t="n">
        <v>1.7</v>
      </c>
      <c r="I18" s="42" t="n">
        <v>6.1</v>
      </c>
      <c r="J18" s="42" t="n">
        <v>166</v>
      </c>
    </row>
    <row r="19">
      <c r="A19" s="41" t="inlineStr">
        <is>
          <t>banknote</t>
        </is>
      </c>
      <c r="B19" s="42" t="inlineStr">
        <is>
          <t>sym.3</t>
        </is>
      </c>
      <c r="C19" s="42" t="n">
        <v>1098</v>
      </c>
      <c r="D19" s="42" t="n">
        <v>752</v>
      </c>
      <c r="E19" s="42" t="n">
        <v>183</v>
      </c>
      <c r="F19" s="42" t="n">
        <v>183</v>
      </c>
      <c r="G19" s="42" t="n">
        <v>9</v>
      </c>
      <c r="H19" s="42" t="n">
        <v>1.5</v>
      </c>
      <c r="I19" s="42" t="n">
        <v>6</v>
      </c>
      <c r="J19" s="42" t="n">
        <v>122</v>
      </c>
    </row>
    <row r="20">
      <c r="A20" s="41" t="inlineStr">
        <is>
          <t>banknote</t>
        </is>
      </c>
      <c r="B20" s="42" t="inlineStr">
        <is>
          <t>asy.4</t>
        </is>
      </c>
      <c r="C20" s="42" t="n">
        <v>1098</v>
      </c>
      <c r="D20" s="42" t="n">
        <v>481</v>
      </c>
      <c r="E20" s="42" t="n">
        <v>129</v>
      </c>
      <c r="F20" s="42" t="n">
        <v>129</v>
      </c>
      <c r="G20" s="42" t="n">
        <v>1</v>
      </c>
      <c r="H20" s="42" t="n">
        <v>2.3</v>
      </c>
      <c r="I20" s="42" t="n">
        <v>8.5</v>
      </c>
      <c r="J20" s="42" t="n">
        <v>1098</v>
      </c>
    </row>
    <row r="21">
      <c r="A21" s="41" t="inlineStr">
        <is>
          <t>australian</t>
        </is>
      </c>
      <c r="B21" s="42" t="inlineStr">
        <is>
          <t>sym.3</t>
        </is>
      </c>
      <c r="C21" s="42" t="n">
        <v>552</v>
      </c>
      <c r="D21" s="42" t="n">
        <v>393</v>
      </c>
      <c r="E21" s="42" t="n">
        <v>159</v>
      </c>
      <c r="F21" s="42" t="n">
        <v>159</v>
      </c>
      <c r="G21" s="42" t="n">
        <v>8</v>
      </c>
      <c r="H21" s="42" t="n">
        <v>1.4</v>
      </c>
      <c r="I21" s="42" t="n">
        <v>3.5</v>
      </c>
      <c r="J21" s="42" t="n">
        <v>69</v>
      </c>
    </row>
    <row r="22">
      <c r="A22" s="41" t="inlineStr">
        <is>
          <t>australian</t>
        </is>
      </c>
      <c r="B22" s="42" t="inlineStr">
        <is>
          <t>asy.4</t>
        </is>
      </c>
      <c r="C22" s="42" t="n">
        <v>552</v>
      </c>
      <c r="D22" s="42" t="n">
        <v>318</v>
      </c>
      <c r="E22" s="42" t="n">
        <v>129</v>
      </c>
      <c r="F22" s="42" t="n">
        <v>129</v>
      </c>
      <c r="G22" s="42" t="n">
        <v>1</v>
      </c>
      <c r="H22" s="42" t="n">
        <v>1.7</v>
      </c>
      <c r="I22" s="42" t="n">
        <v>4.3</v>
      </c>
      <c r="J22" s="42" t="n">
        <v>552</v>
      </c>
    </row>
    <row r="23">
      <c r="A23" s="41" t="inlineStr">
        <is>
          <t>german</t>
        </is>
      </c>
      <c r="B23" s="42" t="inlineStr">
        <is>
          <t>sym.3</t>
        </is>
      </c>
      <c r="C23" s="42" t="n">
        <v>800</v>
      </c>
      <c r="D23" s="42" t="n">
        <v>607</v>
      </c>
      <c r="E23" s="42" t="n">
        <v>324</v>
      </c>
      <c r="F23" s="42" t="n">
        <v>324</v>
      </c>
      <c r="G23" s="42" t="n">
        <v>47</v>
      </c>
      <c r="H23" s="42" t="n">
        <v>1.3</v>
      </c>
      <c r="I23" s="42" t="n">
        <v>2.5</v>
      </c>
      <c r="J23" s="42" t="n">
        <v>17</v>
      </c>
    </row>
    <row r="24">
      <c r="A24" s="41" t="inlineStr">
        <is>
          <t>german</t>
        </is>
      </c>
      <c r="B24" s="42" t="inlineStr">
        <is>
          <t>asy.4</t>
        </is>
      </c>
      <c r="C24" s="42" t="n">
        <v>800</v>
      </c>
      <c r="D24" s="42" t="n">
        <v>398</v>
      </c>
      <c r="E24" s="42" t="n">
        <v>1</v>
      </c>
      <c r="F24" s="42" t="n">
        <v>2</v>
      </c>
      <c r="G24" s="42" t="n">
        <v>1</v>
      </c>
      <c r="H24" s="42" t="n">
        <v>2</v>
      </c>
      <c r="I24" s="42" t="n">
        <v>800</v>
      </c>
      <c r="J24" s="42" t="n">
        <v>800</v>
      </c>
    </row>
    <row r="25"/>
    <row r="26" ht="17.25" customHeight="1" s="50">
      <c r="A26" s="38" t="inlineStr">
        <is>
          <t>Trung bình 10 bộ</t>
        </is>
      </c>
    </row>
    <row r="27">
      <c r="A27" s="44" t="inlineStr">
        <is>
          <t>điều kiện</t>
        </is>
      </c>
      <c r="B27" s="44" t="inlineStr">
        <is>
          <t>N điểm</t>
        </is>
      </c>
      <c r="C27" s="44" t="inlineStr">
        <is>
          <t>bóng pur=1</t>
        </is>
      </c>
      <c r="D27" s="44" t="inlineStr">
        <is>
          <t>bóng 0.7</t>
        </is>
      </c>
      <c r="E27" s="44" t="inlineStr">
        <is>
          <t>bóng 0.7+R</t>
        </is>
      </c>
      <c r="F27" s="44" t="inlineStr">
        <is>
          <t>bóng 0.6</t>
        </is>
      </c>
      <c r="G27" s="44" t="inlineStr">
        <is>
          <t>điểm/bóng pur=1</t>
        </is>
      </c>
      <c r="H27" s="44" t="inlineStr">
        <is>
          <t>điểm/bóng 0.7</t>
        </is>
      </c>
      <c r="I27" s="44" t="inlineStr">
        <is>
          <t>điểm/bóng 0.6</t>
        </is>
      </c>
    </row>
    <row r="28">
      <c r="A28" s="49" t="inlineStr">
        <is>
          <t>sym.3</t>
        </is>
      </c>
      <c r="B28" s="43" t="n">
        <v>451</v>
      </c>
      <c r="C28" s="43" t="n">
        <v>325</v>
      </c>
      <c r="D28" s="43" t="n">
        <v>126</v>
      </c>
      <c r="E28" s="43" t="n">
        <v>126</v>
      </c>
      <c r="F28" s="43" t="n">
        <v>14</v>
      </c>
      <c r="G28" s="43" t="n">
        <v>1.4</v>
      </c>
      <c r="H28" s="43" t="n">
        <v>3.6</v>
      </c>
      <c r="I28" s="43" t="n">
        <v>32.7</v>
      </c>
    </row>
    <row r="29">
      <c r="A29" s="49" t="inlineStr">
        <is>
          <t>asy.4</t>
        </is>
      </c>
      <c r="B29" s="43" t="n">
        <v>451</v>
      </c>
      <c r="C29" s="43" t="n">
        <v>218</v>
      </c>
      <c r="D29" s="43" t="n">
        <v>48</v>
      </c>
      <c r="E29" s="43" t="n">
        <v>48</v>
      </c>
      <c r="F29" s="43" t="n">
        <v>4</v>
      </c>
      <c r="G29" s="43" t="n">
        <v>2.1</v>
      </c>
      <c r="H29" s="43" t="n">
        <v>9.4</v>
      </c>
      <c r="I29" s="43" t="n">
        <v>115.6</v>
      </c>
    </row>
    <row r="30"/>
    <row r="31">
      <c r="A31" s="39" t="inlineStr">
        <is>
          <t>Đọc: pur=1 nén tệ nhất (1.4 đến 2.1x, bóng≈điểm, bệnh vỡ vụn). pur=0.7 nén 3.6 đến 9.4x, pur=0.6 tới 32 đến 116x. Rescue thêm ~0 đến 1 bóng (0.7→0.7+R gần như không đổi) → giữ nguyên độ nén.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50" min="1" max="1"/>
    <col width="15" customWidth="1" style="50" min="2" max="2"/>
    <col width="15" customWidth="1" style="50" min="3" max="3"/>
    <col width="15" customWidth="1" style="50" min="4" max="4"/>
    <col width="15" customWidth="1" style="50" min="5" max="5"/>
    <col width="15" customWidth="1" style="50" min="6" max="6"/>
  </cols>
  <sheetData>
    <row r="1">
      <c r="A1" s="53" t="inlineStr">
        <is>
          <t>Rescue có còn là SVM?, Twin-SVM so với nearest-centroid (1-NN trên tâm bóng)</t>
        </is>
      </c>
    </row>
    <row r="2" ht="30" customHeight="1" s="50">
      <c r="A2" s="63" t="inlineStr">
        <is>
          <t>Câu hỏi: khi suy biến gom về rất ít bóng, twin-SVM còn ý nghĩa lề không, hay đã thành kNN? Nearest-centroid = gán mẫu về tâm bóng gần nhất (1-NN trên tâm).</t>
        </is>
      </c>
    </row>
    <row r="3"/>
    <row r="4">
      <c r="A4" s="86" t="inlineStr">
        <is>
          <t>Phần A, pur=1 (phương pháp chính): SVM làm việc thật</t>
        </is>
      </c>
    </row>
    <row r="5">
      <c r="A5" s="64" t="inlineStr">
        <is>
          <t>bộ</t>
        </is>
      </c>
      <c r="B5" s="64" t="inlineStr">
        <is>
          <t>số bóng</t>
        </is>
      </c>
      <c r="C5" s="64" t="inlineStr">
        <is>
          <t>hard (hinge)</t>
        </is>
      </c>
      <c r="D5" s="64" t="inlineStr">
        <is>
          <t>wave</t>
        </is>
      </c>
      <c r="E5" s="64" t="inlineStr">
        <is>
          <t>nearest-centroid</t>
        </is>
      </c>
      <c r="F5" s="64" t="inlineStr">
        <is>
          <t>Δ (wave − NC)</t>
        </is>
      </c>
    </row>
    <row r="6">
      <c r="A6" s="56" t="inlineStr">
        <is>
          <t>breast_cancer</t>
        </is>
      </c>
      <c r="B6" s="81" t="n">
        <v>244</v>
      </c>
      <c r="C6" s="81" t="n">
        <v>0.772</v>
      </c>
      <c r="D6" s="81" t="n">
        <v>0.831</v>
      </c>
      <c r="E6" s="81" t="n">
        <v>0.72</v>
      </c>
      <c r="F6" s="65" t="n">
        <v>0.111</v>
      </c>
    </row>
    <row r="7">
      <c r="A7" s="56" t="inlineStr">
        <is>
          <t>haberman</t>
        </is>
      </c>
      <c r="B7" s="81" t="n">
        <v>183</v>
      </c>
      <c r="C7" s="81" t="n">
        <v>0.622</v>
      </c>
      <c r="D7" s="81" t="n">
        <v>0.614</v>
      </c>
      <c r="E7" s="81" t="n">
        <v>0.532</v>
      </c>
      <c r="F7" s="65" t="n">
        <v>0.082</v>
      </c>
    </row>
    <row r="8">
      <c r="A8" s="56" t="inlineStr">
        <is>
          <t>heart</t>
        </is>
      </c>
      <c r="B8" s="81" t="n">
        <v>161</v>
      </c>
      <c r="C8" s="81" t="n">
        <v>0.679</v>
      </c>
      <c r="D8" s="81" t="n">
        <v>0.6899999999999999</v>
      </c>
      <c r="E8" s="81" t="n">
        <v>0.618</v>
      </c>
      <c r="F8" s="65" t="n">
        <v>0.07199999999999999</v>
      </c>
    </row>
    <row r="9">
      <c r="A9" s="56" t="inlineStr">
        <is>
          <t>ionosphere</t>
        </is>
      </c>
      <c r="B9" s="81" t="n">
        <v>163</v>
      </c>
      <c r="C9" s="81" t="n">
        <v>0.726</v>
      </c>
      <c r="D9" s="81" t="n">
        <v>0.741</v>
      </c>
      <c r="E9" s="81" t="n">
        <v>0.6860000000000001</v>
      </c>
      <c r="F9" s="65" t="n">
        <v>0.055</v>
      </c>
    </row>
    <row r="10">
      <c r="A10" s="87" t="inlineStr">
        <is>
          <t>Tổng</t>
        </is>
      </c>
      <c r="B10" s="80" t="n">
        <v>188</v>
      </c>
      <c r="C10" s="80" t="n">
        <v>0.7</v>
      </c>
      <c r="D10" s="80" t="n">
        <v>0.719</v>
      </c>
      <c r="E10" s="80" t="n">
        <v>0.639</v>
      </c>
      <c r="F10" s="84" t="n">
        <v>0.08</v>
      </c>
    </row>
    <row r="11" ht="30" customHeight="1" s="50">
      <c r="A11" s="88" t="inlineStr">
        <is>
          <t>→ pur=1: wave 0.719 &gt; hard 0.700 &gt; NC 0.639 (wave hơn NC +0.080, thắng mọi bộ). Nhiều bóng thuần → máy lề đóng góp thật, không phải kNN.</t>
        </is>
      </c>
    </row>
    <row r="12"/>
    <row r="13">
      <c r="A13" s="86" t="inlineStr">
        <is>
          <t>Phần B, pur=0.6 (suy biến): SVM thoái về / thua nearest-centroid</t>
        </is>
      </c>
    </row>
    <row r="14">
      <c r="A14" s="64" t="inlineStr">
        <is>
          <t>chế độ fold</t>
        </is>
      </c>
      <c r="B14" s="64" t="inlineStr">
        <is>
          <t>#fold</t>
        </is>
      </c>
      <c r="C14" s="64" t="inlineStr">
        <is>
          <t>wave+rescue</t>
        </is>
      </c>
      <c r="D14" s="64" t="inlineStr">
        <is>
          <t>hybrid (NC khi sụp)</t>
        </is>
      </c>
      <c r="E14" s="64" t="inlineStr">
        <is>
          <t>nearest-centroid</t>
        </is>
      </c>
      <c r="F14" s="64" t="inlineStr"/>
    </row>
    <row r="15">
      <c r="A15" s="56" t="inlineStr">
        <is>
          <t>Tất cả fold</t>
        </is>
      </c>
      <c r="B15" s="81" t="n">
        <v>900</v>
      </c>
      <c r="C15" s="81" t="n">
        <v>0.651</v>
      </c>
      <c r="D15" s="81" t="n">
        <v>0.6860000000000001</v>
      </c>
      <c r="E15" s="81" t="n">
        <v>0.694</v>
      </c>
      <c r="F15" s="81" t="inlineStr"/>
    </row>
    <row r="16">
      <c r="A16" s="56" t="inlineStr">
        <is>
          <t>Fold sụp (≤1 bóng/lớp, 52%)</t>
        </is>
      </c>
      <c r="B16" s="81" t="n">
        <v>472</v>
      </c>
      <c r="C16" s="89" t="n">
        <v>0.716</v>
      </c>
      <c r="D16" s="65" t="n">
        <v>0.784</v>
      </c>
      <c r="E16" s="65" t="n">
        <v>0.784</v>
      </c>
      <c r="F16" s="81" t="inlineStr"/>
    </row>
    <row r="17">
      <c r="A17" s="56" t="inlineStr">
        <is>
          <t>Fold bình thường</t>
        </is>
      </c>
      <c r="B17" s="81" t="n">
        <v>428</v>
      </c>
      <c r="C17" s="81" t="n">
        <v>0.579</v>
      </c>
      <c r="D17" s="81" t="n">
        <v>0.579</v>
      </c>
      <c r="E17" s="81" t="n">
        <v>0.595</v>
      </c>
      <c r="F17" s="81" t="inlineStr"/>
    </row>
    <row r="18"/>
    <row r="19">
      <c r="A19" s="74" t="inlineStr">
        <is>
          <t>Theo từng bộ (tất cả fold, pur=0.6):</t>
        </is>
      </c>
    </row>
    <row r="20">
      <c r="A20" s="90" t="inlineStr">
        <is>
          <t>bộ</t>
        </is>
      </c>
      <c r="B20" s="90" t="inlineStr">
        <is>
          <t>wave+rescue</t>
        </is>
      </c>
      <c r="C20" s="90" t="inlineStr">
        <is>
          <t>hybrid</t>
        </is>
      </c>
      <c r="D20" s="90" t="inlineStr">
        <is>
          <t>nearest-centroid</t>
        </is>
      </c>
      <c r="E20" s="90" t="inlineStr">
        <is>
          <t>% fold sụp</t>
        </is>
      </c>
      <c r="F20" s="90" t="inlineStr"/>
    </row>
    <row r="21">
      <c r="A21" s="56" t="inlineStr">
        <is>
          <t>australian</t>
        </is>
      </c>
      <c r="B21" s="81" t="n">
        <v>0.62</v>
      </c>
      <c r="C21" s="81" t="n">
        <v>0.704</v>
      </c>
      <c r="D21" s="81" t="n">
        <v>0.72</v>
      </c>
      <c r="E21" s="81" t="inlineStr">
        <is>
          <t>59%</t>
        </is>
      </c>
      <c r="F21" s="81" t="inlineStr"/>
    </row>
    <row r="22">
      <c r="A22" s="56" t="inlineStr">
        <is>
          <t>breast_cancer</t>
        </is>
      </c>
      <c r="B22" s="81" t="n">
        <v>0.823</v>
      </c>
      <c r="C22" s="81" t="n">
        <v>0.819</v>
      </c>
      <c r="D22" s="81" t="n">
        <v>0.82</v>
      </c>
      <c r="E22" s="81" t="inlineStr">
        <is>
          <t>67%</t>
        </is>
      </c>
      <c r="F22" s="81" t="inlineStr"/>
    </row>
    <row r="23">
      <c r="A23" s="56" t="inlineStr">
        <is>
          <t>german</t>
        </is>
      </c>
      <c r="B23" s="81" t="n">
        <v>0.57</v>
      </c>
      <c r="C23" s="81" t="n">
        <v>0.624</v>
      </c>
      <c r="D23" s="81" t="n">
        <v>0.644</v>
      </c>
      <c r="E23" s="81" t="inlineStr">
        <is>
          <t>51%</t>
        </is>
      </c>
      <c r="F23" s="81" t="inlineStr"/>
    </row>
    <row r="24">
      <c r="A24" s="56" t="inlineStr">
        <is>
          <t>haberman</t>
        </is>
      </c>
      <c r="B24" s="81" t="n">
        <v>0.539</v>
      </c>
      <c r="C24" s="81" t="n">
        <v>0.553</v>
      </c>
      <c r="D24" s="81" t="n">
        <v>0.54</v>
      </c>
      <c r="E24" s="81" t="inlineStr">
        <is>
          <t>23%</t>
        </is>
      </c>
      <c r="F24" s="81" t="inlineStr"/>
    </row>
    <row r="25">
      <c r="A25" s="56" t="inlineStr">
        <is>
          <t>heart</t>
        </is>
      </c>
      <c r="B25" s="81" t="n">
        <v>0.6850000000000001</v>
      </c>
      <c r="C25" s="81" t="n">
        <v>0.703</v>
      </c>
      <c r="D25" s="81" t="n">
        <v>0.708</v>
      </c>
      <c r="E25" s="81" t="inlineStr">
        <is>
          <t>59%</t>
        </is>
      </c>
      <c r="F25" s="81" t="inlineStr"/>
    </row>
    <row r="26">
      <c r="A26" s="56" t="inlineStr">
        <is>
          <t>ionosphere</t>
        </is>
      </c>
      <c r="B26" s="81" t="n">
        <v>0.668</v>
      </c>
      <c r="C26" s="81" t="n">
        <v>0.714</v>
      </c>
      <c r="D26" s="81" t="n">
        <v>0.731</v>
      </c>
      <c r="E26" s="81" t="inlineStr">
        <is>
          <t>55%</t>
        </is>
      </c>
      <c r="F26" s="81" t="inlineStr"/>
    </row>
    <row r="27" ht="30" customHeight="1" s="50">
      <c r="A27" s="91" t="inlineStr">
        <is>
          <t>→ 52% fold sụp về đúng 1 bóng/lớp; ở đó nearest-centroid (0.784) &gt; twin-SVM (0.716). Ngay cả fold không sụp, pur=0.6 NC ≥ wave. pur thấp là đất của kNN.</t>
        </is>
      </c>
    </row>
    <row r="28"/>
    <row r="29">
      <c r="A29" s="53" t="inlineStr">
        <is>
          <t>Kết luận &amp; khuyến nghị</t>
        </is>
      </c>
    </row>
    <row r="30" ht="30" customHeight="1" s="50">
      <c r="A30" s="85" t="inlineStr">
        <is>
          <t>① SVM chỉ đáng ở độ thuần cao: pur=1 wave hơn nearest-centroid +0.080 (thắng mọi bộ). Đây là nơi đóng góp thật sự nằm.</t>
        </is>
      </c>
    </row>
    <row r="31" ht="30" customHeight="1" s="50">
      <c r="A31" s="85" t="inlineStr">
        <is>
          <t>② Ở suy biến (pur thấp), bóng gom về đúng 1/lớp (52% số fold), twin-SVM trên 2 tâm mất ý nghĩa lề và thua nearest-centroid.</t>
        </is>
      </c>
    </row>
    <row r="32" ht="30" customHeight="1" s="50">
      <c r="A32" s="85" t="inlineStr">
        <is>
          <t>③ Sửa rescue cho đúng: khi một lớp sụp ≤1 bóng thì thoái lui về nearest-centroid thay vì cố fit twin-SVM. Hybrid nâng acc từ 0.651 lên 0.686 (toàn cục), và ở fold sụp từ 0.716 lên 0.784.</t>
        </is>
      </c>
    </row>
    <row r="33" ht="30" customHeight="1" s="50">
      <c r="A33" s="85" t="inlineStr">
        <is>
          <t>④ Định vị bản thảo: nhấn Tier-1 = Wave@pur=1 (máy lề thắng cả hinge lẫn NC). Rescue = cơ chế 'suy biến có kiểm soát' thoái về nearest-centroid, không bán như chiến thắng của SVM.</t>
        </is>
      </c>
    </row>
    <row r="34"/>
    <row r="35">
      <c r="A35" s="86" t="inlineStr">
        <is>
          <t>Liên hệ k-means / nearest-prototype</t>
        </is>
      </c>
    </row>
    <row r="36" ht="30" customHeight="1" s="50">
      <c r="A36" s="85" t="inlineStr">
        <is>
          <t>k-means là gom cụm (không giám sát): đi tìm tâm. Nearest-centroid là phân lớp (có giám sát): dùng tâm đã có nhãn để gán. Hai vai khác nhau.</t>
        </is>
      </c>
    </row>
    <row r="37" ht="30" customHeight="1" s="50">
      <c r="A37" s="85" t="inlineStr">
        <is>
          <t>Nhưng tâm ở đây là tâm bóng, mà bóng sinh bằng 2-means đệ quy (biến thể k-means). Nên fallback NC = sinh cụm kiểu k-means → gán nhãn đa số cho cụm → phân lớp theo tâm gần nhất. Gộp lại là một bộ phân lớp nearest-prototype dựa trên k-means (họ hàng LVQ, Rocchio).</t>
        </is>
      </c>
    </row>
    <row r="38" ht="30" customHeight="1" s="50">
      <c r="A38" s="85" t="inlineStr">
        <is>
          <t>1 tâm mỗi lớp (ca suy biến) = đúng Rocchio / nearest class-mean. Nhiều tâm mỗi lớp = nearest-prototype với nguyên mẫu do k-means sinh.</t>
        </is>
      </c>
    </row>
    <row r="39" ht="30" customHeight="1" s="50">
      <c r="A39" s="85" t="inlineStr">
        <is>
          <t>Bóng là k-means đa độ phân giải (chia sâu ở vùng lẫn, thô ở vùng thuần theo ngưỡng purity), nên số nguyên mẫu tự thích nghi theo dữ liệu.</t>
        </is>
      </c>
    </row>
    <row r="40" ht="30" customHeight="1" s="50">
      <c r="A40" s="85" t="inlineStr">
        <is>
          <t>Ý nghĩa: khi bóng sụp còn ít, phương pháp thoái về baseline k-means/nearest-prototype cổ điển, ổn định và dễ hiểu, nên đây là thoái lui êm, không phải hỏng.</t>
        </is>
      </c>
    </row>
  </sheetData>
  <mergeCells count="16">
    <mergeCell ref="A38:F38"/>
    <mergeCell ref="A2:F2"/>
    <mergeCell ref="A11:F11"/>
    <mergeCell ref="A33:F33"/>
    <mergeCell ref="A13:F13"/>
    <mergeCell ref="A36:F36"/>
    <mergeCell ref="A1:F1"/>
    <mergeCell ref="A37:F37"/>
    <mergeCell ref="A32:F32"/>
    <mergeCell ref="A27:F27"/>
    <mergeCell ref="A31:F31"/>
    <mergeCell ref="A40:F40"/>
    <mergeCell ref="A35:F35"/>
    <mergeCell ref="A4:F4"/>
    <mergeCell ref="A30:F30"/>
    <mergeCell ref="A39:F3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style="50" min="1" max="1"/>
    <col width="15" customWidth="1" style="50" min="2" max="2"/>
    <col width="15" customWidth="1" style="50" min="3" max="3"/>
    <col width="15" customWidth="1" style="50" min="4" max="4"/>
    <col width="15" customWidth="1" style="50" min="5" max="5"/>
    <col width="15" customWidth="1" style="50" min="6" max="6"/>
    <col width="50" customWidth="1" style="50" min="7" max="7"/>
  </cols>
  <sheetData>
    <row r="1">
      <c r="A1" s="53" t="inlineStr">
        <is>
          <t>Nhiễu nhãn thật, CIFAR-10N (nhãn do người gán, Wei et al. ICLR 2022)</t>
        </is>
      </c>
    </row>
    <row r="2" ht="32" customHeight="1" s="50">
      <c r="A2" s="63" t="inlineStr">
        <is>
          <t>Bài nhị phân tabular: ảnh→PCA→MinMax(-1,1). Nhãn huấn luyện = nhãn-người (nhiễu thật), nhãn kiểm tra = nhãn sạch. Mỗi ô = accuracy trên test sạch.</t>
        </is>
      </c>
    </row>
    <row r="3"/>
    <row r="4">
      <c r="A4" s="79" t="inlineStr">
        <is>
          <t>Phần A, 5 seed (TB ± sd) · dùng cho báo · automobile vs truck | aggre_label, nhiễu thật 7.6% | PCA=100 | test 2000 | 5 seed</t>
        </is>
      </c>
    </row>
    <row r="5">
      <c r="A5" s="64" t="inlineStr">
        <is>
          <t>Độ thuần P</t>
        </is>
      </c>
      <c r="B5" s="64" t="inlineStr">
        <is>
          <t>hard (pur=1)</t>
        </is>
      </c>
      <c r="C5" s="64" t="inlineStr">
        <is>
          <t>wave (pur=1)</t>
        </is>
      </c>
      <c r="D5" s="64" t="inlineStr">
        <is>
          <t>hard (P)</t>
        </is>
      </c>
      <c r="E5" s="64" t="inlineStr">
        <is>
          <t>wave (P)</t>
        </is>
      </c>
      <c r="F5" s="64" t="inlineStr">
        <is>
          <t>wave+rescue (P)</t>
        </is>
      </c>
      <c r="G5" s="64" t="inlineStr">
        <is>
          <t>Ghi chú</t>
        </is>
      </c>
    </row>
    <row r="6" ht="30" customHeight="1" s="50">
      <c r="A6" s="80" t="n">
        <v>0.7</v>
      </c>
      <c r="B6" s="81" t="inlineStr">
        <is>
          <t>0.696 ± 0.003</t>
        </is>
      </c>
      <c r="C6" s="81" t="inlineStr">
        <is>
          <t>0.704 ± 0.004</t>
        </is>
      </c>
      <c r="D6" s="81" t="inlineStr">
        <is>
          <t>0.671 ± 0.007</t>
        </is>
      </c>
      <c r="E6" s="81" t="inlineStr">
        <is>
          <t>0.671 ± 0.009</t>
        </is>
      </c>
      <c r="F6" s="81" t="inlineStr">
        <is>
          <t>0.671 ± 0.009</t>
        </is>
      </c>
      <c r="G6" s="82" t="inlineStr">
        <is>
          <t>pur=0.7 chưa suy biến → rescue = wave(0.7), không hại; wave(pur=1) dẫn đầu, sd nhỏ</t>
        </is>
      </c>
    </row>
    <row r="7" ht="30" customHeight="1" s="50">
      <c r="A7" s="80" t="n">
        <v>0.5</v>
      </c>
      <c r="B7" s="81" t="inlineStr">
        <is>
          <t>0.696 ± 0.003</t>
        </is>
      </c>
      <c r="C7" s="81" t="inlineStr">
        <is>
          <t>0.704 ± 0.004</t>
        </is>
      </c>
      <c r="D7" s="83" t="inlineStr">
        <is>
          <t>suy biến (n=0)</t>
        </is>
      </c>
      <c r="E7" s="83" t="inlineStr">
        <is>
          <t>suy biến (n=0)</t>
        </is>
      </c>
      <c r="F7" s="84" t="inlineStr">
        <is>
          <t>0.656 ± 0.002</t>
        </is>
      </c>
      <c r="G7" s="82" t="inlineStr">
        <is>
          <t>cả 5 seed hard/wave thô chết (n=0) → rescue cứu sống, sd rất nhỏ</t>
        </is>
      </c>
    </row>
    <row r="8"/>
    <row r="9">
      <c r="A9" s="79" t="inlineStr">
        <is>
          <t>Phần B, 1 seed (khảo sát nhanh, tham khảo)</t>
        </is>
      </c>
    </row>
    <row r="10">
      <c r="A10" s="64" t="inlineStr">
        <is>
          <t>Độ thuần P</t>
        </is>
      </c>
      <c r="B10" s="64" t="inlineStr">
        <is>
          <t>hard (pur=1)</t>
        </is>
      </c>
      <c r="C10" s="64" t="inlineStr">
        <is>
          <t>wave (pur=1)</t>
        </is>
      </c>
      <c r="D10" s="64" t="inlineStr">
        <is>
          <t>hard (P)</t>
        </is>
      </c>
      <c r="E10" s="64" t="inlineStr">
        <is>
          <t>wave (P)</t>
        </is>
      </c>
      <c r="F10" s="64" t="inlineStr">
        <is>
          <t>wave+rescue (P)</t>
        </is>
      </c>
      <c r="G10" s="64" t="inlineStr">
        <is>
          <t>Ghi chú</t>
        </is>
      </c>
    </row>
    <row r="11">
      <c r="A11" s="81" t="n">
        <v>0.7</v>
      </c>
      <c r="B11" s="81" t="inlineStr">
        <is>
          <t>0.698</t>
        </is>
      </c>
      <c r="C11" s="81" t="inlineStr">
        <is>
          <t>0.709</t>
        </is>
      </c>
      <c r="D11" s="81" t="inlineStr">
        <is>
          <t>0.677</t>
        </is>
      </c>
      <c r="E11" s="81" t="inlineStr">
        <is>
          <t>0.672</t>
        </is>
      </c>
      <c r="F11" s="81" t="inlineStr">
        <is>
          <t>0.672</t>
        </is>
      </c>
      <c r="G11" s="82" t="inlineStr">
        <is>
          <t>automobile vs truck · aggre_label 8% · PCA100</t>
        </is>
      </c>
    </row>
    <row r="12">
      <c r="A12" s="81" t="n">
        <v>0.6</v>
      </c>
      <c r="B12" s="81" t="inlineStr">
        <is>
          <t>0.698</t>
        </is>
      </c>
      <c r="C12" s="81" t="inlineStr">
        <is>
          <t>0.709</t>
        </is>
      </c>
      <c r="D12" s="81" t="inlineStr">
        <is>
          <t>0.545</t>
        </is>
      </c>
      <c r="E12" s="81" t="inlineStr">
        <is>
          <t>0.571</t>
        </is>
      </c>
      <c r="F12" s="81" t="inlineStr">
        <is>
          <t>0.571</t>
        </is>
      </c>
      <c r="G12" s="82" t="inlineStr"/>
    </row>
    <row r="13">
      <c r="A13" s="81" t="n">
        <v>0.5</v>
      </c>
      <c r="B13" s="81" t="inlineStr">
        <is>
          <t>0.698</t>
        </is>
      </c>
      <c r="C13" s="81" t="inlineStr">
        <is>
          <t>0.709</t>
        </is>
      </c>
      <c r="D13" s="83" t="inlineStr">
        <is>
          <t>suy biến (n=0)</t>
        </is>
      </c>
      <c r="E13" s="83" t="inlineStr">
        <is>
          <t>suy biến (n=0)</t>
        </is>
      </c>
      <c r="F13" s="84" t="inlineStr">
        <is>
          <t>0.659</t>
        </is>
      </c>
      <c r="G13" s="82" t="inlineStr">
        <is>
          <t>hard/wave chết → rescue cứu</t>
        </is>
      </c>
    </row>
    <row r="14">
      <c r="A14" s="81" t="n">
        <v>0.4</v>
      </c>
      <c r="B14" s="81" t="inlineStr">
        <is>
          <t>0.698</t>
        </is>
      </c>
      <c r="C14" s="81" t="inlineStr">
        <is>
          <t>0.709</t>
        </is>
      </c>
      <c r="D14" s="83" t="inlineStr">
        <is>
          <t>suy biến (n=0)</t>
        </is>
      </c>
      <c r="E14" s="83" t="inlineStr">
        <is>
          <t>suy biến (n=0)</t>
        </is>
      </c>
      <c r="F14" s="84" t="inlineStr">
        <is>
          <t>0.659</t>
        </is>
      </c>
      <c r="G14" s="82" t="inlineStr">
        <is>
          <t>hard/wave chết → rescue cứu</t>
        </is>
      </c>
    </row>
    <row r="15">
      <c r="A15" s="81" t="n">
        <v>0.6</v>
      </c>
      <c r="B15" s="81" t="inlineStr">
        <is>
          <t>0.529</t>
        </is>
      </c>
      <c r="C15" s="81" t="inlineStr">
        <is>
          <t>0.521</t>
        </is>
      </c>
      <c r="D15" s="81" t="inlineStr">
        <is>
          <t>0.511</t>
        </is>
      </c>
      <c r="E15" s="81" t="inlineStr">
        <is>
          <t>0.534</t>
        </is>
      </c>
      <c r="F15" s="81" t="inlineStr">
        <is>
          <t>0.534</t>
        </is>
      </c>
      <c r="G15" s="82" t="inlineStr">
        <is>
          <t>cat vs dog · worse_label 47% · PCA50</t>
        </is>
      </c>
    </row>
    <row r="16">
      <c r="A16" s="81" t="n">
        <v>0.5</v>
      </c>
      <c r="B16" s="81" t="inlineStr">
        <is>
          <t>0.529</t>
        </is>
      </c>
      <c r="C16" s="81" t="inlineStr">
        <is>
          <t>0.521</t>
        </is>
      </c>
      <c r="D16" s="83" t="inlineStr">
        <is>
          <t>suy biến (n=0)</t>
        </is>
      </c>
      <c r="E16" s="83" t="inlineStr">
        <is>
          <t>suy biến (n=0)</t>
        </is>
      </c>
      <c r="F16" s="84" t="inlineStr">
        <is>
          <t>0.513</t>
        </is>
      </c>
      <c r="G16" s="82" t="inlineStr">
        <is>
          <t>hard/wave chết → rescue cứu</t>
        </is>
      </c>
    </row>
    <row r="17"/>
    <row r="18">
      <c r="A18" s="53" t="inlineStr">
        <is>
          <t>Nhận xét</t>
        </is>
      </c>
    </row>
    <row r="19" ht="30" customHeight="1" s="50">
      <c r="A19" s="85" t="inlineStr">
        <is>
          <t>① 5 seed (Phần A): wave(pur=1) 0.704 ± 0.004 nhỉnh hơn hard(pur=1) 0.696 ± 0.003, nhất quán qua cả 5 seed và sd nhỏ → Wave dẫn đầu ổn định trên nhiễu thật (Tier-1).</t>
        </is>
      </c>
    </row>
    <row r="20" ht="30" customHeight="1" s="50">
      <c r="A20" s="85" t="inlineStr">
        <is>
          <t>② pur=0.5: cả 5 seed hard(0.5) &amp; wave(0.5) đều suy biến (n=0, mất sạch bóng một lớp), còn wave+rescue cứu sống 0.656 ± 0.002 (sd cực nhỏ) → rescue đáng tin, không phải may rủi 1 seed.</t>
        </is>
      </c>
    </row>
    <row r="21" ht="30" customHeight="1" s="50">
      <c r="A21" s="85" t="inlineStr">
        <is>
          <t>③ pur=0.7 chưa suy biến nên rescue ≈ wave(0.7) (không hại). Rescue chỉ ra tay khi thật sự cạn bóng, đúng thiết kế phản ứng theo điều kiện quan sát được.</t>
        </is>
      </c>
    </row>
    <row r="22" ht="30" customHeight="1" s="50">
      <c r="A22" s="85" t="inlineStr">
        <is>
          <t>④ cat vs dog (Phần B): ~0.52 sát sàn đoán mò do PCA-50 quá yếu, không phân biệt được phương pháp; để phụ lục như minh họa giới hạn đặc trưng.</t>
        </is>
      </c>
    </row>
    <row r="23" ht="30" customHeight="1" s="50">
      <c r="A23" s="85" t="inlineStr">
        <is>
          <t>⑤ Chốt: Wave@pur=1 dẫn đầu + rescue cứu suy biến, đã kiểm định bằng 5 seed trên nhãn nhiễu thật, đủ vững để đưa vào báo.</t>
        </is>
      </c>
    </row>
  </sheetData>
  <mergeCells count="9">
    <mergeCell ref="A1:G1"/>
    <mergeCell ref="A9:G9"/>
    <mergeCell ref="A21:G21"/>
    <mergeCell ref="A22:G22"/>
    <mergeCell ref="A4:G4"/>
    <mergeCell ref="A20:G20"/>
    <mergeCell ref="A2:G2"/>
    <mergeCell ref="A19:G19"/>
    <mergeCell ref="A23:G2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3" customWidth="1" style="50" min="1" max="1"/>
    <col width="15" customWidth="1" style="50" min="2" max="5"/>
  </cols>
  <sheetData>
    <row r="1" ht="17.25" customHeight="1" s="50">
      <c r="A1" s="38" t="inlineStr">
        <is>
          <t>Tự động dò siêu tham số bằng metaheuristic (mealpy/WOA) so với grid-search. Tune (C, λ, reg) [+ γ nếu RBF]; mục tiêu = acc CV vòng-trong trên nhãn nhiễu.</t>
        </is>
      </c>
    </row>
    <row r="2">
      <c r="A2" s="39" t="inlineStr">
        <is>
          <t>Kết luận: linear (không gian nhỏ) → grid tốt hơn, meta thừa. RBF (thêm γ liên tục) → meta thắng 2/3 bộ, chủ yếu vì tránh điểm mù γ của grid.</t>
        </is>
      </c>
    </row>
    <row r="3"/>
    <row r="4">
      <c r="A4" s="48" t="inlineStr">
        <is>
          <t>A) Linear, 1 lần chia 80/20 (nhiễu symmetric 0.3)</t>
        </is>
      </c>
    </row>
    <row r="5">
      <c r="A5" s="44" t="inlineStr">
        <is>
          <t>bộ</t>
        </is>
      </c>
      <c r="B5" s="44" t="inlineStr">
        <is>
          <t>meta (WOA)</t>
        </is>
      </c>
      <c r="C5" s="44" t="inlineStr">
        <is>
          <t>grid</t>
        </is>
      </c>
      <c r="D5" s="44" t="inlineStr">
        <is>
          <t>Δ (meta-grid)</t>
        </is>
      </c>
    </row>
    <row r="6">
      <c r="A6" s="41" t="inlineStr">
        <is>
          <t>heart</t>
        </is>
      </c>
      <c r="B6" s="42" t="n">
        <v>0.75</v>
      </c>
      <c r="C6" s="42" t="n">
        <v>0.767</v>
      </c>
      <c r="D6" s="42" t="n">
        <v>-0.017</v>
      </c>
    </row>
    <row r="7">
      <c r="A7" s="41" t="inlineStr">
        <is>
          <t>sonar</t>
        </is>
      </c>
      <c r="B7" s="42" t="n">
        <v>0.571</v>
      </c>
      <c r="C7" s="42" t="n">
        <v>0.667</v>
      </c>
      <c r="D7" s="42" t="n">
        <v>-0.096</v>
      </c>
    </row>
    <row r="8"/>
    <row r="9">
      <c r="A9" s="48" t="inlineStr">
        <is>
          <t>B) RBF, trung bình 5 seed (nhiễu symmetric 0.3), con số đáng tin</t>
        </is>
      </c>
    </row>
    <row r="10">
      <c r="A10" s="44" t="inlineStr">
        <is>
          <t>bộ</t>
        </is>
      </c>
      <c r="B10" s="44" t="inlineStr">
        <is>
          <t>meta (WOA) TB</t>
        </is>
      </c>
      <c r="C10" s="44" t="inlineStr">
        <is>
          <t>grid TB</t>
        </is>
      </c>
      <c r="D10" s="44" t="inlineStr">
        <is>
          <t>Δ (meta-grid)</t>
        </is>
      </c>
      <c r="E10" s="44" t="inlineStr">
        <is>
          <t>meta thắng</t>
        </is>
      </c>
    </row>
    <row r="11">
      <c r="A11" s="41" t="inlineStr">
        <is>
          <t>heart</t>
        </is>
      </c>
      <c r="B11" s="42" t="n">
        <v>0.697</v>
      </c>
      <c r="C11" s="42" t="n">
        <v>0.753</v>
      </c>
      <c r="D11" s="42" t="n">
        <v>-0.056</v>
      </c>
      <c r="E11" s="42" t="inlineStr">
        <is>
          <t>1/5</t>
        </is>
      </c>
    </row>
    <row r="12">
      <c r="A12" s="41" t="inlineStr">
        <is>
          <t>sonar</t>
        </is>
      </c>
      <c r="B12" s="42" t="n">
        <v>0.633</v>
      </c>
      <c r="C12" s="42" t="n">
        <v>0.552</v>
      </c>
      <c r="D12" s="42" t="n">
        <v>0.081</v>
      </c>
      <c r="E12" s="42" t="inlineStr">
        <is>
          <t>4/5</t>
        </is>
      </c>
    </row>
    <row r="13">
      <c r="A13" s="41" t="inlineStr">
        <is>
          <t>ionosphere</t>
        </is>
      </c>
      <c r="B13" s="42" t="n">
        <v>0.842</v>
      </c>
      <c r="C13" s="42" t="n">
        <v>0.6870000000000001</v>
      </c>
      <c r="D13" s="42" t="n">
        <v>0.155</v>
      </c>
      <c r="E13" s="42" t="inlineStr">
        <is>
          <t>4/5</t>
        </is>
      </c>
    </row>
    <row r="14"/>
    <row r="15">
      <c r="A15" s="39" t="inlineStr">
        <is>
          <t>Lưu ý: grid RBF thỉnh thoảng sập gần random (0.39/0.48) vì γ grid thô {0.01,0.1,1.0} + CV trên nhãn nhiễu; meta dò γ liên tục nên hiếm sập → lợi thế là độ ổn định. Meta tốn ~6× lần chấm. Định vị: tiện ích auto-tuning cho RBF, không phải đóng góp chính.</t>
        </is>
      </c>
    </row>
    <row r="16"/>
    <row r="17">
      <c r="A17" s="86" t="inlineStr">
        <is>
          <t>C) RBF, full 10 bộ, 5 seed (ngân sách nặng: epoch 25, pop 20, steps 150; nhiễu symmetric 0.3)</t>
        </is>
      </c>
    </row>
    <row r="18">
      <c r="A18" s="64" t="inlineStr">
        <is>
          <t>bộ</t>
        </is>
      </c>
      <c r="B18" s="64" t="inlineStr">
        <is>
          <t>meta TB</t>
        </is>
      </c>
      <c r="C18" s="64" t="inlineStr">
        <is>
          <t>grid TB</t>
        </is>
      </c>
      <c r="D18" s="64" t="inlineStr">
        <is>
          <t>Δ (meta-grid)</t>
        </is>
      </c>
      <c r="E18" s="64" t="inlineStr">
        <is>
          <t>meta thắng</t>
        </is>
      </c>
      <c r="F18" s="64" t="inlineStr">
        <is>
          <t>seed sập meta</t>
        </is>
      </c>
      <c r="G18" s="64" t="inlineStr">
        <is>
          <t>seed sập grid</t>
        </is>
      </c>
    </row>
    <row r="19">
      <c r="A19" s="92" t="inlineStr">
        <is>
          <t>balance_scale</t>
        </is>
      </c>
      <c r="B19" s="81" t="n">
        <v>0.903</v>
      </c>
      <c r="C19" s="81" t="n">
        <v>0.909</v>
      </c>
      <c r="D19" s="89" t="n">
        <v>-0.005</v>
      </c>
      <c r="E19" s="81" t="inlineStr">
        <is>
          <t>2/5</t>
        </is>
      </c>
      <c r="F19" s="81" t="n">
        <v>0</v>
      </c>
      <c r="G19" s="81" t="n">
        <v>0</v>
      </c>
    </row>
    <row r="20">
      <c r="A20" s="92" t="inlineStr">
        <is>
          <t>breast_cancer</t>
        </is>
      </c>
      <c r="B20" s="81" t="n">
        <v>0.916</v>
      </c>
      <c r="C20" s="81" t="n">
        <v>0.916</v>
      </c>
      <c r="D20" s="81" t="n">
        <v>0</v>
      </c>
      <c r="E20" s="81" t="inlineStr">
        <is>
          <t>2/5</t>
        </is>
      </c>
      <c r="F20" s="81" t="n">
        <v>0</v>
      </c>
      <c r="G20" s="81" t="n">
        <v>0</v>
      </c>
    </row>
    <row r="21">
      <c r="A21" s="92" t="inlineStr">
        <is>
          <t>SPECTF</t>
        </is>
      </c>
      <c r="B21" s="81" t="n">
        <v>0.719</v>
      </c>
      <c r="C21" s="81" t="n">
        <v>0.7</v>
      </c>
      <c r="D21" s="65" t="n">
        <v>0.019</v>
      </c>
      <c r="E21" s="81" t="inlineStr">
        <is>
          <t>3/5</t>
        </is>
      </c>
      <c r="F21" s="81" t="n">
        <v>0</v>
      </c>
      <c r="G21" s="81" t="n">
        <v>0</v>
      </c>
    </row>
    <row r="22">
      <c r="A22" s="92" t="inlineStr">
        <is>
          <t>haberman</t>
        </is>
      </c>
      <c r="B22" s="81" t="n">
        <v>0.642</v>
      </c>
      <c r="C22" s="81" t="n">
        <v>0.436</v>
      </c>
      <c r="D22" s="65" t="n">
        <v>0.206</v>
      </c>
      <c r="E22" s="81" t="inlineStr">
        <is>
          <t>4/5</t>
        </is>
      </c>
      <c r="F22" s="81" t="n">
        <v>1</v>
      </c>
      <c r="G22" s="81" t="n">
        <v>3</v>
      </c>
    </row>
    <row r="23">
      <c r="A23" s="92" t="inlineStr">
        <is>
          <t>heart</t>
        </is>
      </c>
      <c r="B23" s="81" t="n">
        <v>0.713</v>
      </c>
      <c r="C23" s="81" t="n">
        <v>0.74</v>
      </c>
      <c r="D23" s="89" t="n">
        <v>-0.027</v>
      </c>
      <c r="E23" s="81" t="inlineStr">
        <is>
          <t>1/5</t>
        </is>
      </c>
      <c r="F23" s="81" t="n">
        <v>0</v>
      </c>
      <c r="G23" s="81" t="n">
        <v>1</v>
      </c>
    </row>
    <row r="24">
      <c r="A24" s="92" t="inlineStr">
        <is>
          <t>ionosphere</t>
        </is>
      </c>
      <c r="B24" s="81" t="n">
        <v>0.6929999999999999</v>
      </c>
      <c r="C24" s="81" t="n">
        <v>0.701</v>
      </c>
      <c r="D24" s="89" t="n">
        <v>-0.008</v>
      </c>
      <c r="E24" s="81" t="inlineStr">
        <is>
          <t>2/5</t>
        </is>
      </c>
      <c r="F24" s="81" t="n">
        <v>1</v>
      </c>
      <c r="G24" s="81" t="n">
        <v>1</v>
      </c>
    </row>
    <row r="25">
      <c r="A25" s="92" t="inlineStr">
        <is>
          <t>sonar</t>
        </is>
      </c>
      <c r="B25" s="81" t="n">
        <v>0.595</v>
      </c>
      <c r="C25" s="81" t="n">
        <v>0.543</v>
      </c>
      <c r="D25" s="65" t="n">
        <v>0.052</v>
      </c>
      <c r="E25" s="81" t="inlineStr">
        <is>
          <t>3/5</t>
        </is>
      </c>
      <c r="F25" s="81" t="n">
        <v>1</v>
      </c>
      <c r="G25" s="81" t="n">
        <v>2</v>
      </c>
    </row>
    <row r="26">
      <c r="A26" s="92" t="inlineStr">
        <is>
          <t>banknote</t>
        </is>
      </c>
      <c r="B26" s="81" t="n">
        <v>0.975</v>
      </c>
      <c r="C26" s="81" t="n">
        <v>0.985</v>
      </c>
      <c r="D26" s="89" t="n">
        <v>-0.011</v>
      </c>
      <c r="E26" s="81" t="inlineStr">
        <is>
          <t>2/5</t>
        </is>
      </c>
      <c r="F26" s="81" t="n">
        <v>0</v>
      </c>
      <c r="G26" s="81" t="n">
        <v>0</v>
      </c>
    </row>
    <row r="27">
      <c r="A27" s="92" t="inlineStr">
        <is>
          <t>australian</t>
        </is>
      </c>
      <c r="B27" s="81" t="n">
        <v>0.8070000000000001</v>
      </c>
      <c r="C27" s="81" t="n">
        <v>0.848</v>
      </c>
      <c r="D27" s="89" t="n">
        <v>-0.041</v>
      </c>
      <c r="E27" s="81" t="inlineStr">
        <is>
          <t>1/5</t>
        </is>
      </c>
      <c r="F27" s="81" t="n">
        <v>0</v>
      </c>
      <c r="G27" s="81" t="n">
        <v>0</v>
      </c>
    </row>
    <row r="28">
      <c r="A28" s="92" t="inlineStr">
        <is>
          <t>german</t>
        </is>
      </c>
      <c r="B28" s="81" t="n">
        <v>0.698</v>
      </c>
      <c r="C28" s="81" t="n">
        <v>0.709</v>
      </c>
      <c r="D28" s="89" t="n">
        <v>-0.011</v>
      </c>
      <c r="E28" s="81" t="inlineStr">
        <is>
          <t>2/5</t>
        </is>
      </c>
      <c r="F28" s="81" t="n">
        <v>0</v>
      </c>
      <c r="G28" s="81" t="n">
        <v>0</v>
      </c>
    </row>
    <row r="29">
      <c r="A29" s="93" t="inlineStr">
        <is>
          <t>Trung bình</t>
        </is>
      </c>
      <c r="B29" s="80" t="n">
        <v>0.766</v>
      </c>
      <c r="C29" s="80" t="n">
        <v>0.749</v>
      </c>
      <c r="D29" s="80" t="n">
        <v>0.017</v>
      </c>
      <c r="E29" s="80" t="inlineStr"/>
      <c r="F29" s="80" t="n">
        <v>3</v>
      </c>
      <c r="G29" s="80" t="n">
        <v>7</v>
      </c>
    </row>
    <row r="30"/>
    <row r="31" ht="48" customHeight="1" s="50">
      <c r="A31" s="63" t="inlineStr">
        <is>
          <t>Đọc: ngân sách nặng thì meta ≈ grid về accuracy (TB 0.766 vs 0.749, +0.017), nhưng grid sập nhiều gấp đôi (7 seed &lt;0.5 so với 3 của meta), và meta thắng đậm ở bộ khó lệch lớp (haberman +0.206). Khẳng định: bầy đàn lợi ở độ ổn định (tránh grid vặn hụt γ thành sập), không phải cao điểm hơn.</t>
        </is>
      </c>
    </row>
  </sheetData>
  <mergeCells count="2">
    <mergeCell ref="A31:G31"/>
    <mergeCell ref="A17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language xmlns:dc="http://purl.org/dc/elements/1.1/">en-US</dc:language>
  <dcterms:created xmlns:dcterms="http://purl.org/dc/terms/" xmlns:xsi="http://www.w3.org/2001/XMLSchema-instance" xsi:type="dcterms:W3CDTF">2026-09-14T08:53:11Z</dcterms:created>
  <dcterms:modified xmlns:dcterms="http://purl.org/dc/terms/" xmlns:xsi="http://www.w3.org/2001/XMLSchema-instance" xsi:type="dcterms:W3CDTF">2026-10-04T01:39:10Z</dcterms:modified>
  <cp:lastModifiedBy/>
  <cp:revision>0</cp:revision>
</cp:coreProperties>
</file>